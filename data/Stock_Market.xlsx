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soft" sheetId="1" r:id="rId5"/>
    <sheet state="visible" name="Apple" sheetId="2" r:id="rId6"/>
    <sheet state="visible" name="Google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tr">
        <f>IFERROR(__xludf.DUMMYFUNCTION("GOOGLEFINANCE(""MSFT"", ""all"", ""2021-06-07"", ""2026-06-07"",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IFERROR(__xludf.DUMMYFUNCTION("""COMPUTED_VALUE"""),44354.66666666667)</f>
        <v>44354.66667</v>
      </c>
      <c r="B2" s="1">
        <f>IFERROR(__xludf.DUMMYFUNCTION("""COMPUTED_VALUE"""),249.98)</f>
        <v>249.98</v>
      </c>
      <c r="C2" s="1">
        <f>IFERROR(__xludf.DUMMYFUNCTION("""COMPUTED_VALUE"""),254.09)</f>
        <v>254.09</v>
      </c>
      <c r="D2" s="1">
        <f>IFERROR(__xludf.DUMMYFUNCTION("""COMPUTED_VALUE"""),249.81)</f>
        <v>249.81</v>
      </c>
      <c r="E2" s="1">
        <f>IFERROR(__xludf.DUMMYFUNCTION("""COMPUTED_VALUE"""),253.81)</f>
        <v>253.81</v>
      </c>
      <c r="F2" s="1">
        <f>IFERROR(__xludf.DUMMYFUNCTION("""COMPUTED_VALUE"""),2.3079167E7)</f>
        <v>23079167</v>
      </c>
    </row>
    <row r="3">
      <c r="A3" s="2">
        <f>IFERROR(__xludf.DUMMYFUNCTION("""COMPUTED_VALUE"""),44355.66666666667)</f>
        <v>44355.66667</v>
      </c>
      <c r="B3" s="1">
        <f>IFERROR(__xludf.DUMMYFUNCTION("""COMPUTED_VALUE"""),255.16)</f>
        <v>255.16</v>
      </c>
      <c r="C3" s="1">
        <f>IFERROR(__xludf.DUMMYFUNCTION("""COMPUTED_VALUE"""),256.01)</f>
        <v>256.01</v>
      </c>
      <c r="D3" s="1">
        <f>IFERROR(__xludf.DUMMYFUNCTION("""COMPUTED_VALUE"""),252.51)</f>
        <v>252.51</v>
      </c>
      <c r="E3" s="1">
        <f>IFERROR(__xludf.DUMMYFUNCTION("""COMPUTED_VALUE"""),252.57)</f>
        <v>252.57</v>
      </c>
      <c r="F3" s="1">
        <f>IFERROR(__xludf.DUMMYFUNCTION("""COMPUTED_VALUE"""),2.2454998E7)</f>
        <v>22454998</v>
      </c>
    </row>
    <row r="4">
      <c r="A4" s="2">
        <f>IFERROR(__xludf.DUMMYFUNCTION("""COMPUTED_VALUE"""),44356.66666666667)</f>
        <v>44356.66667</v>
      </c>
      <c r="B4" s="1">
        <f>IFERROR(__xludf.DUMMYFUNCTION("""COMPUTED_VALUE"""),253.81)</f>
        <v>253.81</v>
      </c>
      <c r="C4" s="1">
        <f>IFERROR(__xludf.DUMMYFUNCTION("""COMPUTED_VALUE"""),255.53)</f>
        <v>255.53</v>
      </c>
      <c r="D4" s="1">
        <f>IFERROR(__xludf.DUMMYFUNCTION("""COMPUTED_VALUE"""),253.21)</f>
        <v>253.21</v>
      </c>
      <c r="E4" s="1">
        <f>IFERROR(__xludf.DUMMYFUNCTION("""COMPUTED_VALUE"""),253.59)</f>
        <v>253.59</v>
      </c>
      <c r="F4" s="1">
        <f>IFERROR(__xludf.DUMMYFUNCTION("""COMPUTED_VALUE"""),1.7937634E7)</f>
        <v>17937634</v>
      </c>
    </row>
    <row r="5">
      <c r="A5" s="2">
        <f>IFERROR(__xludf.DUMMYFUNCTION("""COMPUTED_VALUE"""),44357.66666666667)</f>
        <v>44357.66667</v>
      </c>
      <c r="B5" s="1">
        <f>IFERROR(__xludf.DUMMYFUNCTION("""COMPUTED_VALUE"""),254.29)</f>
        <v>254.29</v>
      </c>
      <c r="C5" s="1">
        <f>IFERROR(__xludf.DUMMYFUNCTION("""COMPUTED_VALUE"""),257.46)</f>
        <v>257.46</v>
      </c>
      <c r="D5" s="1">
        <f>IFERROR(__xludf.DUMMYFUNCTION("""COMPUTED_VALUE"""),253.67)</f>
        <v>253.67</v>
      </c>
      <c r="E5" s="1">
        <f>IFERROR(__xludf.DUMMYFUNCTION("""COMPUTED_VALUE"""),257.24)</f>
        <v>257.24</v>
      </c>
      <c r="F5" s="1">
        <f>IFERROR(__xludf.DUMMYFUNCTION("""COMPUTED_VALUE"""),2.4563619E7)</f>
        <v>24563619</v>
      </c>
    </row>
    <row r="6">
      <c r="A6" s="2">
        <f>IFERROR(__xludf.DUMMYFUNCTION("""COMPUTED_VALUE"""),44358.66666666667)</f>
        <v>44358.66667</v>
      </c>
      <c r="B6" s="1">
        <f>IFERROR(__xludf.DUMMYFUNCTION("""COMPUTED_VALUE"""),257.99)</f>
        <v>257.99</v>
      </c>
      <c r="C6" s="1">
        <f>IFERROR(__xludf.DUMMYFUNCTION("""COMPUTED_VALUE"""),258.49)</f>
        <v>258.49</v>
      </c>
      <c r="D6" s="1">
        <f>IFERROR(__xludf.DUMMYFUNCTION("""COMPUTED_VALUE"""),256.61)</f>
        <v>256.61</v>
      </c>
      <c r="E6" s="1">
        <f>IFERROR(__xludf.DUMMYFUNCTION("""COMPUTED_VALUE"""),257.89)</f>
        <v>257.89</v>
      </c>
      <c r="F6" s="1">
        <f>IFERROR(__xludf.DUMMYFUNCTION("""COMPUTED_VALUE"""),1.8999731E7)</f>
        <v>18999731</v>
      </c>
    </row>
    <row r="7">
      <c r="A7" s="2">
        <f>IFERROR(__xludf.DUMMYFUNCTION("""COMPUTED_VALUE"""),44361.66666666667)</f>
        <v>44361.66667</v>
      </c>
      <c r="B7" s="1">
        <f>IFERROR(__xludf.DUMMYFUNCTION("""COMPUTED_VALUE"""),257.9)</f>
        <v>257.9</v>
      </c>
      <c r="C7" s="1">
        <f>IFERROR(__xludf.DUMMYFUNCTION("""COMPUTED_VALUE"""),259.95)</f>
        <v>259.95</v>
      </c>
      <c r="D7" s="1">
        <f>IFERROR(__xludf.DUMMYFUNCTION("""COMPUTED_VALUE"""),256.8)</f>
        <v>256.8</v>
      </c>
      <c r="E7" s="1">
        <f>IFERROR(__xludf.DUMMYFUNCTION("""COMPUTED_VALUE"""),259.89)</f>
        <v>259.89</v>
      </c>
      <c r="F7" s="1">
        <f>IFERROR(__xludf.DUMMYFUNCTION("""COMPUTED_VALUE"""),1.9150507E7)</f>
        <v>19150507</v>
      </c>
    </row>
    <row r="8">
      <c r="A8" s="2">
        <f>IFERROR(__xludf.DUMMYFUNCTION("""COMPUTED_VALUE"""),44362.66666666667)</f>
        <v>44362.66667</v>
      </c>
      <c r="B8" s="1">
        <f>IFERROR(__xludf.DUMMYFUNCTION("""COMPUTED_VALUE"""),259.77)</f>
        <v>259.77</v>
      </c>
      <c r="C8" s="1">
        <f>IFERROR(__xludf.DUMMYFUNCTION("""COMPUTED_VALUE"""),259.99)</f>
        <v>259.99</v>
      </c>
      <c r="D8" s="1">
        <f>IFERROR(__xludf.DUMMYFUNCTION("""COMPUTED_VALUE"""),257.68)</f>
        <v>257.68</v>
      </c>
      <c r="E8" s="1">
        <f>IFERROR(__xludf.DUMMYFUNCTION("""COMPUTED_VALUE"""),258.36)</f>
        <v>258.36</v>
      </c>
      <c r="F8" s="1">
        <f>IFERROR(__xludf.DUMMYFUNCTION("""COMPUTED_VALUE"""),1.8038931E7)</f>
        <v>18038931</v>
      </c>
    </row>
    <row r="9">
      <c r="A9" s="2">
        <f>IFERROR(__xludf.DUMMYFUNCTION("""COMPUTED_VALUE"""),44363.66666666667)</f>
        <v>44363.66667</v>
      </c>
      <c r="B9" s="1">
        <f>IFERROR(__xludf.DUMMYFUNCTION("""COMPUTED_VALUE"""),259.4)</f>
        <v>259.4</v>
      </c>
      <c r="C9" s="1">
        <f>IFERROR(__xludf.DUMMYFUNCTION("""COMPUTED_VALUE"""),260.58)</f>
        <v>260.58</v>
      </c>
      <c r="D9" s="1">
        <f>IFERROR(__xludf.DUMMYFUNCTION("""COMPUTED_VALUE"""),254.42)</f>
        <v>254.42</v>
      </c>
      <c r="E9" s="1">
        <f>IFERROR(__xludf.DUMMYFUNCTION("""COMPUTED_VALUE"""),257.38)</f>
        <v>257.38</v>
      </c>
      <c r="F9" s="1">
        <f>IFERROR(__xludf.DUMMYFUNCTION("""COMPUTED_VALUE"""),2.7219956E7)</f>
        <v>27219956</v>
      </c>
    </row>
    <row r="10">
      <c r="A10" s="2">
        <f>IFERROR(__xludf.DUMMYFUNCTION("""COMPUTED_VALUE"""),44364.66666666667)</f>
        <v>44364.66667</v>
      </c>
      <c r="B10" s="1">
        <f>IFERROR(__xludf.DUMMYFUNCTION("""COMPUTED_VALUE"""),256.07)</f>
        <v>256.07</v>
      </c>
      <c r="C10" s="1">
        <f>IFERROR(__xludf.DUMMYFUNCTION("""COMPUTED_VALUE"""),261.75)</f>
        <v>261.75</v>
      </c>
      <c r="D10" s="1">
        <f>IFERROR(__xludf.DUMMYFUNCTION("""COMPUTED_VALUE"""),256.01)</f>
        <v>256.01</v>
      </c>
      <c r="E10" s="1">
        <f>IFERROR(__xludf.DUMMYFUNCTION("""COMPUTED_VALUE"""),260.9)</f>
        <v>260.9</v>
      </c>
      <c r="F10" s="1">
        <f>IFERROR(__xludf.DUMMYFUNCTION("""COMPUTED_VALUE"""),2.7565537E7)</f>
        <v>27565537</v>
      </c>
    </row>
    <row r="11">
      <c r="A11" s="2">
        <f>IFERROR(__xludf.DUMMYFUNCTION("""COMPUTED_VALUE"""),44365.66666666667)</f>
        <v>44365.66667</v>
      </c>
      <c r="B11" s="1">
        <f>IFERROR(__xludf.DUMMYFUNCTION("""COMPUTED_VALUE"""),259.63)</f>
        <v>259.63</v>
      </c>
      <c r="C11" s="1">
        <f>IFERROR(__xludf.DUMMYFUNCTION("""COMPUTED_VALUE"""),262.3)</f>
        <v>262.3</v>
      </c>
      <c r="D11" s="1">
        <f>IFERROR(__xludf.DUMMYFUNCTION("""COMPUTED_VALUE"""),258.75)</f>
        <v>258.75</v>
      </c>
      <c r="E11" s="1">
        <f>IFERROR(__xludf.DUMMYFUNCTION("""COMPUTED_VALUE"""),259.43)</f>
        <v>259.43</v>
      </c>
      <c r="F11" s="1">
        <f>IFERROR(__xludf.DUMMYFUNCTION("""COMPUTED_VALUE"""),3.7202217E7)</f>
        <v>37202217</v>
      </c>
    </row>
    <row r="12">
      <c r="A12" s="2">
        <f>IFERROR(__xludf.DUMMYFUNCTION("""COMPUTED_VALUE"""),44368.66666666667)</f>
        <v>44368.66667</v>
      </c>
      <c r="B12" s="1">
        <f>IFERROR(__xludf.DUMMYFUNCTION("""COMPUTED_VALUE"""),259.82)</f>
        <v>259.82</v>
      </c>
      <c r="C12" s="1">
        <f>IFERROR(__xludf.DUMMYFUNCTION("""COMPUTED_VALUE"""),263.52)</f>
        <v>263.52</v>
      </c>
      <c r="D12" s="1">
        <f>IFERROR(__xludf.DUMMYFUNCTION("""COMPUTED_VALUE"""),257.92)</f>
        <v>257.92</v>
      </c>
      <c r="E12" s="1">
        <f>IFERROR(__xludf.DUMMYFUNCTION("""COMPUTED_VALUE"""),262.63)</f>
        <v>262.63</v>
      </c>
      <c r="F12" s="1">
        <f>IFERROR(__xludf.DUMMYFUNCTION("""COMPUTED_VALUE"""),2.6696119E7)</f>
        <v>26696119</v>
      </c>
    </row>
    <row r="13">
      <c r="A13" s="2">
        <f>IFERROR(__xludf.DUMMYFUNCTION("""COMPUTED_VALUE"""),44369.66666666667)</f>
        <v>44369.66667</v>
      </c>
      <c r="B13" s="1">
        <f>IFERROR(__xludf.DUMMYFUNCTION("""COMPUTED_VALUE"""),262.72)</f>
        <v>262.72</v>
      </c>
      <c r="C13" s="1">
        <f>IFERROR(__xludf.DUMMYFUNCTION("""COMPUTED_VALUE"""),265.79)</f>
        <v>265.79</v>
      </c>
      <c r="D13" s="1">
        <f>IFERROR(__xludf.DUMMYFUNCTION("""COMPUTED_VALUE"""),262.4)</f>
        <v>262.4</v>
      </c>
      <c r="E13" s="1">
        <f>IFERROR(__xludf.DUMMYFUNCTION("""COMPUTED_VALUE"""),265.51)</f>
        <v>265.51</v>
      </c>
      <c r="F13" s="1">
        <f>IFERROR(__xludf.DUMMYFUNCTION("""COMPUTED_VALUE"""),2.469409E7)</f>
        <v>24694090</v>
      </c>
    </row>
    <row r="14">
      <c r="A14" s="2">
        <f>IFERROR(__xludf.DUMMYFUNCTION("""COMPUTED_VALUE"""),44370.66666666667)</f>
        <v>44370.66667</v>
      </c>
      <c r="B14" s="1">
        <f>IFERROR(__xludf.DUMMYFUNCTION("""COMPUTED_VALUE"""),265.99)</f>
        <v>265.99</v>
      </c>
      <c r="C14" s="1">
        <f>IFERROR(__xludf.DUMMYFUNCTION("""COMPUTED_VALUE"""),266.83)</f>
        <v>266.83</v>
      </c>
      <c r="D14" s="1">
        <f>IFERROR(__xludf.DUMMYFUNCTION("""COMPUTED_VALUE"""),264.43)</f>
        <v>264.43</v>
      </c>
      <c r="E14" s="1">
        <f>IFERROR(__xludf.DUMMYFUNCTION("""COMPUTED_VALUE"""),265.27)</f>
        <v>265.27</v>
      </c>
      <c r="F14" s="1">
        <f>IFERROR(__xludf.DUMMYFUNCTION("""COMPUTED_VALUE"""),1.9518681E7)</f>
        <v>19518681</v>
      </c>
    </row>
    <row r="15">
      <c r="A15" s="2">
        <f>IFERROR(__xludf.DUMMYFUNCTION("""COMPUTED_VALUE"""),44371.66666666667)</f>
        <v>44371.66667</v>
      </c>
      <c r="B15" s="1">
        <f>IFERROR(__xludf.DUMMYFUNCTION("""COMPUTED_VALUE"""),266.16)</f>
        <v>266.16</v>
      </c>
      <c r="C15" s="1">
        <f>IFERROR(__xludf.DUMMYFUNCTION("""COMPUTED_VALUE"""),267.85)</f>
        <v>267.85</v>
      </c>
      <c r="D15" s="1">
        <f>IFERROR(__xludf.DUMMYFUNCTION("""COMPUTED_VALUE"""),265.47)</f>
        <v>265.47</v>
      </c>
      <c r="E15" s="1">
        <f>IFERROR(__xludf.DUMMYFUNCTION("""COMPUTED_VALUE"""),266.69)</f>
        <v>266.69</v>
      </c>
      <c r="F15" s="1">
        <f>IFERROR(__xludf.DUMMYFUNCTION("""COMPUTED_VALUE"""),2.1446867E7)</f>
        <v>21446867</v>
      </c>
    </row>
    <row r="16">
      <c r="A16" s="2">
        <f>IFERROR(__xludf.DUMMYFUNCTION("""COMPUTED_VALUE"""),44372.66666666667)</f>
        <v>44372.66667</v>
      </c>
      <c r="B16" s="1">
        <f>IFERROR(__xludf.DUMMYFUNCTION("""COMPUTED_VALUE"""),266.23)</f>
        <v>266.23</v>
      </c>
      <c r="C16" s="1">
        <f>IFERROR(__xludf.DUMMYFUNCTION("""COMPUTED_VALUE"""),267.25)</f>
        <v>267.25</v>
      </c>
      <c r="D16" s="1">
        <f>IFERROR(__xludf.DUMMYFUNCTION("""COMPUTED_VALUE"""),264.76)</f>
        <v>264.76</v>
      </c>
      <c r="E16" s="1">
        <f>IFERROR(__xludf.DUMMYFUNCTION("""COMPUTED_VALUE"""),265.02)</f>
        <v>265.02</v>
      </c>
      <c r="F16" s="1">
        <f>IFERROR(__xludf.DUMMYFUNCTION("""COMPUTED_VALUE"""),2.5611113E7)</f>
        <v>25611113</v>
      </c>
    </row>
    <row r="17">
      <c r="A17" s="2">
        <f>IFERROR(__xludf.DUMMYFUNCTION("""COMPUTED_VALUE"""),44375.66666666667)</f>
        <v>44375.66667</v>
      </c>
      <c r="B17" s="1">
        <f>IFERROR(__xludf.DUMMYFUNCTION("""COMPUTED_VALUE"""),266.19)</f>
        <v>266.19</v>
      </c>
      <c r="C17" s="1">
        <f>IFERROR(__xludf.DUMMYFUNCTION("""COMPUTED_VALUE"""),268.9)</f>
        <v>268.9</v>
      </c>
      <c r="D17" s="1">
        <f>IFERROR(__xludf.DUMMYFUNCTION("""COMPUTED_VALUE"""),265.91)</f>
        <v>265.91</v>
      </c>
      <c r="E17" s="1">
        <f>IFERROR(__xludf.DUMMYFUNCTION("""COMPUTED_VALUE"""),268.72)</f>
        <v>268.72</v>
      </c>
      <c r="F17" s="1">
        <f>IFERROR(__xludf.DUMMYFUNCTION("""COMPUTED_VALUE"""),1.9590024E7)</f>
        <v>19590024</v>
      </c>
    </row>
    <row r="18">
      <c r="A18" s="2">
        <f>IFERROR(__xludf.DUMMYFUNCTION("""COMPUTED_VALUE"""),44376.66666666667)</f>
        <v>44376.66667</v>
      </c>
      <c r="B18" s="1">
        <f>IFERROR(__xludf.DUMMYFUNCTION("""COMPUTED_VALUE"""),268.87)</f>
        <v>268.87</v>
      </c>
      <c r="C18" s="1">
        <f>IFERROR(__xludf.DUMMYFUNCTION("""COMPUTED_VALUE"""),271.65)</f>
        <v>271.65</v>
      </c>
      <c r="D18" s="1">
        <f>IFERROR(__xludf.DUMMYFUNCTION("""COMPUTED_VALUE"""),267.98)</f>
        <v>267.98</v>
      </c>
      <c r="E18" s="1">
        <f>IFERROR(__xludf.DUMMYFUNCTION("""COMPUTED_VALUE"""),271.4)</f>
        <v>271.4</v>
      </c>
      <c r="F18" s="1">
        <f>IFERROR(__xludf.DUMMYFUNCTION("""COMPUTED_VALUE"""),1.9937811E7)</f>
        <v>19937811</v>
      </c>
    </row>
    <row r="19">
      <c r="A19" s="2">
        <f>IFERROR(__xludf.DUMMYFUNCTION("""COMPUTED_VALUE"""),44377.66666666667)</f>
        <v>44377.66667</v>
      </c>
      <c r="B19" s="1">
        <f>IFERROR(__xludf.DUMMYFUNCTION("""COMPUTED_VALUE"""),270.69)</f>
        <v>270.69</v>
      </c>
      <c r="C19" s="1">
        <f>IFERROR(__xludf.DUMMYFUNCTION("""COMPUTED_VALUE"""),271.36)</f>
        <v>271.36</v>
      </c>
      <c r="D19" s="1">
        <f>IFERROR(__xludf.DUMMYFUNCTION("""COMPUTED_VALUE"""),269.6)</f>
        <v>269.6</v>
      </c>
      <c r="E19" s="1">
        <f>IFERROR(__xludf.DUMMYFUNCTION("""COMPUTED_VALUE"""),270.9)</f>
        <v>270.9</v>
      </c>
      <c r="F19" s="1">
        <f>IFERROR(__xludf.DUMMYFUNCTION("""COMPUTED_VALUE"""),2.1656457E7)</f>
        <v>21656457</v>
      </c>
    </row>
    <row r="20">
      <c r="A20" s="2">
        <f>IFERROR(__xludf.DUMMYFUNCTION("""COMPUTED_VALUE"""),44378.66666666667)</f>
        <v>44378.66667</v>
      </c>
      <c r="B20" s="1">
        <f>IFERROR(__xludf.DUMMYFUNCTION("""COMPUTED_VALUE"""),269.61)</f>
        <v>269.61</v>
      </c>
      <c r="C20" s="1">
        <f>IFERROR(__xludf.DUMMYFUNCTION("""COMPUTED_VALUE"""),271.84)</f>
        <v>271.84</v>
      </c>
      <c r="D20" s="1">
        <f>IFERROR(__xludf.DUMMYFUNCTION("""COMPUTED_VALUE"""),269.6)</f>
        <v>269.6</v>
      </c>
      <c r="E20" s="1">
        <f>IFERROR(__xludf.DUMMYFUNCTION("""COMPUTED_VALUE"""),271.6)</f>
        <v>271.6</v>
      </c>
      <c r="F20" s="1">
        <f>IFERROR(__xludf.DUMMYFUNCTION("""COMPUTED_VALUE"""),1.6725323E7)</f>
        <v>16725323</v>
      </c>
    </row>
    <row r="21">
      <c r="A21" s="2">
        <f>IFERROR(__xludf.DUMMYFUNCTION("""COMPUTED_VALUE"""),44379.66666666667)</f>
        <v>44379.66667</v>
      </c>
      <c r="B21" s="1">
        <f>IFERROR(__xludf.DUMMYFUNCTION("""COMPUTED_VALUE"""),272.82)</f>
        <v>272.82</v>
      </c>
      <c r="C21" s="1">
        <f>IFERROR(__xludf.DUMMYFUNCTION("""COMPUTED_VALUE"""),278.0)</f>
        <v>278</v>
      </c>
      <c r="D21" s="1">
        <f>IFERROR(__xludf.DUMMYFUNCTION("""COMPUTED_VALUE"""),272.5)</f>
        <v>272.5</v>
      </c>
      <c r="E21" s="1">
        <f>IFERROR(__xludf.DUMMYFUNCTION("""COMPUTED_VALUE"""),277.65)</f>
        <v>277.65</v>
      </c>
      <c r="F21" s="1">
        <f>IFERROR(__xludf.DUMMYFUNCTION("""COMPUTED_VALUE"""),2.6474408E7)</f>
        <v>26474408</v>
      </c>
    </row>
    <row r="22">
      <c r="A22" s="2">
        <f>IFERROR(__xludf.DUMMYFUNCTION("""COMPUTED_VALUE"""),44383.66666666667)</f>
        <v>44383.66667</v>
      </c>
      <c r="B22" s="1">
        <f>IFERROR(__xludf.DUMMYFUNCTION("""COMPUTED_VALUE"""),278.03)</f>
        <v>278.03</v>
      </c>
      <c r="C22" s="1">
        <f>IFERROR(__xludf.DUMMYFUNCTION("""COMPUTED_VALUE"""),279.37)</f>
        <v>279.37</v>
      </c>
      <c r="D22" s="1">
        <f>IFERROR(__xludf.DUMMYFUNCTION("""COMPUTED_VALUE"""),274.3)</f>
        <v>274.3</v>
      </c>
      <c r="E22" s="1">
        <f>IFERROR(__xludf.DUMMYFUNCTION("""COMPUTED_VALUE"""),277.66)</f>
        <v>277.66</v>
      </c>
      <c r="F22" s="1">
        <f>IFERROR(__xludf.DUMMYFUNCTION("""COMPUTED_VALUE"""),3.156556E7)</f>
        <v>31565560</v>
      </c>
    </row>
    <row r="23">
      <c r="A23" s="2">
        <f>IFERROR(__xludf.DUMMYFUNCTION("""COMPUTED_VALUE"""),44384.66666666667)</f>
        <v>44384.66667</v>
      </c>
      <c r="B23" s="1">
        <f>IFERROR(__xludf.DUMMYFUNCTION("""COMPUTED_VALUE"""),279.4)</f>
        <v>279.4</v>
      </c>
      <c r="C23" s="1">
        <f>IFERROR(__xludf.DUMMYFUNCTION("""COMPUTED_VALUE"""),280.69)</f>
        <v>280.69</v>
      </c>
      <c r="D23" s="1">
        <f>IFERROR(__xludf.DUMMYFUNCTION("""COMPUTED_VALUE"""),277.15)</f>
        <v>277.15</v>
      </c>
      <c r="E23" s="1">
        <f>IFERROR(__xludf.DUMMYFUNCTION("""COMPUTED_VALUE"""),279.93)</f>
        <v>279.93</v>
      </c>
      <c r="F23" s="1">
        <f>IFERROR(__xludf.DUMMYFUNCTION("""COMPUTED_VALUE"""),2.3260031E7)</f>
        <v>23260031</v>
      </c>
    </row>
    <row r="24">
      <c r="A24" s="2">
        <f>IFERROR(__xludf.DUMMYFUNCTION("""COMPUTED_VALUE"""),44385.66666666667)</f>
        <v>44385.66667</v>
      </c>
      <c r="B24" s="1">
        <f>IFERROR(__xludf.DUMMYFUNCTION("""COMPUTED_VALUE"""),276.9)</f>
        <v>276.9</v>
      </c>
      <c r="C24" s="1">
        <f>IFERROR(__xludf.DUMMYFUNCTION("""COMPUTED_VALUE"""),278.73)</f>
        <v>278.73</v>
      </c>
      <c r="D24" s="1">
        <f>IFERROR(__xludf.DUMMYFUNCTION("""COMPUTED_VALUE"""),274.87)</f>
        <v>274.87</v>
      </c>
      <c r="E24" s="1">
        <f>IFERROR(__xludf.DUMMYFUNCTION("""COMPUTED_VALUE"""),277.42)</f>
        <v>277.42</v>
      </c>
      <c r="F24" s="1">
        <f>IFERROR(__xludf.DUMMYFUNCTION("""COMPUTED_VALUE"""),2.4618591E7)</f>
        <v>24618591</v>
      </c>
    </row>
    <row r="25">
      <c r="A25" s="2">
        <f>IFERROR(__xludf.DUMMYFUNCTION("""COMPUTED_VALUE"""),44386.66666666667)</f>
        <v>44386.66667</v>
      </c>
      <c r="B25" s="1">
        <f>IFERROR(__xludf.DUMMYFUNCTION("""COMPUTED_VALUE"""),275.72)</f>
        <v>275.72</v>
      </c>
      <c r="C25" s="1">
        <f>IFERROR(__xludf.DUMMYFUNCTION("""COMPUTED_VALUE"""),278.05)</f>
        <v>278.05</v>
      </c>
      <c r="D25" s="1">
        <f>IFERROR(__xludf.DUMMYFUNCTION("""COMPUTED_VALUE"""),275.32)</f>
        <v>275.32</v>
      </c>
      <c r="E25" s="1">
        <f>IFERROR(__xludf.DUMMYFUNCTION("""COMPUTED_VALUE"""),277.94)</f>
        <v>277.94</v>
      </c>
      <c r="F25" s="1">
        <f>IFERROR(__xludf.DUMMYFUNCTION("""COMPUTED_VALUE"""),2.3916665E7)</f>
        <v>23916665</v>
      </c>
    </row>
    <row r="26">
      <c r="A26" s="2">
        <f>IFERROR(__xludf.DUMMYFUNCTION("""COMPUTED_VALUE"""),44389.66666666667)</f>
        <v>44389.66667</v>
      </c>
      <c r="B26" s="1">
        <f>IFERROR(__xludf.DUMMYFUNCTION("""COMPUTED_VALUE"""),279.16)</f>
        <v>279.16</v>
      </c>
      <c r="C26" s="1">
        <f>IFERROR(__xludf.DUMMYFUNCTION("""COMPUTED_VALUE"""),279.77)</f>
        <v>279.77</v>
      </c>
      <c r="D26" s="1">
        <f>IFERROR(__xludf.DUMMYFUNCTION("""COMPUTED_VALUE"""),276.58)</f>
        <v>276.58</v>
      </c>
      <c r="E26" s="1">
        <f>IFERROR(__xludf.DUMMYFUNCTION("""COMPUTED_VALUE"""),277.32)</f>
        <v>277.32</v>
      </c>
      <c r="F26" s="1">
        <f>IFERROR(__xludf.DUMMYFUNCTION("""COMPUTED_VALUE"""),1.8931695E7)</f>
        <v>18931695</v>
      </c>
    </row>
    <row r="27">
      <c r="A27" s="2">
        <f>IFERROR(__xludf.DUMMYFUNCTION("""COMPUTED_VALUE"""),44390.66666666667)</f>
        <v>44390.66667</v>
      </c>
      <c r="B27" s="1">
        <f>IFERROR(__xludf.DUMMYFUNCTION("""COMPUTED_VALUE"""),277.52)</f>
        <v>277.52</v>
      </c>
      <c r="C27" s="1">
        <f>IFERROR(__xludf.DUMMYFUNCTION("""COMPUTED_VALUE"""),282.85)</f>
        <v>282.85</v>
      </c>
      <c r="D27" s="1">
        <f>IFERROR(__xludf.DUMMYFUNCTION("""COMPUTED_VALUE"""),277.39)</f>
        <v>277.39</v>
      </c>
      <c r="E27" s="1">
        <f>IFERROR(__xludf.DUMMYFUNCTION("""COMPUTED_VALUE"""),280.98)</f>
        <v>280.98</v>
      </c>
      <c r="F27" s="1">
        <f>IFERROR(__xludf.DUMMYFUNCTION("""COMPUTED_VALUE"""),2.6120128E7)</f>
        <v>26120128</v>
      </c>
    </row>
    <row r="28">
      <c r="A28" s="2">
        <f>IFERROR(__xludf.DUMMYFUNCTION("""COMPUTED_VALUE"""),44391.66666666667)</f>
        <v>44391.66667</v>
      </c>
      <c r="B28" s="1">
        <f>IFERROR(__xludf.DUMMYFUNCTION("""COMPUTED_VALUE"""),282.35)</f>
        <v>282.35</v>
      </c>
      <c r="C28" s="1">
        <f>IFERROR(__xludf.DUMMYFUNCTION("""COMPUTED_VALUE"""),283.66)</f>
        <v>283.66</v>
      </c>
      <c r="D28" s="1">
        <f>IFERROR(__xludf.DUMMYFUNCTION("""COMPUTED_VALUE"""),280.55)</f>
        <v>280.55</v>
      </c>
      <c r="E28" s="1">
        <f>IFERROR(__xludf.DUMMYFUNCTION("""COMPUTED_VALUE"""),282.51)</f>
        <v>282.51</v>
      </c>
      <c r="F28" s="1">
        <f>IFERROR(__xludf.DUMMYFUNCTION("""COMPUTED_VALUE"""),2.3113662E7)</f>
        <v>23113662</v>
      </c>
    </row>
    <row r="29">
      <c r="A29" s="2">
        <f>IFERROR(__xludf.DUMMYFUNCTION("""COMPUTED_VALUE"""),44392.66666666667)</f>
        <v>44392.66667</v>
      </c>
      <c r="B29" s="1">
        <f>IFERROR(__xludf.DUMMYFUNCTION("""COMPUTED_VALUE"""),282.0)</f>
        <v>282</v>
      </c>
      <c r="C29" s="1">
        <f>IFERROR(__xludf.DUMMYFUNCTION("""COMPUTED_VALUE"""),282.51)</f>
        <v>282.51</v>
      </c>
      <c r="D29" s="1">
        <f>IFERROR(__xludf.DUMMYFUNCTION("""COMPUTED_VALUE"""),279.83)</f>
        <v>279.83</v>
      </c>
      <c r="E29" s="1">
        <f>IFERROR(__xludf.DUMMYFUNCTION("""COMPUTED_VALUE"""),281.03)</f>
        <v>281.03</v>
      </c>
      <c r="F29" s="1">
        <f>IFERROR(__xludf.DUMMYFUNCTION("""COMPUTED_VALUE"""),2.2604227E7)</f>
        <v>22604227</v>
      </c>
    </row>
    <row r="30">
      <c r="A30" s="2">
        <f>IFERROR(__xludf.DUMMYFUNCTION("""COMPUTED_VALUE"""),44393.66666666667)</f>
        <v>44393.66667</v>
      </c>
      <c r="B30" s="1">
        <f>IFERROR(__xludf.DUMMYFUNCTION("""COMPUTED_VALUE"""),282.07)</f>
        <v>282.07</v>
      </c>
      <c r="C30" s="1">
        <f>IFERROR(__xludf.DUMMYFUNCTION("""COMPUTED_VALUE"""),284.1)</f>
        <v>284.1</v>
      </c>
      <c r="D30" s="1">
        <f>IFERROR(__xludf.DUMMYFUNCTION("""COMPUTED_VALUE"""),279.46)</f>
        <v>279.46</v>
      </c>
      <c r="E30" s="1">
        <f>IFERROR(__xludf.DUMMYFUNCTION("""COMPUTED_VALUE"""),280.75)</f>
        <v>280.75</v>
      </c>
      <c r="F30" s="1">
        <f>IFERROR(__xludf.DUMMYFUNCTION("""COMPUTED_VALUE"""),2.6186848E7)</f>
        <v>26186848</v>
      </c>
    </row>
    <row r="31">
      <c r="A31" s="2">
        <f>IFERROR(__xludf.DUMMYFUNCTION("""COMPUTED_VALUE"""),44396.66666666667)</f>
        <v>44396.66667</v>
      </c>
      <c r="B31" s="1">
        <f>IFERROR(__xludf.DUMMYFUNCTION("""COMPUTED_VALUE"""),278.93)</f>
        <v>278.93</v>
      </c>
      <c r="C31" s="1">
        <f>IFERROR(__xludf.DUMMYFUNCTION("""COMPUTED_VALUE"""),280.37)</f>
        <v>280.37</v>
      </c>
      <c r="D31" s="1">
        <f>IFERROR(__xludf.DUMMYFUNCTION("""COMPUTED_VALUE"""),274.45)</f>
        <v>274.45</v>
      </c>
      <c r="E31" s="1">
        <f>IFERROR(__xludf.DUMMYFUNCTION("""COMPUTED_VALUE"""),277.01)</f>
        <v>277.01</v>
      </c>
      <c r="F31" s="1">
        <f>IFERROR(__xludf.DUMMYFUNCTION("""COMPUTED_VALUE"""),3.2935634E7)</f>
        <v>32935634</v>
      </c>
    </row>
    <row r="32">
      <c r="A32" s="2">
        <f>IFERROR(__xludf.DUMMYFUNCTION("""COMPUTED_VALUE"""),44397.66666666667)</f>
        <v>44397.66667</v>
      </c>
      <c r="B32" s="1">
        <f>IFERROR(__xludf.DUMMYFUNCTION("""COMPUTED_VALUE"""),278.03)</f>
        <v>278.03</v>
      </c>
      <c r="C32" s="1">
        <f>IFERROR(__xludf.DUMMYFUNCTION("""COMPUTED_VALUE"""),280.97)</f>
        <v>280.97</v>
      </c>
      <c r="D32" s="1">
        <f>IFERROR(__xludf.DUMMYFUNCTION("""COMPUTED_VALUE"""),276.26)</f>
        <v>276.26</v>
      </c>
      <c r="E32" s="1">
        <f>IFERROR(__xludf.DUMMYFUNCTION("""COMPUTED_VALUE"""),279.32)</f>
        <v>279.32</v>
      </c>
      <c r="F32" s="1">
        <f>IFERROR(__xludf.DUMMYFUNCTION("""COMPUTED_VALUE"""),2.6259741E7)</f>
        <v>26259741</v>
      </c>
    </row>
    <row r="33">
      <c r="A33" s="2">
        <f>IFERROR(__xludf.DUMMYFUNCTION("""COMPUTED_VALUE"""),44398.66666666667)</f>
        <v>44398.66667</v>
      </c>
      <c r="B33" s="1">
        <f>IFERROR(__xludf.DUMMYFUNCTION("""COMPUTED_VALUE"""),278.9)</f>
        <v>278.9</v>
      </c>
      <c r="C33" s="1">
        <f>IFERROR(__xludf.DUMMYFUNCTION("""COMPUTED_VALUE"""),281.52)</f>
        <v>281.52</v>
      </c>
      <c r="D33" s="1">
        <f>IFERROR(__xludf.DUMMYFUNCTION("""COMPUTED_VALUE"""),277.29)</f>
        <v>277.29</v>
      </c>
      <c r="E33" s="1">
        <f>IFERROR(__xludf.DUMMYFUNCTION("""COMPUTED_VALUE"""),281.4)</f>
        <v>281.4</v>
      </c>
      <c r="F33" s="1">
        <f>IFERROR(__xludf.DUMMYFUNCTION("""COMPUTED_VALUE"""),2.436432E7)</f>
        <v>24364320</v>
      </c>
    </row>
    <row r="34">
      <c r="A34" s="2">
        <f>IFERROR(__xludf.DUMMYFUNCTION("""COMPUTED_VALUE"""),44399.66666666667)</f>
        <v>44399.66667</v>
      </c>
      <c r="B34" s="1">
        <f>IFERROR(__xludf.DUMMYFUNCTION("""COMPUTED_VALUE"""),283.84)</f>
        <v>283.84</v>
      </c>
      <c r="C34" s="1">
        <f>IFERROR(__xludf.DUMMYFUNCTION("""COMPUTED_VALUE"""),286.42)</f>
        <v>286.42</v>
      </c>
      <c r="D34" s="1">
        <f>IFERROR(__xludf.DUMMYFUNCTION("""COMPUTED_VALUE"""),283.42)</f>
        <v>283.42</v>
      </c>
      <c r="E34" s="1">
        <f>IFERROR(__xludf.DUMMYFUNCTION("""COMPUTED_VALUE"""),286.14)</f>
        <v>286.14</v>
      </c>
      <c r="F34" s="1">
        <f>IFERROR(__xludf.DUMMYFUNCTION("""COMPUTED_VALUE"""),2.3384059E7)</f>
        <v>23384059</v>
      </c>
    </row>
    <row r="35">
      <c r="A35" s="2">
        <f>IFERROR(__xludf.DUMMYFUNCTION("""COMPUTED_VALUE"""),44400.66666666667)</f>
        <v>44400.66667</v>
      </c>
      <c r="B35" s="1">
        <f>IFERROR(__xludf.DUMMYFUNCTION("""COMPUTED_VALUE"""),287.37)</f>
        <v>287.37</v>
      </c>
      <c r="C35" s="1">
        <f>IFERROR(__xludf.DUMMYFUNCTION("""COMPUTED_VALUE"""),289.99)</f>
        <v>289.99</v>
      </c>
      <c r="D35" s="1">
        <f>IFERROR(__xludf.DUMMYFUNCTION("""COMPUTED_VALUE"""),286.5)</f>
        <v>286.5</v>
      </c>
      <c r="E35" s="1">
        <f>IFERROR(__xludf.DUMMYFUNCTION("""COMPUTED_VALUE"""),289.67)</f>
        <v>289.67</v>
      </c>
      <c r="F35" s="1">
        <f>IFERROR(__xludf.DUMMYFUNCTION("""COMPUTED_VALUE"""),2.2768071E7)</f>
        <v>22768071</v>
      </c>
    </row>
    <row r="36">
      <c r="A36" s="2">
        <f>IFERROR(__xludf.DUMMYFUNCTION("""COMPUTED_VALUE"""),44403.66666666667)</f>
        <v>44403.66667</v>
      </c>
      <c r="B36" s="1">
        <f>IFERROR(__xludf.DUMMYFUNCTION("""COMPUTED_VALUE"""),289.0)</f>
        <v>289</v>
      </c>
      <c r="C36" s="1">
        <f>IFERROR(__xludf.DUMMYFUNCTION("""COMPUTED_VALUE"""),289.69)</f>
        <v>289.69</v>
      </c>
      <c r="D36" s="1">
        <f>IFERROR(__xludf.DUMMYFUNCTION("""COMPUTED_VALUE"""),286.64)</f>
        <v>286.64</v>
      </c>
      <c r="E36" s="1">
        <f>IFERROR(__xludf.DUMMYFUNCTION("""COMPUTED_VALUE"""),289.05)</f>
        <v>289.05</v>
      </c>
      <c r="F36" s="1">
        <f>IFERROR(__xludf.DUMMYFUNCTION("""COMPUTED_VALUE"""),2.3176073E7)</f>
        <v>23176073</v>
      </c>
    </row>
    <row r="37">
      <c r="A37" s="2">
        <f>IFERROR(__xludf.DUMMYFUNCTION("""COMPUTED_VALUE"""),44404.66666666667)</f>
        <v>44404.66667</v>
      </c>
      <c r="B37" s="1">
        <f>IFERROR(__xludf.DUMMYFUNCTION("""COMPUTED_VALUE"""),289.43)</f>
        <v>289.43</v>
      </c>
      <c r="C37" s="1">
        <f>IFERROR(__xludf.DUMMYFUNCTION("""COMPUTED_VALUE"""),289.58)</f>
        <v>289.58</v>
      </c>
      <c r="D37" s="1">
        <f>IFERROR(__xludf.DUMMYFUNCTION("""COMPUTED_VALUE"""),282.95)</f>
        <v>282.95</v>
      </c>
      <c r="E37" s="1">
        <f>IFERROR(__xludf.DUMMYFUNCTION("""COMPUTED_VALUE"""),286.54)</f>
        <v>286.54</v>
      </c>
      <c r="F37" s="1">
        <f>IFERROR(__xludf.DUMMYFUNCTION("""COMPUTED_VALUE"""),3.3604073E7)</f>
        <v>33604073</v>
      </c>
    </row>
    <row r="38">
      <c r="A38" s="2">
        <f>IFERROR(__xludf.DUMMYFUNCTION("""COMPUTED_VALUE"""),44405.66666666667)</f>
        <v>44405.66667</v>
      </c>
      <c r="B38" s="1">
        <f>IFERROR(__xludf.DUMMYFUNCTION("""COMPUTED_VALUE"""),288.99)</f>
        <v>288.99</v>
      </c>
      <c r="C38" s="1">
        <f>IFERROR(__xludf.DUMMYFUNCTION("""COMPUTED_VALUE"""),290.15)</f>
        <v>290.15</v>
      </c>
      <c r="D38" s="1">
        <f>IFERROR(__xludf.DUMMYFUNCTION("""COMPUTED_VALUE"""),283.83)</f>
        <v>283.83</v>
      </c>
      <c r="E38" s="1">
        <f>IFERROR(__xludf.DUMMYFUNCTION("""COMPUTED_VALUE"""),286.22)</f>
        <v>286.22</v>
      </c>
      <c r="F38" s="1">
        <f>IFERROR(__xludf.DUMMYFUNCTION("""COMPUTED_VALUE"""),3.3566853E7)</f>
        <v>33566853</v>
      </c>
    </row>
    <row r="39">
      <c r="A39" s="2">
        <f>IFERROR(__xludf.DUMMYFUNCTION("""COMPUTED_VALUE"""),44406.66666666667)</f>
        <v>44406.66667</v>
      </c>
      <c r="B39" s="1">
        <f>IFERROR(__xludf.DUMMYFUNCTION("""COMPUTED_VALUE"""),286.24)</f>
        <v>286.24</v>
      </c>
      <c r="C39" s="1">
        <f>IFERROR(__xludf.DUMMYFUNCTION("""COMPUTED_VALUE"""),288.62)</f>
        <v>288.62</v>
      </c>
      <c r="D39" s="1">
        <f>IFERROR(__xludf.DUMMYFUNCTION("""COMPUTED_VALUE"""),286.08)</f>
        <v>286.08</v>
      </c>
      <c r="E39" s="1">
        <f>IFERROR(__xludf.DUMMYFUNCTION("""COMPUTED_VALUE"""),286.5)</f>
        <v>286.5</v>
      </c>
      <c r="F39" s="1">
        <f>IFERROR(__xludf.DUMMYFUNCTION("""COMPUTED_VALUE"""),1.8168294E7)</f>
        <v>18168294</v>
      </c>
    </row>
    <row r="40">
      <c r="A40" s="2">
        <f>IFERROR(__xludf.DUMMYFUNCTION("""COMPUTED_VALUE"""),44407.66666666667)</f>
        <v>44407.66667</v>
      </c>
      <c r="B40" s="1">
        <f>IFERROR(__xludf.DUMMYFUNCTION("""COMPUTED_VALUE"""),285.17)</f>
        <v>285.17</v>
      </c>
      <c r="C40" s="1">
        <f>IFERROR(__xludf.DUMMYFUNCTION("""COMPUTED_VALUE"""),286.66)</f>
        <v>286.66</v>
      </c>
      <c r="D40" s="1">
        <f>IFERROR(__xludf.DUMMYFUNCTION("""COMPUTED_VALUE"""),283.91)</f>
        <v>283.91</v>
      </c>
      <c r="E40" s="1">
        <f>IFERROR(__xludf.DUMMYFUNCTION("""COMPUTED_VALUE"""),284.91)</f>
        <v>284.91</v>
      </c>
      <c r="F40" s="1">
        <f>IFERROR(__xludf.DUMMYFUNCTION("""COMPUTED_VALUE"""),2.0944846E7)</f>
        <v>20944846</v>
      </c>
    </row>
    <row r="41">
      <c r="A41" s="2">
        <f>IFERROR(__xludf.DUMMYFUNCTION("""COMPUTED_VALUE"""),44410.66666666667)</f>
        <v>44410.66667</v>
      </c>
      <c r="B41" s="1">
        <f>IFERROR(__xludf.DUMMYFUNCTION("""COMPUTED_VALUE"""),286.36)</f>
        <v>286.36</v>
      </c>
      <c r="C41" s="1">
        <f>IFERROR(__xludf.DUMMYFUNCTION("""COMPUTED_VALUE"""),286.77)</f>
        <v>286.77</v>
      </c>
      <c r="D41" s="1">
        <f>IFERROR(__xludf.DUMMYFUNCTION("""COMPUTED_VALUE"""),283.74)</f>
        <v>283.74</v>
      </c>
      <c r="E41" s="1">
        <f>IFERROR(__xludf.DUMMYFUNCTION("""COMPUTED_VALUE"""),284.82)</f>
        <v>284.82</v>
      </c>
      <c r="F41" s="1">
        <f>IFERROR(__xludf.DUMMYFUNCTION("""COMPUTED_VALUE"""),1.6267357E7)</f>
        <v>16267357</v>
      </c>
    </row>
    <row r="42">
      <c r="A42" s="2">
        <f>IFERROR(__xludf.DUMMYFUNCTION("""COMPUTED_VALUE"""),44411.66666666667)</f>
        <v>44411.66667</v>
      </c>
      <c r="B42" s="1">
        <f>IFERROR(__xludf.DUMMYFUNCTION("""COMPUTED_VALUE"""),285.42)</f>
        <v>285.42</v>
      </c>
      <c r="C42" s="1">
        <f>IFERROR(__xludf.DUMMYFUNCTION("""COMPUTED_VALUE"""),287.23)</f>
        <v>287.23</v>
      </c>
      <c r="D42" s="1">
        <f>IFERROR(__xludf.DUMMYFUNCTION("""COMPUTED_VALUE"""),284.0)</f>
        <v>284</v>
      </c>
      <c r="E42" s="1">
        <f>IFERROR(__xludf.DUMMYFUNCTION("""COMPUTED_VALUE"""),287.12)</f>
        <v>287.12</v>
      </c>
      <c r="F42" s="1">
        <f>IFERROR(__xludf.DUMMYFUNCTION("""COMPUTED_VALUE"""),1.7879048E7)</f>
        <v>17879048</v>
      </c>
    </row>
    <row r="43">
      <c r="A43" s="2">
        <f>IFERROR(__xludf.DUMMYFUNCTION("""COMPUTED_VALUE"""),44412.66666666667)</f>
        <v>44412.66667</v>
      </c>
      <c r="B43" s="1">
        <f>IFERROR(__xludf.DUMMYFUNCTION("""COMPUTED_VALUE"""),286.22)</f>
        <v>286.22</v>
      </c>
      <c r="C43" s="1">
        <f>IFERROR(__xludf.DUMMYFUNCTION("""COMPUTED_VALUE"""),287.59)</f>
        <v>287.59</v>
      </c>
      <c r="D43" s="1">
        <f>IFERROR(__xludf.DUMMYFUNCTION("""COMPUTED_VALUE"""),284.65)</f>
        <v>284.65</v>
      </c>
      <c r="E43" s="1">
        <f>IFERROR(__xludf.DUMMYFUNCTION("""COMPUTED_VALUE"""),286.51)</f>
        <v>286.51</v>
      </c>
      <c r="F43" s="1">
        <f>IFERROR(__xludf.DUMMYFUNCTION("""COMPUTED_VALUE"""),1.6191301E7)</f>
        <v>16191301</v>
      </c>
    </row>
    <row r="44">
      <c r="A44" s="2">
        <f>IFERROR(__xludf.DUMMYFUNCTION("""COMPUTED_VALUE"""),44413.66666666667)</f>
        <v>44413.66667</v>
      </c>
      <c r="B44" s="1">
        <f>IFERROR(__xludf.DUMMYFUNCTION("""COMPUTED_VALUE"""),286.88)</f>
        <v>286.88</v>
      </c>
      <c r="C44" s="1">
        <f>IFERROR(__xludf.DUMMYFUNCTION("""COMPUTED_VALUE"""),289.63)</f>
        <v>289.63</v>
      </c>
      <c r="D44" s="1">
        <f>IFERROR(__xludf.DUMMYFUNCTION("""COMPUTED_VALUE"""),286.1)</f>
        <v>286.1</v>
      </c>
      <c r="E44" s="1">
        <f>IFERROR(__xludf.DUMMYFUNCTION("""COMPUTED_VALUE"""),289.52)</f>
        <v>289.52</v>
      </c>
      <c r="F44" s="1">
        <f>IFERROR(__xludf.DUMMYFUNCTION("""COMPUTED_VALUE"""),1.3900167E7)</f>
        <v>13900167</v>
      </c>
    </row>
    <row r="45">
      <c r="A45" s="2">
        <f>IFERROR(__xludf.DUMMYFUNCTION("""COMPUTED_VALUE"""),44414.66666666667)</f>
        <v>44414.66667</v>
      </c>
      <c r="B45" s="1">
        <f>IFERROR(__xludf.DUMMYFUNCTION("""COMPUTED_VALUE"""),288.51)</f>
        <v>288.51</v>
      </c>
      <c r="C45" s="1">
        <f>IFERROR(__xludf.DUMMYFUNCTION("""COMPUTED_VALUE"""),289.5)</f>
        <v>289.5</v>
      </c>
      <c r="D45" s="1">
        <f>IFERROR(__xludf.DUMMYFUNCTION("""COMPUTED_VALUE"""),287.62)</f>
        <v>287.62</v>
      </c>
      <c r="E45" s="1">
        <f>IFERROR(__xludf.DUMMYFUNCTION("""COMPUTED_VALUE"""),289.46)</f>
        <v>289.46</v>
      </c>
      <c r="F45" s="1">
        <f>IFERROR(__xludf.DUMMYFUNCTION("""COMPUTED_VALUE"""),1.6589336E7)</f>
        <v>16589336</v>
      </c>
    </row>
    <row r="46">
      <c r="A46" s="2">
        <f>IFERROR(__xludf.DUMMYFUNCTION("""COMPUTED_VALUE"""),44417.66666666667)</f>
        <v>44417.66667</v>
      </c>
      <c r="B46" s="1">
        <f>IFERROR(__xludf.DUMMYFUNCTION("""COMPUTED_VALUE"""),289.75)</f>
        <v>289.75</v>
      </c>
      <c r="C46" s="1">
        <f>IFERROR(__xludf.DUMMYFUNCTION("""COMPUTED_VALUE"""),291.55)</f>
        <v>291.55</v>
      </c>
      <c r="D46" s="1">
        <f>IFERROR(__xludf.DUMMYFUNCTION("""COMPUTED_VALUE"""),287.81)</f>
        <v>287.81</v>
      </c>
      <c r="E46" s="1">
        <f>IFERROR(__xludf.DUMMYFUNCTION("""COMPUTED_VALUE"""),288.33)</f>
        <v>288.33</v>
      </c>
      <c r="F46" s="1">
        <f>IFERROR(__xludf.DUMMYFUNCTION("""COMPUTED_VALUE"""),1.6117629E7)</f>
        <v>16117629</v>
      </c>
    </row>
    <row r="47">
      <c r="A47" s="2">
        <f>IFERROR(__xludf.DUMMYFUNCTION("""COMPUTED_VALUE"""),44418.66666666667)</f>
        <v>44418.66667</v>
      </c>
      <c r="B47" s="1">
        <f>IFERROR(__xludf.DUMMYFUNCTION("""COMPUTED_VALUE"""),288.8)</f>
        <v>288.8</v>
      </c>
      <c r="C47" s="1">
        <f>IFERROR(__xludf.DUMMYFUNCTION("""COMPUTED_VALUE"""),289.25)</f>
        <v>289.25</v>
      </c>
      <c r="D47" s="1">
        <f>IFERROR(__xludf.DUMMYFUNCTION("""COMPUTED_VALUE"""),285.2)</f>
        <v>285.2</v>
      </c>
      <c r="E47" s="1">
        <f>IFERROR(__xludf.DUMMYFUNCTION("""COMPUTED_VALUE"""),286.44)</f>
        <v>286.44</v>
      </c>
      <c r="F47" s="1">
        <f>IFERROR(__xludf.DUMMYFUNCTION("""COMPUTED_VALUE"""),1.8616578E7)</f>
        <v>18616578</v>
      </c>
    </row>
    <row r="48">
      <c r="A48" s="2">
        <f>IFERROR(__xludf.DUMMYFUNCTION("""COMPUTED_VALUE"""),44419.66666666667)</f>
        <v>44419.66667</v>
      </c>
      <c r="B48" s="1">
        <f>IFERROR(__xludf.DUMMYFUNCTION("""COMPUTED_VALUE"""),287.21)</f>
        <v>287.21</v>
      </c>
      <c r="C48" s="1">
        <f>IFERROR(__xludf.DUMMYFUNCTION("""COMPUTED_VALUE"""),288.66)</f>
        <v>288.66</v>
      </c>
      <c r="D48" s="1">
        <f>IFERROR(__xludf.DUMMYFUNCTION("""COMPUTED_VALUE"""),285.86)</f>
        <v>285.86</v>
      </c>
      <c r="E48" s="1">
        <f>IFERROR(__xludf.DUMMYFUNCTION("""COMPUTED_VALUE"""),286.95)</f>
        <v>286.95</v>
      </c>
      <c r="F48" s="1">
        <f>IFERROR(__xludf.DUMMYFUNCTION("""COMPUTED_VALUE"""),1.3955934E7)</f>
        <v>13955934</v>
      </c>
    </row>
    <row r="49">
      <c r="A49" s="2">
        <f>IFERROR(__xludf.DUMMYFUNCTION("""COMPUTED_VALUE"""),44420.66666666667)</f>
        <v>44420.66667</v>
      </c>
      <c r="B49" s="1">
        <f>IFERROR(__xludf.DUMMYFUNCTION("""COMPUTED_VALUE"""),286.63)</f>
        <v>286.63</v>
      </c>
      <c r="C49" s="1">
        <f>IFERROR(__xludf.DUMMYFUNCTION("""COMPUTED_VALUE"""),289.97)</f>
        <v>289.97</v>
      </c>
      <c r="D49" s="1">
        <f>IFERROR(__xludf.DUMMYFUNCTION("""COMPUTED_VALUE"""),286.34)</f>
        <v>286.34</v>
      </c>
      <c r="E49" s="1">
        <f>IFERROR(__xludf.DUMMYFUNCTION("""COMPUTED_VALUE"""),289.81)</f>
        <v>289.81</v>
      </c>
      <c r="F49" s="1">
        <f>IFERROR(__xludf.DUMMYFUNCTION("""COMPUTED_VALUE"""),1.4570391E7)</f>
        <v>14570391</v>
      </c>
    </row>
    <row r="50">
      <c r="A50" s="2">
        <f>IFERROR(__xludf.DUMMYFUNCTION("""COMPUTED_VALUE"""),44421.66666666667)</f>
        <v>44421.66667</v>
      </c>
      <c r="B50" s="1">
        <f>IFERROR(__xludf.DUMMYFUNCTION("""COMPUTED_VALUE"""),289.48)</f>
        <v>289.48</v>
      </c>
      <c r="C50" s="1">
        <f>IFERROR(__xludf.DUMMYFUNCTION("""COMPUTED_VALUE"""),292.9)</f>
        <v>292.9</v>
      </c>
      <c r="D50" s="1">
        <f>IFERROR(__xludf.DUMMYFUNCTION("""COMPUTED_VALUE"""),289.3)</f>
        <v>289.3</v>
      </c>
      <c r="E50" s="1">
        <f>IFERROR(__xludf.DUMMYFUNCTION("""COMPUTED_VALUE"""),292.85)</f>
        <v>292.85</v>
      </c>
      <c r="F50" s="1">
        <f>IFERROR(__xludf.DUMMYFUNCTION("""COMPUTED_VALUE"""),1.8249046E7)</f>
        <v>18249046</v>
      </c>
    </row>
    <row r="51">
      <c r="A51" s="2">
        <f>IFERROR(__xludf.DUMMYFUNCTION("""COMPUTED_VALUE"""),44424.66666666667)</f>
        <v>44424.66667</v>
      </c>
      <c r="B51" s="1">
        <f>IFERROR(__xludf.DUMMYFUNCTION("""COMPUTED_VALUE"""),293.19)</f>
        <v>293.19</v>
      </c>
      <c r="C51" s="1">
        <f>IFERROR(__xludf.DUMMYFUNCTION("""COMPUTED_VALUE"""),294.82)</f>
        <v>294.82</v>
      </c>
      <c r="D51" s="1">
        <f>IFERROR(__xludf.DUMMYFUNCTION("""COMPUTED_VALUE"""),290.02)</f>
        <v>290.02</v>
      </c>
      <c r="E51" s="1">
        <f>IFERROR(__xludf.DUMMYFUNCTION("""COMPUTED_VALUE"""),294.6)</f>
        <v>294.6</v>
      </c>
      <c r="F51" s="1">
        <f>IFERROR(__xludf.DUMMYFUNCTION("""COMPUTED_VALUE"""),2.2516027E7)</f>
        <v>22516027</v>
      </c>
    </row>
    <row r="52">
      <c r="A52" s="2">
        <f>IFERROR(__xludf.DUMMYFUNCTION("""COMPUTED_VALUE"""),44425.66666666667)</f>
        <v>44425.66667</v>
      </c>
      <c r="B52" s="1">
        <f>IFERROR(__xludf.DUMMYFUNCTION("""COMPUTED_VALUE"""),292.39)</f>
        <v>292.39</v>
      </c>
      <c r="C52" s="1">
        <f>IFERROR(__xludf.DUMMYFUNCTION("""COMPUTED_VALUE"""),293.43)</f>
        <v>293.43</v>
      </c>
      <c r="D52" s="1">
        <f>IFERROR(__xludf.DUMMYFUNCTION("""COMPUTED_VALUE"""),291.08)</f>
        <v>291.08</v>
      </c>
      <c r="E52" s="1">
        <f>IFERROR(__xludf.DUMMYFUNCTION("""COMPUTED_VALUE"""),293.08)</f>
        <v>293.08</v>
      </c>
      <c r="F52" s="1">
        <f>IFERROR(__xludf.DUMMYFUNCTION("""COMPUTED_VALUE"""),2.007525E7)</f>
        <v>20075250</v>
      </c>
    </row>
    <row r="53">
      <c r="A53" s="2">
        <f>IFERROR(__xludf.DUMMYFUNCTION("""COMPUTED_VALUE"""),44426.66666666667)</f>
        <v>44426.66667</v>
      </c>
      <c r="B53" s="1">
        <f>IFERROR(__xludf.DUMMYFUNCTION("""COMPUTED_VALUE"""),292.04)</f>
        <v>292.04</v>
      </c>
      <c r="C53" s="1">
        <f>IFERROR(__xludf.DUMMYFUNCTION("""COMPUTED_VALUE"""),294.82)</f>
        <v>294.82</v>
      </c>
      <c r="D53" s="1">
        <f>IFERROR(__xludf.DUMMYFUNCTION("""COMPUTED_VALUE"""),290.27)</f>
        <v>290.27</v>
      </c>
      <c r="E53" s="1">
        <f>IFERROR(__xludf.DUMMYFUNCTION("""COMPUTED_VALUE"""),290.73)</f>
        <v>290.73</v>
      </c>
      <c r="F53" s="1">
        <f>IFERROR(__xludf.DUMMYFUNCTION("""COMPUTED_VALUE"""),2.1812985E7)</f>
        <v>21812985</v>
      </c>
    </row>
    <row r="54">
      <c r="A54" s="2">
        <f>IFERROR(__xludf.DUMMYFUNCTION("""COMPUTED_VALUE"""),44427.66666666667)</f>
        <v>44427.66667</v>
      </c>
      <c r="B54" s="1">
        <f>IFERROR(__xludf.DUMMYFUNCTION("""COMPUTED_VALUE"""),288.69)</f>
        <v>288.69</v>
      </c>
      <c r="C54" s="1">
        <f>IFERROR(__xludf.DUMMYFUNCTION("""COMPUTED_VALUE"""),297.47)</f>
        <v>297.47</v>
      </c>
      <c r="D54" s="1">
        <f>IFERROR(__xludf.DUMMYFUNCTION("""COMPUTED_VALUE"""),288.64)</f>
        <v>288.64</v>
      </c>
      <c r="E54" s="1">
        <f>IFERROR(__xludf.DUMMYFUNCTION("""COMPUTED_VALUE"""),296.77)</f>
        <v>296.77</v>
      </c>
      <c r="F54" s="1">
        <f>IFERROR(__xludf.DUMMYFUNCTION("""COMPUTED_VALUE"""),2.9850461E7)</f>
        <v>29850461</v>
      </c>
    </row>
    <row r="55">
      <c r="A55" s="2">
        <f>IFERROR(__xludf.DUMMYFUNCTION("""COMPUTED_VALUE"""),44428.66666666667)</f>
        <v>44428.66667</v>
      </c>
      <c r="B55" s="1">
        <f>IFERROR(__xludf.DUMMYFUNCTION("""COMPUTED_VALUE"""),299.72)</f>
        <v>299.72</v>
      </c>
      <c r="C55" s="1">
        <f>IFERROR(__xludf.DUMMYFUNCTION("""COMPUTED_VALUE"""),305.84)</f>
        <v>305.84</v>
      </c>
      <c r="D55" s="1">
        <f>IFERROR(__xludf.DUMMYFUNCTION("""COMPUTED_VALUE"""),298.06)</f>
        <v>298.06</v>
      </c>
      <c r="E55" s="1">
        <f>IFERROR(__xludf.DUMMYFUNCTION("""COMPUTED_VALUE"""),304.36)</f>
        <v>304.36</v>
      </c>
      <c r="F55" s="1">
        <f>IFERROR(__xludf.DUMMYFUNCTION("""COMPUTED_VALUE"""),4.0817646E7)</f>
        <v>40817646</v>
      </c>
    </row>
    <row r="56">
      <c r="A56" s="2">
        <f>IFERROR(__xludf.DUMMYFUNCTION("""COMPUTED_VALUE"""),44431.66666666667)</f>
        <v>44431.66667</v>
      </c>
      <c r="B56" s="1">
        <f>IFERROR(__xludf.DUMMYFUNCTION("""COMPUTED_VALUE"""),303.25)</f>
        <v>303.25</v>
      </c>
      <c r="C56" s="1">
        <f>IFERROR(__xludf.DUMMYFUNCTION("""COMPUTED_VALUE"""),305.4)</f>
        <v>305.4</v>
      </c>
      <c r="D56" s="1">
        <f>IFERROR(__xludf.DUMMYFUNCTION("""COMPUTED_VALUE"""),301.85)</f>
        <v>301.85</v>
      </c>
      <c r="E56" s="1">
        <f>IFERROR(__xludf.DUMMYFUNCTION("""COMPUTED_VALUE"""),304.65)</f>
        <v>304.65</v>
      </c>
      <c r="F56" s="1">
        <f>IFERROR(__xludf.DUMMYFUNCTION("""COMPUTED_VALUE"""),2.2830157E7)</f>
        <v>22830157</v>
      </c>
    </row>
    <row r="57">
      <c r="A57" s="2">
        <f>IFERROR(__xludf.DUMMYFUNCTION("""COMPUTED_VALUE"""),44432.66666666667)</f>
        <v>44432.66667</v>
      </c>
      <c r="B57" s="1">
        <f>IFERROR(__xludf.DUMMYFUNCTION("""COMPUTED_VALUE"""),305.02)</f>
        <v>305.02</v>
      </c>
      <c r="C57" s="1">
        <f>IFERROR(__xludf.DUMMYFUNCTION("""COMPUTED_VALUE"""),305.65)</f>
        <v>305.65</v>
      </c>
      <c r="D57" s="1">
        <f>IFERROR(__xludf.DUMMYFUNCTION("""COMPUTED_VALUE"""),302.0)</f>
        <v>302</v>
      </c>
      <c r="E57" s="1">
        <f>IFERROR(__xludf.DUMMYFUNCTION("""COMPUTED_VALUE"""),302.62)</f>
        <v>302.62</v>
      </c>
      <c r="F57" s="1">
        <f>IFERROR(__xludf.DUMMYFUNCTION("""COMPUTED_VALUE"""),1.8175774E7)</f>
        <v>18175774</v>
      </c>
    </row>
    <row r="58">
      <c r="A58" s="2">
        <f>IFERROR(__xludf.DUMMYFUNCTION("""COMPUTED_VALUE"""),44433.66666666667)</f>
        <v>44433.66667</v>
      </c>
      <c r="B58" s="1">
        <f>IFERROR(__xludf.DUMMYFUNCTION("""COMPUTED_VALUE"""),304.3)</f>
        <v>304.3</v>
      </c>
      <c r="C58" s="1">
        <f>IFERROR(__xludf.DUMMYFUNCTION("""COMPUTED_VALUE"""),304.59)</f>
        <v>304.59</v>
      </c>
      <c r="D58" s="1">
        <f>IFERROR(__xludf.DUMMYFUNCTION("""COMPUTED_VALUE"""),300.42)</f>
        <v>300.42</v>
      </c>
      <c r="E58" s="1">
        <f>IFERROR(__xludf.DUMMYFUNCTION("""COMPUTED_VALUE"""),302.01)</f>
        <v>302.01</v>
      </c>
      <c r="F58" s="1">
        <f>IFERROR(__xludf.DUMMYFUNCTION("""COMPUTED_VALUE"""),2.0006057E7)</f>
        <v>20006057</v>
      </c>
    </row>
    <row r="59">
      <c r="A59" s="2">
        <f>IFERROR(__xludf.DUMMYFUNCTION("""COMPUTED_VALUE"""),44434.66666666667)</f>
        <v>44434.66667</v>
      </c>
      <c r="B59" s="1">
        <f>IFERROR(__xludf.DUMMYFUNCTION("""COMPUTED_VALUE"""),300.99)</f>
        <v>300.99</v>
      </c>
      <c r="C59" s="1">
        <f>IFERROR(__xludf.DUMMYFUNCTION("""COMPUTED_VALUE"""),302.43)</f>
        <v>302.43</v>
      </c>
      <c r="D59" s="1">
        <f>IFERROR(__xludf.DUMMYFUNCTION("""COMPUTED_VALUE"""),298.95)</f>
        <v>298.95</v>
      </c>
      <c r="E59" s="1">
        <f>IFERROR(__xludf.DUMMYFUNCTION("""COMPUTED_VALUE"""),299.09)</f>
        <v>299.09</v>
      </c>
      <c r="F59" s="1">
        <f>IFERROR(__xludf.DUMMYFUNCTION("""COMPUTED_VALUE"""),1.7666084E7)</f>
        <v>17666084</v>
      </c>
    </row>
    <row r="60">
      <c r="A60" s="2">
        <f>IFERROR(__xludf.DUMMYFUNCTION("""COMPUTED_VALUE"""),44435.66666666667)</f>
        <v>44435.66667</v>
      </c>
      <c r="B60" s="1">
        <f>IFERROR(__xludf.DUMMYFUNCTION("""COMPUTED_VALUE"""),298.99)</f>
        <v>298.99</v>
      </c>
      <c r="C60" s="1">
        <f>IFERROR(__xludf.DUMMYFUNCTION("""COMPUTED_VALUE"""),300.87)</f>
        <v>300.87</v>
      </c>
      <c r="D60" s="1">
        <f>IFERROR(__xludf.DUMMYFUNCTION("""COMPUTED_VALUE"""),296.83)</f>
        <v>296.83</v>
      </c>
      <c r="E60" s="1">
        <f>IFERROR(__xludf.DUMMYFUNCTION("""COMPUTED_VALUE"""),299.72)</f>
        <v>299.72</v>
      </c>
      <c r="F60" s="1">
        <f>IFERROR(__xludf.DUMMYFUNCTION("""COMPUTED_VALUE"""),2.2605726E7)</f>
        <v>22605726</v>
      </c>
    </row>
    <row r="61">
      <c r="A61" s="2">
        <f>IFERROR(__xludf.DUMMYFUNCTION("""COMPUTED_VALUE"""),44438.66666666667)</f>
        <v>44438.66667</v>
      </c>
      <c r="B61" s="1">
        <f>IFERROR(__xludf.DUMMYFUNCTION("""COMPUTED_VALUE"""),301.12)</f>
        <v>301.12</v>
      </c>
      <c r="C61" s="1">
        <f>IFERROR(__xludf.DUMMYFUNCTION("""COMPUTED_VALUE"""),304.22)</f>
        <v>304.22</v>
      </c>
      <c r="D61" s="1">
        <f>IFERROR(__xludf.DUMMYFUNCTION("""COMPUTED_VALUE"""),301.06)</f>
        <v>301.06</v>
      </c>
      <c r="E61" s="1">
        <f>IFERROR(__xludf.DUMMYFUNCTION("""COMPUTED_VALUE"""),303.59)</f>
        <v>303.59</v>
      </c>
      <c r="F61" s="1">
        <f>IFERROR(__xludf.DUMMYFUNCTION("""COMPUTED_VALUE"""),1.6348072E7)</f>
        <v>16348072</v>
      </c>
    </row>
    <row r="62">
      <c r="A62" s="2">
        <f>IFERROR(__xludf.DUMMYFUNCTION("""COMPUTED_VALUE"""),44439.66666666667)</f>
        <v>44439.66667</v>
      </c>
      <c r="B62" s="1">
        <f>IFERROR(__xludf.DUMMYFUNCTION("""COMPUTED_VALUE"""),304.42)</f>
        <v>304.42</v>
      </c>
      <c r="C62" s="1">
        <f>IFERROR(__xludf.DUMMYFUNCTION("""COMPUTED_VALUE"""),304.5)</f>
        <v>304.5</v>
      </c>
      <c r="D62" s="1">
        <f>IFERROR(__xludf.DUMMYFUNCTION("""COMPUTED_VALUE"""),301.5)</f>
        <v>301.5</v>
      </c>
      <c r="E62" s="1">
        <f>IFERROR(__xludf.DUMMYFUNCTION("""COMPUTED_VALUE"""),301.88)</f>
        <v>301.88</v>
      </c>
      <c r="F62" s="1">
        <f>IFERROR(__xludf.DUMMYFUNCTION("""COMPUTED_VALUE"""),2.6285338E7)</f>
        <v>26285338</v>
      </c>
    </row>
    <row r="63">
      <c r="A63" s="2">
        <f>IFERROR(__xludf.DUMMYFUNCTION("""COMPUTED_VALUE"""),44440.66666666667)</f>
        <v>44440.66667</v>
      </c>
      <c r="B63" s="1">
        <f>IFERROR(__xludf.DUMMYFUNCTION("""COMPUTED_VALUE"""),302.87)</f>
        <v>302.87</v>
      </c>
      <c r="C63" s="1">
        <f>IFERROR(__xludf.DUMMYFUNCTION("""COMPUTED_VALUE"""),305.19)</f>
        <v>305.19</v>
      </c>
      <c r="D63" s="1">
        <f>IFERROR(__xludf.DUMMYFUNCTION("""COMPUTED_VALUE"""),301.49)</f>
        <v>301.49</v>
      </c>
      <c r="E63" s="1">
        <f>IFERROR(__xludf.DUMMYFUNCTION("""COMPUTED_VALUE"""),301.83)</f>
        <v>301.83</v>
      </c>
      <c r="F63" s="1">
        <f>IFERROR(__xludf.DUMMYFUNCTION("""COMPUTED_VALUE"""),1.8983826E7)</f>
        <v>18983826</v>
      </c>
    </row>
    <row r="64">
      <c r="A64" s="2">
        <f>IFERROR(__xludf.DUMMYFUNCTION("""COMPUTED_VALUE"""),44441.66666666667)</f>
        <v>44441.66667</v>
      </c>
      <c r="B64" s="1">
        <f>IFERROR(__xludf.DUMMYFUNCTION("""COMPUTED_VALUE"""),302.2)</f>
        <v>302.2</v>
      </c>
      <c r="C64" s="1">
        <f>IFERROR(__xludf.DUMMYFUNCTION("""COMPUTED_VALUE"""),303.36)</f>
        <v>303.36</v>
      </c>
      <c r="D64" s="1">
        <f>IFERROR(__xludf.DUMMYFUNCTION("""COMPUTED_VALUE"""),300.18)</f>
        <v>300.18</v>
      </c>
      <c r="E64" s="1">
        <f>IFERROR(__xludf.DUMMYFUNCTION("""COMPUTED_VALUE"""),301.15)</f>
        <v>301.15</v>
      </c>
      <c r="F64" s="1">
        <f>IFERROR(__xludf.DUMMYFUNCTION("""COMPUTED_VALUE"""),1.6290545E7)</f>
        <v>16290545</v>
      </c>
    </row>
    <row r="65">
      <c r="A65" s="2">
        <f>IFERROR(__xludf.DUMMYFUNCTION("""COMPUTED_VALUE"""),44442.66666666667)</f>
        <v>44442.66667</v>
      </c>
      <c r="B65" s="1">
        <f>IFERROR(__xludf.DUMMYFUNCTION("""COMPUTED_VALUE"""),300.99)</f>
        <v>300.99</v>
      </c>
      <c r="C65" s="1">
        <f>IFERROR(__xludf.DUMMYFUNCTION("""COMPUTED_VALUE"""),302.6)</f>
        <v>302.6</v>
      </c>
      <c r="D65" s="1">
        <f>IFERROR(__xludf.DUMMYFUNCTION("""COMPUTED_VALUE"""),300.26)</f>
        <v>300.26</v>
      </c>
      <c r="E65" s="1">
        <f>IFERROR(__xludf.DUMMYFUNCTION("""COMPUTED_VALUE"""),301.14)</f>
        <v>301.14</v>
      </c>
      <c r="F65" s="1">
        <f>IFERROR(__xludf.DUMMYFUNCTION("""COMPUTED_VALUE"""),1.475161E7)</f>
        <v>14751610</v>
      </c>
    </row>
    <row r="66">
      <c r="A66" s="2">
        <f>IFERROR(__xludf.DUMMYFUNCTION("""COMPUTED_VALUE"""),44446.66666666667)</f>
        <v>44446.66667</v>
      </c>
      <c r="B66" s="1">
        <f>IFERROR(__xludf.DUMMYFUNCTION("""COMPUTED_VALUE"""),301.01)</f>
        <v>301.01</v>
      </c>
      <c r="C66" s="1">
        <f>IFERROR(__xludf.DUMMYFUNCTION("""COMPUTED_VALUE"""),301.09)</f>
        <v>301.09</v>
      </c>
      <c r="D66" s="1">
        <f>IFERROR(__xludf.DUMMYFUNCTION("""COMPUTED_VALUE"""),298.2)</f>
        <v>298.2</v>
      </c>
      <c r="E66" s="1">
        <f>IFERROR(__xludf.DUMMYFUNCTION("""COMPUTED_VALUE"""),300.18)</f>
        <v>300.18</v>
      </c>
      <c r="F66" s="1">
        <f>IFERROR(__xludf.DUMMYFUNCTION("""COMPUTED_VALUE"""),1.7184083E7)</f>
        <v>17184083</v>
      </c>
    </row>
    <row r="67">
      <c r="A67" s="2">
        <f>IFERROR(__xludf.DUMMYFUNCTION("""COMPUTED_VALUE"""),44447.66666666667)</f>
        <v>44447.66667</v>
      </c>
      <c r="B67" s="1">
        <f>IFERROR(__xludf.DUMMYFUNCTION("""COMPUTED_VALUE"""),299.78)</f>
        <v>299.78</v>
      </c>
      <c r="C67" s="1">
        <f>IFERROR(__xludf.DUMMYFUNCTION("""COMPUTED_VALUE"""),300.61)</f>
        <v>300.61</v>
      </c>
      <c r="D67" s="1">
        <f>IFERROR(__xludf.DUMMYFUNCTION("""COMPUTED_VALUE"""),297.47)</f>
        <v>297.47</v>
      </c>
      <c r="E67" s="1">
        <f>IFERROR(__xludf.DUMMYFUNCTION("""COMPUTED_VALUE"""),300.21)</f>
        <v>300.21</v>
      </c>
      <c r="F67" s="1">
        <f>IFERROR(__xludf.DUMMYFUNCTION("""COMPUTED_VALUE"""),1.5046819E7)</f>
        <v>15046819</v>
      </c>
    </row>
    <row r="68">
      <c r="A68" s="2">
        <f>IFERROR(__xludf.DUMMYFUNCTION("""COMPUTED_VALUE"""),44448.66666666667)</f>
        <v>44448.66667</v>
      </c>
      <c r="B68" s="1">
        <f>IFERROR(__xludf.DUMMYFUNCTION("""COMPUTED_VALUE"""),300.82)</f>
        <v>300.82</v>
      </c>
      <c r="C68" s="1">
        <f>IFERROR(__xludf.DUMMYFUNCTION("""COMPUTED_VALUE"""),302.14)</f>
        <v>302.14</v>
      </c>
      <c r="D68" s="1">
        <f>IFERROR(__xludf.DUMMYFUNCTION("""COMPUTED_VALUE"""),297.0)</f>
        <v>297</v>
      </c>
      <c r="E68" s="1">
        <f>IFERROR(__xludf.DUMMYFUNCTION("""COMPUTED_VALUE"""),297.25)</f>
        <v>297.25</v>
      </c>
      <c r="F68" s="1">
        <f>IFERROR(__xludf.DUMMYFUNCTION("""COMPUTED_VALUE"""),1.9927E7)</f>
        <v>19927000</v>
      </c>
    </row>
    <row r="69">
      <c r="A69" s="2">
        <f>IFERROR(__xludf.DUMMYFUNCTION("""COMPUTED_VALUE"""),44449.66666666667)</f>
        <v>44449.66667</v>
      </c>
      <c r="B69" s="1">
        <f>IFERROR(__xludf.DUMMYFUNCTION("""COMPUTED_VALUE"""),298.42)</f>
        <v>298.42</v>
      </c>
      <c r="C69" s="1">
        <f>IFERROR(__xludf.DUMMYFUNCTION("""COMPUTED_VALUE"""),299.92)</f>
        <v>299.92</v>
      </c>
      <c r="D69" s="1">
        <f>IFERROR(__xludf.DUMMYFUNCTION("""COMPUTED_VALUE"""),295.38)</f>
        <v>295.38</v>
      </c>
      <c r="E69" s="1">
        <f>IFERROR(__xludf.DUMMYFUNCTION("""COMPUTED_VALUE"""),295.71)</f>
        <v>295.71</v>
      </c>
      <c r="F69" s="1">
        <f>IFERROR(__xludf.DUMMYFUNCTION("""COMPUTED_VALUE"""),1.9633363E7)</f>
        <v>19633363</v>
      </c>
    </row>
    <row r="70">
      <c r="A70" s="2">
        <f>IFERROR(__xludf.DUMMYFUNCTION("""COMPUTED_VALUE"""),44452.66666666667)</f>
        <v>44452.66667</v>
      </c>
      <c r="B70" s="1">
        <f>IFERROR(__xludf.DUMMYFUNCTION("""COMPUTED_VALUE"""),297.55)</f>
        <v>297.55</v>
      </c>
      <c r="C70" s="1">
        <f>IFERROR(__xludf.DUMMYFUNCTION("""COMPUTED_VALUE"""),298.54)</f>
        <v>298.54</v>
      </c>
      <c r="D70" s="1">
        <f>IFERROR(__xludf.DUMMYFUNCTION("""COMPUTED_VALUE"""),294.08)</f>
        <v>294.08</v>
      </c>
      <c r="E70" s="1">
        <f>IFERROR(__xludf.DUMMYFUNCTION("""COMPUTED_VALUE"""),296.99)</f>
        <v>296.99</v>
      </c>
      <c r="F70" s="1">
        <f>IFERROR(__xludf.DUMMYFUNCTION("""COMPUTED_VALUE"""),2.3652949E7)</f>
        <v>23652949</v>
      </c>
    </row>
    <row r="71">
      <c r="A71" s="2">
        <f>IFERROR(__xludf.DUMMYFUNCTION("""COMPUTED_VALUE"""),44453.66666666667)</f>
        <v>44453.66667</v>
      </c>
      <c r="B71" s="1">
        <f>IFERROR(__xludf.DUMMYFUNCTION("""COMPUTED_VALUE"""),299.56)</f>
        <v>299.56</v>
      </c>
      <c r="C71" s="1">
        <f>IFERROR(__xludf.DUMMYFUNCTION("""COMPUTED_VALUE"""),301.39)</f>
        <v>301.39</v>
      </c>
      <c r="D71" s="1">
        <f>IFERROR(__xludf.DUMMYFUNCTION("""COMPUTED_VALUE"""),298.1)</f>
        <v>298.1</v>
      </c>
      <c r="E71" s="1">
        <f>IFERROR(__xludf.DUMMYFUNCTION("""COMPUTED_VALUE"""),299.79)</f>
        <v>299.79</v>
      </c>
      <c r="F71" s="1">
        <f>IFERROR(__xludf.DUMMYFUNCTION("""COMPUTED_VALUE"""),2.1853433E7)</f>
        <v>21853433</v>
      </c>
    </row>
    <row r="72">
      <c r="A72" s="2">
        <f>IFERROR(__xludf.DUMMYFUNCTION("""COMPUTED_VALUE"""),44454.66666666667)</f>
        <v>44454.66667</v>
      </c>
      <c r="B72" s="1">
        <f>IFERROR(__xludf.DUMMYFUNCTION("""COMPUTED_VALUE"""),303.26)</f>
        <v>303.26</v>
      </c>
      <c r="C72" s="1">
        <f>IFERROR(__xludf.DUMMYFUNCTION("""COMPUTED_VALUE"""),305.32)</f>
        <v>305.32</v>
      </c>
      <c r="D72" s="1">
        <f>IFERROR(__xludf.DUMMYFUNCTION("""COMPUTED_VALUE"""),301.82)</f>
        <v>301.82</v>
      </c>
      <c r="E72" s="1">
        <f>IFERROR(__xludf.DUMMYFUNCTION("""COMPUTED_VALUE"""),304.82)</f>
        <v>304.82</v>
      </c>
      <c r="F72" s="1">
        <f>IFERROR(__xludf.DUMMYFUNCTION("""COMPUTED_VALUE"""),2.8356304E7)</f>
        <v>28356304</v>
      </c>
    </row>
    <row r="73">
      <c r="A73" s="2">
        <f>IFERROR(__xludf.DUMMYFUNCTION("""COMPUTED_VALUE"""),44455.66666666667)</f>
        <v>44455.66667</v>
      </c>
      <c r="B73" s="1">
        <f>IFERROR(__xludf.DUMMYFUNCTION("""COMPUTED_VALUE"""),303.76)</f>
        <v>303.76</v>
      </c>
      <c r="C73" s="1">
        <f>IFERROR(__xludf.DUMMYFUNCTION("""COMPUTED_VALUE"""),305.31)</f>
        <v>305.31</v>
      </c>
      <c r="D73" s="1">
        <f>IFERROR(__xludf.DUMMYFUNCTION("""COMPUTED_VALUE"""),300.76)</f>
        <v>300.76</v>
      </c>
      <c r="E73" s="1">
        <f>IFERROR(__xludf.DUMMYFUNCTION("""COMPUTED_VALUE"""),305.22)</f>
        <v>305.22</v>
      </c>
      <c r="F73" s="1">
        <f>IFERROR(__xludf.DUMMYFUNCTION("""COMPUTED_VALUE"""),1.9550815E7)</f>
        <v>19550815</v>
      </c>
    </row>
    <row r="74">
      <c r="A74" s="2">
        <f>IFERROR(__xludf.DUMMYFUNCTION("""COMPUTED_VALUE"""),44456.66666666667)</f>
        <v>44456.66667</v>
      </c>
      <c r="B74" s="1">
        <f>IFERROR(__xludf.DUMMYFUNCTION("""COMPUTED_VALUE"""),304.17)</f>
        <v>304.17</v>
      </c>
      <c r="C74" s="1">
        <f>IFERROR(__xludf.DUMMYFUNCTION("""COMPUTED_VALUE"""),304.5)</f>
        <v>304.5</v>
      </c>
      <c r="D74" s="1">
        <f>IFERROR(__xludf.DUMMYFUNCTION("""COMPUTED_VALUE"""),299.53)</f>
        <v>299.53</v>
      </c>
      <c r="E74" s="1">
        <f>IFERROR(__xludf.DUMMYFUNCTION("""COMPUTED_VALUE"""),299.87)</f>
        <v>299.87</v>
      </c>
      <c r="F74" s="1">
        <f>IFERROR(__xludf.DUMMYFUNCTION("""COMPUTED_VALUE"""),4.1372457E7)</f>
        <v>41372457</v>
      </c>
    </row>
    <row r="75">
      <c r="A75" s="2">
        <f>IFERROR(__xludf.DUMMYFUNCTION("""COMPUTED_VALUE"""),44459.66666666667)</f>
        <v>44459.66667</v>
      </c>
      <c r="B75" s="1">
        <f>IFERROR(__xludf.DUMMYFUNCTION("""COMPUTED_VALUE"""),296.33)</f>
        <v>296.33</v>
      </c>
      <c r="C75" s="1">
        <f>IFERROR(__xludf.DUMMYFUNCTION("""COMPUTED_VALUE"""),298.72)</f>
        <v>298.72</v>
      </c>
      <c r="D75" s="1">
        <f>IFERROR(__xludf.DUMMYFUNCTION("""COMPUTED_VALUE"""),289.52)</f>
        <v>289.52</v>
      </c>
      <c r="E75" s="1">
        <f>IFERROR(__xludf.DUMMYFUNCTION("""COMPUTED_VALUE"""),294.3)</f>
        <v>294.3</v>
      </c>
      <c r="F75" s="1">
        <f>IFERROR(__xludf.DUMMYFUNCTION("""COMPUTED_VALUE"""),3.8278661E7)</f>
        <v>38278661</v>
      </c>
    </row>
    <row r="76">
      <c r="A76" s="2">
        <f>IFERROR(__xludf.DUMMYFUNCTION("""COMPUTED_VALUE"""),44460.66666666667)</f>
        <v>44460.66667</v>
      </c>
      <c r="B76" s="1">
        <f>IFERROR(__xludf.DUMMYFUNCTION("""COMPUTED_VALUE"""),295.69)</f>
        <v>295.69</v>
      </c>
      <c r="C76" s="1">
        <f>IFERROR(__xludf.DUMMYFUNCTION("""COMPUTED_VALUE"""),297.54)</f>
        <v>297.54</v>
      </c>
      <c r="D76" s="1">
        <f>IFERROR(__xludf.DUMMYFUNCTION("""COMPUTED_VALUE"""),294.07)</f>
        <v>294.07</v>
      </c>
      <c r="E76" s="1">
        <f>IFERROR(__xludf.DUMMYFUNCTION("""COMPUTED_VALUE"""),294.8)</f>
        <v>294.8</v>
      </c>
      <c r="F76" s="1">
        <f>IFERROR(__xludf.DUMMYFUNCTION("""COMPUTED_VALUE"""),2.2364103E7)</f>
        <v>22364103</v>
      </c>
    </row>
    <row r="77">
      <c r="A77" s="2">
        <f>IFERROR(__xludf.DUMMYFUNCTION("""COMPUTED_VALUE"""),44461.66666666667)</f>
        <v>44461.66667</v>
      </c>
      <c r="B77" s="1">
        <f>IFERROR(__xludf.DUMMYFUNCTION("""COMPUTED_VALUE"""),296.73)</f>
        <v>296.73</v>
      </c>
      <c r="C77" s="1">
        <f>IFERROR(__xludf.DUMMYFUNCTION("""COMPUTED_VALUE"""),300.22)</f>
        <v>300.22</v>
      </c>
      <c r="D77" s="1">
        <f>IFERROR(__xludf.DUMMYFUNCTION("""COMPUTED_VALUE"""),294.51)</f>
        <v>294.51</v>
      </c>
      <c r="E77" s="1">
        <f>IFERROR(__xludf.DUMMYFUNCTION("""COMPUTED_VALUE"""),298.58)</f>
        <v>298.58</v>
      </c>
      <c r="F77" s="1">
        <f>IFERROR(__xludf.DUMMYFUNCTION("""COMPUTED_VALUE"""),2.6626342E7)</f>
        <v>26626342</v>
      </c>
    </row>
    <row r="78">
      <c r="A78" s="2">
        <f>IFERROR(__xludf.DUMMYFUNCTION("""COMPUTED_VALUE"""),44462.66666666667)</f>
        <v>44462.66667</v>
      </c>
      <c r="B78" s="1">
        <f>IFERROR(__xludf.DUMMYFUNCTION("""COMPUTED_VALUE"""),298.85)</f>
        <v>298.85</v>
      </c>
      <c r="C78" s="1">
        <f>IFERROR(__xludf.DUMMYFUNCTION("""COMPUTED_VALUE"""),300.9)</f>
        <v>300.9</v>
      </c>
      <c r="D78" s="1">
        <f>IFERROR(__xludf.DUMMYFUNCTION("""COMPUTED_VALUE"""),297.53)</f>
        <v>297.53</v>
      </c>
      <c r="E78" s="1">
        <f>IFERROR(__xludf.DUMMYFUNCTION("""COMPUTED_VALUE"""),299.56)</f>
        <v>299.56</v>
      </c>
      <c r="F78" s="1">
        <f>IFERROR(__xludf.DUMMYFUNCTION("""COMPUTED_VALUE"""),1.8604601E7)</f>
        <v>18604601</v>
      </c>
    </row>
    <row r="79">
      <c r="A79" s="2">
        <f>IFERROR(__xludf.DUMMYFUNCTION("""COMPUTED_VALUE"""),44463.66666666667)</f>
        <v>44463.66667</v>
      </c>
      <c r="B79" s="1">
        <f>IFERROR(__xludf.DUMMYFUNCTION("""COMPUTED_VALUE"""),298.23)</f>
        <v>298.23</v>
      </c>
      <c r="C79" s="1">
        <f>IFERROR(__xludf.DUMMYFUNCTION("""COMPUTED_VALUE"""),299.8)</f>
        <v>299.8</v>
      </c>
      <c r="D79" s="1">
        <f>IFERROR(__xludf.DUMMYFUNCTION("""COMPUTED_VALUE"""),296.93)</f>
        <v>296.93</v>
      </c>
      <c r="E79" s="1">
        <f>IFERROR(__xludf.DUMMYFUNCTION("""COMPUTED_VALUE"""),299.35)</f>
        <v>299.35</v>
      </c>
      <c r="F79" s="1">
        <f>IFERROR(__xludf.DUMMYFUNCTION("""COMPUTED_VALUE"""),1.4998978E7)</f>
        <v>14998978</v>
      </c>
    </row>
    <row r="80">
      <c r="A80" s="2">
        <f>IFERROR(__xludf.DUMMYFUNCTION("""COMPUTED_VALUE"""),44466.66666666667)</f>
        <v>44466.66667</v>
      </c>
      <c r="B80" s="1">
        <f>IFERROR(__xludf.DUMMYFUNCTION("""COMPUTED_VALUE"""),296.14)</f>
        <v>296.14</v>
      </c>
      <c r="C80" s="1">
        <f>IFERROR(__xludf.DUMMYFUNCTION("""COMPUTED_VALUE"""),296.47)</f>
        <v>296.47</v>
      </c>
      <c r="D80" s="1">
        <f>IFERROR(__xludf.DUMMYFUNCTION("""COMPUTED_VALUE"""),292.94)</f>
        <v>292.94</v>
      </c>
      <c r="E80" s="1">
        <f>IFERROR(__xludf.DUMMYFUNCTION("""COMPUTED_VALUE"""),294.17)</f>
        <v>294.17</v>
      </c>
      <c r="F80" s="1">
        <f>IFERROR(__xludf.DUMMYFUNCTION("""COMPUTED_VALUE"""),2.3571742E7)</f>
        <v>23571742</v>
      </c>
    </row>
    <row r="81">
      <c r="A81" s="2">
        <f>IFERROR(__xludf.DUMMYFUNCTION("""COMPUTED_VALUE"""),44467.66666666667)</f>
        <v>44467.66667</v>
      </c>
      <c r="B81" s="1">
        <f>IFERROR(__xludf.DUMMYFUNCTION("""COMPUTED_VALUE"""),289.8)</f>
        <v>289.8</v>
      </c>
      <c r="C81" s="1">
        <f>IFERROR(__xludf.DUMMYFUNCTION("""COMPUTED_VALUE"""),290.78)</f>
        <v>290.78</v>
      </c>
      <c r="D81" s="1">
        <f>IFERROR(__xludf.DUMMYFUNCTION("""COMPUTED_VALUE"""),282.75)</f>
        <v>282.75</v>
      </c>
      <c r="E81" s="1">
        <f>IFERROR(__xludf.DUMMYFUNCTION("""COMPUTED_VALUE"""),283.52)</f>
        <v>283.52</v>
      </c>
      <c r="F81" s="1">
        <f>IFERROR(__xludf.DUMMYFUNCTION("""COMPUTED_VALUE"""),4.3186237E7)</f>
        <v>43186237</v>
      </c>
    </row>
    <row r="82">
      <c r="A82" s="2">
        <f>IFERROR(__xludf.DUMMYFUNCTION("""COMPUTED_VALUE"""),44468.66666666667)</f>
        <v>44468.66667</v>
      </c>
      <c r="B82" s="1">
        <f>IFERROR(__xludf.DUMMYFUNCTION("""COMPUTED_VALUE"""),285.1)</f>
        <v>285.1</v>
      </c>
      <c r="C82" s="1">
        <f>IFERROR(__xludf.DUMMYFUNCTION("""COMPUTED_VALUE"""),286.77)</f>
        <v>286.77</v>
      </c>
      <c r="D82" s="1">
        <f>IFERROR(__xludf.DUMMYFUNCTION("""COMPUTED_VALUE"""),283.01)</f>
        <v>283.01</v>
      </c>
      <c r="E82" s="1">
        <f>IFERROR(__xludf.DUMMYFUNCTION("""COMPUTED_VALUE"""),284.0)</f>
        <v>284</v>
      </c>
      <c r="F82" s="1">
        <f>IFERROR(__xludf.DUMMYFUNCTION("""COMPUTED_VALUE"""),2.6353696E7)</f>
        <v>26353696</v>
      </c>
    </row>
    <row r="83">
      <c r="A83" s="2">
        <f>IFERROR(__xludf.DUMMYFUNCTION("""COMPUTED_VALUE"""),44469.66666666667)</f>
        <v>44469.66667</v>
      </c>
      <c r="B83" s="1">
        <f>IFERROR(__xludf.DUMMYFUNCTION("""COMPUTED_VALUE"""),285.71)</f>
        <v>285.71</v>
      </c>
      <c r="C83" s="1">
        <f>IFERROR(__xludf.DUMMYFUNCTION("""COMPUTED_VALUE"""),287.83)</f>
        <v>287.83</v>
      </c>
      <c r="D83" s="1">
        <f>IFERROR(__xludf.DUMMYFUNCTION("""COMPUTED_VALUE"""),281.62)</f>
        <v>281.62</v>
      </c>
      <c r="E83" s="1">
        <f>IFERROR(__xludf.DUMMYFUNCTION("""COMPUTED_VALUE"""),281.92)</f>
        <v>281.92</v>
      </c>
      <c r="F83" s="1">
        <f>IFERROR(__xludf.DUMMYFUNCTION("""COMPUTED_VALUE"""),3.2343635E7)</f>
        <v>32343635</v>
      </c>
    </row>
    <row r="84">
      <c r="A84" s="2">
        <f>IFERROR(__xludf.DUMMYFUNCTION("""COMPUTED_VALUE"""),44470.66666666667)</f>
        <v>44470.66667</v>
      </c>
      <c r="B84" s="1">
        <f>IFERROR(__xludf.DUMMYFUNCTION("""COMPUTED_VALUE"""),282.12)</f>
        <v>282.12</v>
      </c>
      <c r="C84" s="1">
        <f>IFERROR(__xludf.DUMMYFUNCTION("""COMPUTED_VALUE"""),289.98)</f>
        <v>289.98</v>
      </c>
      <c r="D84" s="1">
        <f>IFERROR(__xludf.DUMMYFUNCTION("""COMPUTED_VALUE"""),281.29)</f>
        <v>281.29</v>
      </c>
      <c r="E84" s="1">
        <f>IFERROR(__xludf.DUMMYFUNCTION("""COMPUTED_VALUE"""),289.1)</f>
        <v>289.1</v>
      </c>
      <c r="F84" s="1">
        <f>IFERROR(__xludf.DUMMYFUNCTION("""COMPUTED_VALUE"""),3.008628E7)</f>
        <v>30086280</v>
      </c>
    </row>
    <row r="85">
      <c r="A85" s="2">
        <f>IFERROR(__xludf.DUMMYFUNCTION("""COMPUTED_VALUE"""),44473.66666666667)</f>
        <v>44473.66667</v>
      </c>
      <c r="B85" s="1">
        <f>IFERROR(__xludf.DUMMYFUNCTION("""COMPUTED_VALUE"""),287.4)</f>
        <v>287.4</v>
      </c>
      <c r="C85" s="1">
        <f>IFERROR(__xludf.DUMMYFUNCTION("""COMPUTED_VALUE"""),287.75)</f>
        <v>287.75</v>
      </c>
      <c r="D85" s="1">
        <f>IFERROR(__xludf.DUMMYFUNCTION("""COMPUTED_VALUE"""),280.25)</f>
        <v>280.25</v>
      </c>
      <c r="E85" s="1">
        <f>IFERROR(__xludf.DUMMYFUNCTION("""COMPUTED_VALUE"""),283.11)</f>
        <v>283.11</v>
      </c>
      <c r="F85" s="1">
        <f>IFERROR(__xludf.DUMMYFUNCTION("""COMPUTED_VALUE"""),3.1350747E7)</f>
        <v>31350747</v>
      </c>
    </row>
    <row r="86">
      <c r="A86" s="2">
        <f>IFERROR(__xludf.DUMMYFUNCTION("""COMPUTED_VALUE"""),44474.66666666667)</f>
        <v>44474.66667</v>
      </c>
      <c r="B86" s="1">
        <f>IFERROR(__xludf.DUMMYFUNCTION("""COMPUTED_VALUE"""),284.05)</f>
        <v>284.05</v>
      </c>
      <c r="C86" s="1">
        <f>IFERROR(__xludf.DUMMYFUNCTION("""COMPUTED_VALUE"""),290.4)</f>
        <v>290.4</v>
      </c>
      <c r="D86" s="1">
        <f>IFERROR(__xludf.DUMMYFUNCTION("""COMPUTED_VALUE"""),284.05)</f>
        <v>284.05</v>
      </c>
      <c r="E86" s="1">
        <f>IFERROR(__xludf.DUMMYFUNCTION("""COMPUTED_VALUE"""),288.76)</f>
        <v>288.76</v>
      </c>
      <c r="F86" s="1">
        <f>IFERROR(__xludf.DUMMYFUNCTION("""COMPUTED_VALUE"""),2.4993024E7)</f>
        <v>24993024</v>
      </c>
    </row>
    <row r="87">
      <c r="A87" s="2">
        <f>IFERROR(__xludf.DUMMYFUNCTION("""COMPUTED_VALUE"""),44475.66666666667)</f>
        <v>44475.66667</v>
      </c>
      <c r="B87" s="1">
        <f>IFERROR(__xludf.DUMMYFUNCTION("""COMPUTED_VALUE"""),285.78)</f>
        <v>285.78</v>
      </c>
      <c r="C87" s="1">
        <f>IFERROR(__xludf.DUMMYFUNCTION("""COMPUTED_VALUE"""),293.63)</f>
        <v>293.63</v>
      </c>
      <c r="D87" s="1">
        <f>IFERROR(__xludf.DUMMYFUNCTION("""COMPUTED_VALUE"""),285.51)</f>
        <v>285.51</v>
      </c>
      <c r="E87" s="1">
        <f>IFERROR(__xludf.DUMMYFUNCTION("""COMPUTED_VALUE"""),293.11)</f>
        <v>293.11</v>
      </c>
      <c r="F87" s="1">
        <f>IFERROR(__xludf.DUMMYFUNCTION("""COMPUTED_VALUE"""),2.8002559E7)</f>
        <v>28002559</v>
      </c>
    </row>
    <row r="88">
      <c r="A88" s="2">
        <f>IFERROR(__xludf.DUMMYFUNCTION("""COMPUTED_VALUE"""),44476.66666666667)</f>
        <v>44476.66667</v>
      </c>
      <c r="B88" s="1">
        <f>IFERROR(__xludf.DUMMYFUNCTION("""COMPUTED_VALUE"""),295.18)</f>
        <v>295.18</v>
      </c>
      <c r="C88" s="1">
        <f>IFERROR(__xludf.DUMMYFUNCTION("""COMPUTED_VALUE"""),296.64)</f>
        <v>296.64</v>
      </c>
      <c r="D88" s="1">
        <f>IFERROR(__xludf.DUMMYFUNCTION("""COMPUTED_VALUE"""),293.92)</f>
        <v>293.92</v>
      </c>
      <c r="E88" s="1">
        <f>IFERROR(__xludf.DUMMYFUNCTION("""COMPUTED_VALUE"""),294.85)</f>
        <v>294.85</v>
      </c>
      <c r="F88" s="1">
        <f>IFERROR(__xludf.DUMMYFUNCTION("""COMPUTED_VALUE"""),2.0430471E7)</f>
        <v>20430471</v>
      </c>
    </row>
    <row r="89">
      <c r="A89" s="2">
        <f>IFERROR(__xludf.DUMMYFUNCTION("""COMPUTED_VALUE"""),44477.66666666667)</f>
        <v>44477.66667</v>
      </c>
      <c r="B89" s="1">
        <f>IFERROR(__xludf.DUMMYFUNCTION("""COMPUTED_VALUE"""),296.22)</f>
        <v>296.22</v>
      </c>
      <c r="C89" s="1">
        <f>IFERROR(__xludf.DUMMYFUNCTION("""COMPUTED_VALUE"""),296.64)</f>
        <v>296.64</v>
      </c>
      <c r="D89" s="1">
        <f>IFERROR(__xludf.DUMMYFUNCTION("""COMPUTED_VALUE"""),293.76)</f>
        <v>293.76</v>
      </c>
      <c r="E89" s="1">
        <f>IFERROR(__xludf.DUMMYFUNCTION("""COMPUTED_VALUE"""),294.85)</f>
        <v>294.85</v>
      </c>
      <c r="F89" s="1">
        <f>IFERROR(__xludf.DUMMYFUNCTION("""COMPUTED_VALUE"""),1.76857E7)</f>
        <v>17685700</v>
      </c>
    </row>
    <row r="90">
      <c r="A90" s="2">
        <f>IFERROR(__xludf.DUMMYFUNCTION("""COMPUTED_VALUE"""),44480.66666666667)</f>
        <v>44480.66667</v>
      </c>
      <c r="B90" s="1">
        <f>IFERROR(__xludf.DUMMYFUNCTION("""COMPUTED_VALUE"""),292.92)</f>
        <v>292.92</v>
      </c>
      <c r="C90" s="1">
        <f>IFERROR(__xludf.DUMMYFUNCTION("""COMPUTED_VALUE"""),297.97)</f>
        <v>297.97</v>
      </c>
      <c r="D90" s="1">
        <f>IFERROR(__xludf.DUMMYFUNCTION("""COMPUTED_VALUE"""),292.75)</f>
        <v>292.75</v>
      </c>
      <c r="E90" s="1">
        <f>IFERROR(__xludf.DUMMYFUNCTION("""COMPUTED_VALUE"""),294.23)</f>
        <v>294.23</v>
      </c>
      <c r="F90" s="1">
        <f>IFERROR(__xludf.DUMMYFUNCTION("""COMPUTED_VALUE"""),1.9298634E7)</f>
        <v>19298634</v>
      </c>
    </row>
    <row r="91">
      <c r="A91" s="2">
        <f>IFERROR(__xludf.DUMMYFUNCTION("""COMPUTED_VALUE"""),44481.66666666667)</f>
        <v>44481.66667</v>
      </c>
      <c r="B91" s="1">
        <f>IFERROR(__xludf.DUMMYFUNCTION("""COMPUTED_VALUE"""),295.34)</f>
        <v>295.34</v>
      </c>
      <c r="C91" s="1">
        <f>IFERROR(__xludf.DUMMYFUNCTION("""COMPUTED_VALUE"""),295.44)</f>
        <v>295.44</v>
      </c>
      <c r="D91" s="1">
        <f>IFERROR(__xludf.DUMMYFUNCTION("""COMPUTED_VALUE"""),292.35)</f>
        <v>292.35</v>
      </c>
      <c r="E91" s="1">
        <f>IFERROR(__xludf.DUMMYFUNCTION("""COMPUTED_VALUE"""),292.88)</f>
        <v>292.88</v>
      </c>
      <c r="F91" s="1">
        <f>IFERROR(__xludf.DUMMYFUNCTION("""COMPUTED_VALUE"""),1.7974143E7)</f>
        <v>17974143</v>
      </c>
    </row>
    <row r="92">
      <c r="A92" s="2">
        <f>IFERROR(__xludf.DUMMYFUNCTION("""COMPUTED_VALUE"""),44482.66666666667)</f>
        <v>44482.66667</v>
      </c>
      <c r="B92" s="1">
        <f>IFERROR(__xludf.DUMMYFUNCTION("""COMPUTED_VALUE"""),294.91)</f>
        <v>294.91</v>
      </c>
      <c r="C92" s="1">
        <f>IFERROR(__xludf.DUMMYFUNCTION("""COMPUTED_VALUE"""),297.28)</f>
        <v>297.28</v>
      </c>
      <c r="D92" s="1">
        <f>IFERROR(__xludf.DUMMYFUNCTION("""COMPUTED_VALUE"""),293.49)</f>
        <v>293.49</v>
      </c>
      <c r="E92" s="1">
        <f>IFERROR(__xludf.DUMMYFUNCTION("""COMPUTED_VALUE"""),296.31)</f>
        <v>296.31</v>
      </c>
      <c r="F92" s="1">
        <f>IFERROR(__xludf.DUMMYFUNCTION("""COMPUTED_VALUE"""),2.3424025E7)</f>
        <v>23424025</v>
      </c>
    </row>
    <row r="93">
      <c r="A93" s="2">
        <f>IFERROR(__xludf.DUMMYFUNCTION("""COMPUTED_VALUE"""),44483.66666666667)</f>
        <v>44483.66667</v>
      </c>
      <c r="B93" s="1">
        <f>IFERROR(__xludf.DUMMYFUNCTION("""COMPUTED_VALUE"""),299.21)</f>
        <v>299.21</v>
      </c>
      <c r="C93" s="1">
        <f>IFERROR(__xludf.DUMMYFUNCTION("""COMPUTED_VALUE"""),303.27)</f>
        <v>303.27</v>
      </c>
      <c r="D93" s="1">
        <f>IFERROR(__xludf.DUMMYFUNCTION("""COMPUTED_VALUE"""),297.83)</f>
        <v>297.83</v>
      </c>
      <c r="E93" s="1">
        <f>IFERROR(__xludf.DUMMYFUNCTION("""COMPUTED_VALUE"""),302.75)</f>
        <v>302.75</v>
      </c>
      <c r="F93" s="1">
        <f>IFERROR(__xludf.DUMMYFUNCTION("""COMPUTED_VALUE"""),2.7262902E7)</f>
        <v>27262902</v>
      </c>
    </row>
    <row r="94">
      <c r="A94" s="2">
        <f>IFERROR(__xludf.DUMMYFUNCTION("""COMPUTED_VALUE"""),44484.66666666667)</f>
        <v>44484.66667</v>
      </c>
      <c r="B94" s="1">
        <f>IFERROR(__xludf.DUMMYFUNCTION("""COMPUTED_VALUE"""),302.34)</f>
        <v>302.34</v>
      </c>
      <c r="C94" s="1">
        <f>IFERROR(__xludf.DUMMYFUNCTION("""COMPUTED_VALUE"""),304.45)</f>
        <v>304.45</v>
      </c>
      <c r="D94" s="1">
        <f>IFERROR(__xludf.DUMMYFUNCTION("""COMPUTED_VALUE"""),300.52)</f>
        <v>300.52</v>
      </c>
      <c r="E94" s="1">
        <f>IFERROR(__xludf.DUMMYFUNCTION("""COMPUTED_VALUE"""),304.21)</f>
        <v>304.21</v>
      </c>
      <c r="F94" s="1">
        <f>IFERROR(__xludf.DUMMYFUNCTION("""COMPUTED_VALUE"""),2.5384803E7)</f>
        <v>25384803</v>
      </c>
    </row>
    <row r="95">
      <c r="A95" s="2">
        <f>IFERROR(__xludf.DUMMYFUNCTION("""COMPUTED_VALUE"""),44487.66666666667)</f>
        <v>44487.66667</v>
      </c>
      <c r="B95" s="1">
        <f>IFERROR(__xludf.DUMMYFUNCTION("""COMPUTED_VALUE"""),303.57)</f>
        <v>303.57</v>
      </c>
      <c r="C95" s="1">
        <f>IFERROR(__xludf.DUMMYFUNCTION("""COMPUTED_VALUE"""),308.21)</f>
        <v>308.21</v>
      </c>
      <c r="D95" s="1">
        <f>IFERROR(__xludf.DUMMYFUNCTION("""COMPUTED_VALUE"""),302.69)</f>
        <v>302.69</v>
      </c>
      <c r="E95" s="1">
        <f>IFERROR(__xludf.DUMMYFUNCTION("""COMPUTED_VALUE"""),307.29)</f>
        <v>307.29</v>
      </c>
      <c r="F95" s="1">
        <f>IFERROR(__xludf.DUMMYFUNCTION("""COMPUTED_VALUE"""),2.2729297E7)</f>
        <v>22729297</v>
      </c>
    </row>
    <row r="96">
      <c r="A96" s="2">
        <f>IFERROR(__xludf.DUMMYFUNCTION("""COMPUTED_VALUE"""),44488.66666666667)</f>
        <v>44488.66667</v>
      </c>
      <c r="B96" s="1">
        <f>IFERROR(__xludf.DUMMYFUNCTION("""COMPUTED_VALUE"""),308.35)</f>
        <v>308.35</v>
      </c>
      <c r="C96" s="1">
        <f>IFERROR(__xludf.DUMMYFUNCTION("""COMPUTED_VALUE"""),309.3)</f>
        <v>309.3</v>
      </c>
      <c r="D96" s="1">
        <f>IFERROR(__xludf.DUMMYFUNCTION("""COMPUTED_VALUE"""),307.22)</f>
        <v>307.22</v>
      </c>
      <c r="E96" s="1">
        <f>IFERROR(__xludf.DUMMYFUNCTION("""COMPUTED_VALUE"""),308.23)</f>
        <v>308.23</v>
      </c>
      <c r="F96" s="1">
        <f>IFERROR(__xludf.DUMMYFUNCTION("""COMPUTED_VALUE"""),1.7682139E7)</f>
        <v>17682139</v>
      </c>
    </row>
    <row r="97">
      <c r="A97" s="2">
        <f>IFERROR(__xludf.DUMMYFUNCTION("""COMPUTED_VALUE"""),44489.66666666667)</f>
        <v>44489.66667</v>
      </c>
      <c r="B97" s="1">
        <f>IFERROR(__xludf.DUMMYFUNCTION("""COMPUTED_VALUE"""),309.21)</f>
        <v>309.21</v>
      </c>
      <c r="C97" s="1">
        <f>IFERROR(__xludf.DUMMYFUNCTION("""COMPUTED_VALUE"""),309.7)</f>
        <v>309.7</v>
      </c>
      <c r="D97" s="1">
        <f>IFERROR(__xludf.DUMMYFUNCTION("""COMPUTED_VALUE"""),306.11)</f>
        <v>306.11</v>
      </c>
      <c r="E97" s="1">
        <f>IFERROR(__xludf.DUMMYFUNCTION("""COMPUTED_VALUE"""),307.41)</f>
        <v>307.41</v>
      </c>
      <c r="F97" s="1">
        <f>IFERROR(__xludf.DUMMYFUNCTION("""COMPUTED_VALUE"""),1.6537069E7)</f>
        <v>16537069</v>
      </c>
    </row>
    <row r="98">
      <c r="A98" s="2">
        <f>IFERROR(__xludf.DUMMYFUNCTION("""COMPUTED_VALUE"""),44490.66666666667)</f>
        <v>44490.66667</v>
      </c>
      <c r="B98" s="1">
        <f>IFERROR(__xludf.DUMMYFUNCTION("""COMPUTED_VALUE"""),307.17)</f>
        <v>307.17</v>
      </c>
      <c r="C98" s="1">
        <f>IFERROR(__xludf.DUMMYFUNCTION("""COMPUTED_VALUE"""),311.02)</f>
        <v>311.02</v>
      </c>
      <c r="D98" s="1">
        <f>IFERROR(__xludf.DUMMYFUNCTION("""COMPUTED_VALUE"""),306.36)</f>
        <v>306.36</v>
      </c>
      <c r="E98" s="1">
        <f>IFERROR(__xludf.DUMMYFUNCTION("""COMPUTED_VALUE"""),310.76)</f>
        <v>310.76</v>
      </c>
      <c r="F98" s="1">
        <f>IFERROR(__xludf.DUMMYFUNCTION("""COMPUTED_VALUE"""),1.69181E7)</f>
        <v>16918100</v>
      </c>
    </row>
    <row r="99">
      <c r="A99" s="2">
        <f>IFERROR(__xludf.DUMMYFUNCTION("""COMPUTED_VALUE"""),44491.66666666667)</f>
        <v>44491.66667</v>
      </c>
      <c r="B99" s="1">
        <f>IFERROR(__xludf.DUMMYFUNCTION("""COMPUTED_VALUE"""),310.4)</f>
        <v>310.4</v>
      </c>
      <c r="C99" s="1">
        <f>IFERROR(__xludf.DUMMYFUNCTION("""COMPUTED_VALUE"""),311.09)</f>
        <v>311.09</v>
      </c>
      <c r="D99" s="1">
        <f>IFERROR(__xludf.DUMMYFUNCTION("""COMPUTED_VALUE"""),307.8)</f>
        <v>307.8</v>
      </c>
      <c r="E99" s="1">
        <f>IFERROR(__xludf.DUMMYFUNCTION("""COMPUTED_VALUE"""),309.16)</f>
        <v>309.16</v>
      </c>
      <c r="F99" s="1">
        <f>IFERROR(__xludf.DUMMYFUNCTION("""COMPUTED_VALUE"""),1.7449332E7)</f>
        <v>17449332</v>
      </c>
    </row>
    <row r="100">
      <c r="A100" s="2">
        <f>IFERROR(__xludf.DUMMYFUNCTION("""COMPUTED_VALUE"""),44494.66666666667)</f>
        <v>44494.66667</v>
      </c>
      <c r="B100" s="1">
        <f>IFERROR(__xludf.DUMMYFUNCTION("""COMPUTED_VALUE"""),309.36)</f>
        <v>309.36</v>
      </c>
      <c r="C100" s="1">
        <f>IFERROR(__xludf.DUMMYFUNCTION("""COMPUTED_VALUE"""),309.4)</f>
        <v>309.4</v>
      </c>
      <c r="D100" s="1">
        <f>IFERROR(__xludf.DUMMYFUNCTION("""COMPUTED_VALUE"""),306.46)</f>
        <v>306.46</v>
      </c>
      <c r="E100" s="1">
        <f>IFERROR(__xludf.DUMMYFUNCTION("""COMPUTED_VALUE"""),308.13)</f>
        <v>308.13</v>
      </c>
      <c r="F100" s="1">
        <f>IFERROR(__xludf.DUMMYFUNCTION("""COMPUTED_VALUE"""),1.7554469E7)</f>
        <v>17554469</v>
      </c>
    </row>
    <row r="101">
      <c r="A101" s="2">
        <f>IFERROR(__xludf.DUMMYFUNCTION("""COMPUTED_VALUE"""),44495.66666666667)</f>
        <v>44495.66667</v>
      </c>
      <c r="B101" s="1">
        <f>IFERROR(__xludf.DUMMYFUNCTION("""COMPUTED_VALUE"""),311.0)</f>
        <v>311</v>
      </c>
      <c r="C101" s="1">
        <f>IFERROR(__xludf.DUMMYFUNCTION("""COMPUTED_VALUE"""),312.4)</f>
        <v>312.4</v>
      </c>
      <c r="D101" s="1">
        <f>IFERROR(__xludf.DUMMYFUNCTION("""COMPUTED_VALUE"""),308.6)</f>
        <v>308.6</v>
      </c>
      <c r="E101" s="1">
        <f>IFERROR(__xludf.DUMMYFUNCTION("""COMPUTED_VALUE"""),310.11)</f>
        <v>310.11</v>
      </c>
      <c r="F101" s="1">
        <f>IFERROR(__xludf.DUMMYFUNCTION("""COMPUTED_VALUE"""),2.8107349E7)</f>
        <v>28107349</v>
      </c>
    </row>
    <row r="102">
      <c r="A102" s="2">
        <f>IFERROR(__xludf.DUMMYFUNCTION("""COMPUTED_VALUE"""),44496.66666666667)</f>
        <v>44496.66667</v>
      </c>
      <c r="B102" s="1">
        <f>IFERROR(__xludf.DUMMYFUNCTION("""COMPUTED_VALUE"""),316.0)</f>
        <v>316</v>
      </c>
      <c r="C102" s="1">
        <f>IFERROR(__xludf.DUMMYFUNCTION("""COMPUTED_VALUE"""),326.1)</f>
        <v>326.1</v>
      </c>
      <c r="D102" s="1">
        <f>IFERROR(__xludf.DUMMYFUNCTION("""COMPUTED_VALUE"""),316.0)</f>
        <v>316</v>
      </c>
      <c r="E102" s="1">
        <f>IFERROR(__xludf.DUMMYFUNCTION("""COMPUTED_VALUE"""),323.17)</f>
        <v>323.17</v>
      </c>
      <c r="F102" s="1">
        <f>IFERROR(__xludf.DUMMYFUNCTION("""COMPUTED_VALUE"""),5.258869E7)</f>
        <v>52588690</v>
      </c>
    </row>
    <row r="103">
      <c r="A103" s="2">
        <f>IFERROR(__xludf.DUMMYFUNCTION("""COMPUTED_VALUE"""),44497.66666666667)</f>
        <v>44497.66667</v>
      </c>
      <c r="B103" s="1">
        <f>IFERROR(__xludf.DUMMYFUNCTION("""COMPUTED_VALUE"""),324.33)</f>
        <v>324.33</v>
      </c>
      <c r="C103" s="1">
        <f>IFERROR(__xludf.DUMMYFUNCTION("""COMPUTED_VALUE"""),324.87)</f>
        <v>324.87</v>
      </c>
      <c r="D103" s="1">
        <f>IFERROR(__xludf.DUMMYFUNCTION("""COMPUTED_VALUE"""),321.36)</f>
        <v>321.36</v>
      </c>
      <c r="E103" s="1">
        <f>IFERROR(__xludf.DUMMYFUNCTION("""COMPUTED_VALUE"""),324.35)</f>
        <v>324.35</v>
      </c>
      <c r="F103" s="1">
        <f>IFERROR(__xludf.DUMMYFUNCTION("""COMPUTED_VALUE"""),2.6297943E7)</f>
        <v>26297943</v>
      </c>
    </row>
    <row r="104">
      <c r="A104" s="2">
        <f>IFERROR(__xludf.DUMMYFUNCTION("""COMPUTED_VALUE"""),44498.66666666667)</f>
        <v>44498.66667</v>
      </c>
      <c r="B104" s="1">
        <f>IFERROR(__xludf.DUMMYFUNCTION("""COMPUTED_VALUE"""),324.13)</f>
        <v>324.13</v>
      </c>
      <c r="C104" s="1">
        <f>IFERROR(__xludf.DUMMYFUNCTION("""COMPUTED_VALUE"""),332.0)</f>
        <v>332</v>
      </c>
      <c r="D104" s="1">
        <f>IFERROR(__xludf.DUMMYFUNCTION("""COMPUTED_VALUE"""),323.9)</f>
        <v>323.9</v>
      </c>
      <c r="E104" s="1">
        <f>IFERROR(__xludf.DUMMYFUNCTION("""COMPUTED_VALUE"""),331.62)</f>
        <v>331.62</v>
      </c>
      <c r="F104" s="1">
        <f>IFERROR(__xludf.DUMMYFUNCTION("""COMPUTED_VALUE"""),3.4765982E7)</f>
        <v>34765982</v>
      </c>
    </row>
    <row r="105">
      <c r="A105" s="2">
        <f>IFERROR(__xludf.DUMMYFUNCTION("""COMPUTED_VALUE"""),44501.66666666667)</f>
        <v>44501.66667</v>
      </c>
      <c r="B105" s="1">
        <f>IFERROR(__xludf.DUMMYFUNCTION("""COMPUTED_VALUE"""),331.36)</f>
        <v>331.36</v>
      </c>
      <c r="C105" s="1">
        <f>IFERROR(__xludf.DUMMYFUNCTION("""COMPUTED_VALUE"""),331.49)</f>
        <v>331.49</v>
      </c>
      <c r="D105" s="1">
        <f>IFERROR(__xludf.DUMMYFUNCTION("""COMPUTED_VALUE"""),326.37)</f>
        <v>326.37</v>
      </c>
      <c r="E105" s="1">
        <f>IFERROR(__xludf.DUMMYFUNCTION("""COMPUTED_VALUE"""),329.37)</f>
        <v>329.37</v>
      </c>
      <c r="F105" s="1">
        <f>IFERROR(__xludf.DUMMYFUNCTION("""COMPUTED_VALUE"""),2.7073182E7)</f>
        <v>27073182</v>
      </c>
    </row>
    <row r="106">
      <c r="A106" s="2">
        <f>IFERROR(__xludf.DUMMYFUNCTION("""COMPUTED_VALUE"""),44502.66666666667)</f>
        <v>44502.66667</v>
      </c>
      <c r="B106" s="1">
        <f>IFERROR(__xludf.DUMMYFUNCTION("""COMPUTED_VALUE"""),330.31)</f>
        <v>330.31</v>
      </c>
      <c r="C106" s="1">
        <f>IFERROR(__xludf.DUMMYFUNCTION("""COMPUTED_VALUE"""),333.45)</f>
        <v>333.45</v>
      </c>
      <c r="D106" s="1">
        <f>IFERROR(__xludf.DUMMYFUNCTION("""COMPUTED_VALUE"""),330.0)</f>
        <v>330</v>
      </c>
      <c r="E106" s="1">
        <f>IFERROR(__xludf.DUMMYFUNCTION("""COMPUTED_VALUE"""),333.13)</f>
        <v>333.13</v>
      </c>
      <c r="F106" s="1">
        <f>IFERROR(__xludf.DUMMYFUNCTION("""COMPUTED_VALUE"""),2.6487109E7)</f>
        <v>26487109</v>
      </c>
    </row>
    <row r="107">
      <c r="A107" s="2">
        <f>IFERROR(__xludf.DUMMYFUNCTION("""COMPUTED_VALUE"""),44503.66666666667)</f>
        <v>44503.66667</v>
      </c>
      <c r="B107" s="1">
        <f>IFERROR(__xludf.DUMMYFUNCTION("""COMPUTED_VALUE"""),333.9)</f>
        <v>333.9</v>
      </c>
      <c r="C107" s="1">
        <f>IFERROR(__xludf.DUMMYFUNCTION("""COMPUTED_VALUE"""),334.9)</f>
        <v>334.9</v>
      </c>
      <c r="D107" s="1">
        <f>IFERROR(__xludf.DUMMYFUNCTION("""COMPUTED_VALUE"""),330.65)</f>
        <v>330.65</v>
      </c>
      <c r="E107" s="1">
        <f>IFERROR(__xludf.DUMMYFUNCTION("""COMPUTED_VALUE"""),334.0)</f>
        <v>334</v>
      </c>
      <c r="F107" s="1">
        <f>IFERROR(__xludf.DUMMYFUNCTION("""COMPUTED_VALUE"""),2.1500082E7)</f>
        <v>21500082</v>
      </c>
    </row>
    <row r="108">
      <c r="A108" s="2">
        <f>IFERROR(__xludf.DUMMYFUNCTION("""COMPUTED_VALUE"""),44504.66666666667)</f>
        <v>44504.66667</v>
      </c>
      <c r="B108" s="1">
        <f>IFERROR(__xludf.DUMMYFUNCTION("""COMPUTED_VALUE"""),332.89)</f>
        <v>332.89</v>
      </c>
      <c r="C108" s="1">
        <f>IFERROR(__xludf.DUMMYFUNCTION("""COMPUTED_VALUE"""),336.54)</f>
        <v>336.54</v>
      </c>
      <c r="D108" s="1">
        <f>IFERROR(__xludf.DUMMYFUNCTION("""COMPUTED_VALUE"""),329.51)</f>
        <v>329.51</v>
      </c>
      <c r="E108" s="1">
        <f>IFERROR(__xludf.DUMMYFUNCTION("""COMPUTED_VALUE"""),336.44)</f>
        <v>336.44</v>
      </c>
      <c r="F108" s="1">
        <f>IFERROR(__xludf.DUMMYFUNCTION("""COMPUTED_VALUE"""),2.3992202E7)</f>
        <v>23992202</v>
      </c>
    </row>
    <row r="109">
      <c r="A109" s="2">
        <f>IFERROR(__xludf.DUMMYFUNCTION("""COMPUTED_VALUE"""),44505.66666666667)</f>
        <v>44505.66667</v>
      </c>
      <c r="B109" s="1">
        <f>IFERROR(__xludf.DUMMYFUNCTION("""COMPUTED_VALUE"""),338.51)</f>
        <v>338.51</v>
      </c>
      <c r="C109" s="1">
        <f>IFERROR(__xludf.DUMMYFUNCTION("""COMPUTED_VALUE"""),338.79)</f>
        <v>338.79</v>
      </c>
      <c r="D109" s="1">
        <f>IFERROR(__xludf.DUMMYFUNCTION("""COMPUTED_VALUE"""),334.42)</f>
        <v>334.42</v>
      </c>
      <c r="E109" s="1">
        <f>IFERROR(__xludf.DUMMYFUNCTION("""COMPUTED_VALUE"""),336.06)</f>
        <v>336.06</v>
      </c>
      <c r="F109" s="1">
        <f>IFERROR(__xludf.DUMMYFUNCTION("""COMPUTED_VALUE"""),2.2570098E7)</f>
        <v>22570098</v>
      </c>
    </row>
    <row r="110">
      <c r="A110" s="2">
        <f>IFERROR(__xludf.DUMMYFUNCTION("""COMPUTED_VALUE"""),44508.66666666667)</f>
        <v>44508.66667</v>
      </c>
      <c r="B110" s="1">
        <f>IFERROR(__xludf.DUMMYFUNCTION("""COMPUTED_VALUE"""),337.3)</f>
        <v>337.3</v>
      </c>
      <c r="C110" s="1">
        <f>IFERROR(__xludf.DUMMYFUNCTION("""COMPUTED_VALUE"""),337.65)</f>
        <v>337.65</v>
      </c>
      <c r="D110" s="1">
        <f>IFERROR(__xludf.DUMMYFUNCTION("""COMPUTED_VALUE"""),334.44)</f>
        <v>334.44</v>
      </c>
      <c r="E110" s="1">
        <f>IFERROR(__xludf.DUMMYFUNCTION("""COMPUTED_VALUE"""),336.99)</f>
        <v>336.99</v>
      </c>
      <c r="F110" s="1">
        <f>IFERROR(__xludf.DUMMYFUNCTION("""COMPUTED_VALUE"""),2.0897001E7)</f>
        <v>20897001</v>
      </c>
    </row>
    <row r="111">
      <c r="A111" s="2">
        <f>IFERROR(__xludf.DUMMYFUNCTION("""COMPUTED_VALUE"""),44509.66666666667)</f>
        <v>44509.66667</v>
      </c>
      <c r="B111" s="1">
        <f>IFERROR(__xludf.DUMMYFUNCTION("""COMPUTED_VALUE"""),337.11)</f>
        <v>337.11</v>
      </c>
      <c r="C111" s="1">
        <f>IFERROR(__xludf.DUMMYFUNCTION("""COMPUTED_VALUE"""),338.72)</f>
        <v>338.72</v>
      </c>
      <c r="D111" s="1">
        <f>IFERROR(__xludf.DUMMYFUNCTION("""COMPUTED_VALUE"""),334.53)</f>
        <v>334.53</v>
      </c>
      <c r="E111" s="1">
        <f>IFERROR(__xludf.DUMMYFUNCTION("""COMPUTED_VALUE"""),335.95)</f>
        <v>335.95</v>
      </c>
      <c r="F111" s="1">
        <f>IFERROR(__xludf.DUMMYFUNCTION("""COMPUTED_VALUE"""),2.130737E7)</f>
        <v>21307370</v>
      </c>
    </row>
    <row r="112">
      <c r="A112" s="2">
        <f>IFERROR(__xludf.DUMMYFUNCTION("""COMPUTED_VALUE"""),44510.66666666667)</f>
        <v>44510.66667</v>
      </c>
      <c r="B112" s="1">
        <f>IFERROR(__xludf.DUMMYFUNCTION("""COMPUTED_VALUE"""),334.57)</f>
        <v>334.57</v>
      </c>
      <c r="C112" s="1">
        <f>IFERROR(__xludf.DUMMYFUNCTION("""COMPUTED_VALUE"""),334.63)</f>
        <v>334.63</v>
      </c>
      <c r="D112" s="1">
        <f>IFERROR(__xludf.DUMMYFUNCTION("""COMPUTED_VALUE"""),329.92)</f>
        <v>329.92</v>
      </c>
      <c r="E112" s="1">
        <f>IFERROR(__xludf.DUMMYFUNCTION("""COMPUTED_VALUE"""),330.8)</f>
        <v>330.8</v>
      </c>
      <c r="F112" s="1">
        <f>IFERROR(__xludf.DUMMYFUNCTION("""COMPUTED_VALUE"""),2.5500938E7)</f>
        <v>25500938</v>
      </c>
    </row>
    <row r="113">
      <c r="A113" s="2">
        <f>IFERROR(__xludf.DUMMYFUNCTION("""COMPUTED_VALUE"""),44511.66666666667)</f>
        <v>44511.66667</v>
      </c>
      <c r="B113" s="1">
        <f>IFERROR(__xludf.DUMMYFUNCTION("""COMPUTED_VALUE"""),331.25)</f>
        <v>331.25</v>
      </c>
      <c r="C113" s="1">
        <f>IFERROR(__xludf.DUMMYFUNCTION("""COMPUTED_VALUE"""),333.77)</f>
        <v>333.77</v>
      </c>
      <c r="D113" s="1">
        <f>IFERROR(__xludf.DUMMYFUNCTION("""COMPUTED_VALUE"""),330.51)</f>
        <v>330.51</v>
      </c>
      <c r="E113" s="1">
        <f>IFERROR(__xludf.DUMMYFUNCTION("""COMPUTED_VALUE"""),332.43)</f>
        <v>332.43</v>
      </c>
      <c r="F113" s="1">
        <f>IFERROR(__xludf.DUMMYFUNCTION("""COMPUTED_VALUE"""),1.6849844E7)</f>
        <v>16849844</v>
      </c>
    </row>
    <row r="114">
      <c r="A114" s="2">
        <f>IFERROR(__xludf.DUMMYFUNCTION("""COMPUTED_VALUE"""),44512.66666666667)</f>
        <v>44512.66667</v>
      </c>
      <c r="B114" s="1">
        <f>IFERROR(__xludf.DUMMYFUNCTION("""COMPUTED_VALUE"""),333.92)</f>
        <v>333.92</v>
      </c>
      <c r="C114" s="1">
        <f>IFERROR(__xludf.DUMMYFUNCTION("""COMPUTED_VALUE"""),337.23)</f>
        <v>337.23</v>
      </c>
      <c r="D114" s="1">
        <f>IFERROR(__xludf.DUMMYFUNCTION("""COMPUTED_VALUE"""),333.79)</f>
        <v>333.79</v>
      </c>
      <c r="E114" s="1">
        <f>IFERROR(__xludf.DUMMYFUNCTION("""COMPUTED_VALUE"""),336.72)</f>
        <v>336.72</v>
      </c>
      <c r="F114" s="1">
        <f>IFERROR(__xludf.DUMMYFUNCTION("""COMPUTED_VALUE"""),2.3831049E7)</f>
        <v>23831049</v>
      </c>
    </row>
    <row r="115">
      <c r="A115" s="2">
        <f>IFERROR(__xludf.DUMMYFUNCTION("""COMPUTED_VALUE"""),44515.66666666667)</f>
        <v>44515.66667</v>
      </c>
      <c r="B115" s="1">
        <f>IFERROR(__xludf.DUMMYFUNCTION("""COMPUTED_VALUE"""),337.54)</f>
        <v>337.54</v>
      </c>
      <c r="C115" s="1">
        <f>IFERROR(__xludf.DUMMYFUNCTION("""COMPUTED_VALUE"""),337.88)</f>
        <v>337.88</v>
      </c>
      <c r="D115" s="1">
        <f>IFERROR(__xludf.DUMMYFUNCTION("""COMPUTED_VALUE"""),334.03)</f>
        <v>334.03</v>
      </c>
      <c r="E115" s="1">
        <f>IFERROR(__xludf.DUMMYFUNCTION("""COMPUTED_VALUE"""),336.07)</f>
        <v>336.07</v>
      </c>
      <c r="F115" s="1">
        <f>IFERROR(__xludf.DUMMYFUNCTION("""COMPUTED_VALUE"""),1.6723009E7)</f>
        <v>16723009</v>
      </c>
    </row>
    <row r="116">
      <c r="A116" s="2">
        <f>IFERROR(__xludf.DUMMYFUNCTION("""COMPUTED_VALUE"""),44516.66666666667)</f>
        <v>44516.66667</v>
      </c>
      <c r="B116" s="1">
        <f>IFERROR(__xludf.DUMMYFUNCTION("""COMPUTED_VALUE"""),335.68)</f>
        <v>335.68</v>
      </c>
      <c r="C116" s="1">
        <f>IFERROR(__xludf.DUMMYFUNCTION("""COMPUTED_VALUE"""),340.67)</f>
        <v>340.67</v>
      </c>
      <c r="D116" s="1">
        <f>IFERROR(__xludf.DUMMYFUNCTION("""COMPUTED_VALUE"""),335.51)</f>
        <v>335.51</v>
      </c>
      <c r="E116" s="1">
        <f>IFERROR(__xludf.DUMMYFUNCTION("""COMPUTED_VALUE"""),339.51)</f>
        <v>339.51</v>
      </c>
      <c r="F116" s="1">
        <f>IFERROR(__xludf.DUMMYFUNCTION("""COMPUTED_VALUE"""),2.0886832E7)</f>
        <v>20886832</v>
      </c>
    </row>
    <row r="117">
      <c r="A117" s="2">
        <f>IFERROR(__xludf.DUMMYFUNCTION("""COMPUTED_VALUE"""),44517.66666666667)</f>
        <v>44517.66667</v>
      </c>
      <c r="B117" s="1">
        <f>IFERROR(__xludf.DUMMYFUNCTION("""COMPUTED_VALUE"""),338.94)</f>
        <v>338.94</v>
      </c>
      <c r="C117" s="1">
        <f>IFERROR(__xludf.DUMMYFUNCTION("""COMPUTED_VALUE"""),342.19)</f>
        <v>342.19</v>
      </c>
      <c r="D117" s="1">
        <f>IFERROR(__xludf.DUMMYFUNCTION("""COMPUTED_VALUE"""),338.0)</f>
        <v>338</v>
      </c>
      <c r="E117" s="1">
        <f>IFERROR(__xludf.DUMMYFUNCTION("""COMPUTED_VALUE"""),339.12)</f>
        <v>339.12</v>
      </c>
      <c r="F117" s="1">
        <f>IFERROR(__xludf.DUMMYFUNCTION("""COMPUTED_VALUE"""),1.905338E7)</f>
        <v>19053380</v>
      </c>
    </row>
    <row r="118">
      <c r="A118" s="2">
        <f>IFERROR(__xludf.DUMMYFUNCTION("""COMPUTED_VALUE"""),44518.66666666667)</f>
        <v>44518.66667</v>
      </c>
      <c r="B118" s="1">
        <f>IFERROR(__xludf.DUMMYFUNCTION("""COMPUTED_VALUE"""),338.18)</f>
        <v>338.18</v>
      </c>
      <c r="C118" s="1">
        <f>IFERROR(__xludf.DUMMYFUNCTION("""COMPUTED_VALUE"""),342.45)</f>
        <v>342.45</v>
      </c>
      <c r="D118" s="1">
        <f>IFERROR(__xludf.DUMMYFUNCTION("""COMPUTED_VALUE"""),337.12)</f>
        <v>337.12</v>
      </c>
      <c r="E118" s="1">
        <f>IFERROR(__xludf.DUMMYFUNCTION("""COMPUTED_VALUE"""),341.27)</f>
        <v>341.27</v>
      </c>
      <c r="F118" s="1">
        <f>IFERROR(__xludf.DUMMYFUNCTION("""COMPUTED_VALUE"""),2.2463533E7)</f>
        <v>22463533</v>
      </c>
    </row>
    <row r="119">
      <c r="A119" s="2">
        <f>IFERROR(__xludf.DUMMYFUNCTION("""COMPUTED_VALUE"""),44519.66666666667)</f>
        <v>44519.66667</v>
      </c>
      <c r="B119" s="1">
        <f>IFERROR(__xludf.DUMMYFUNCTION("""COMPUTED_VALUE"""),342.64)</f>
        <v>342.64</v>
      </c>
      <c r="C119" s="1">
        <f>IFERROR(__xludf.DUMMYFUNCTION("""COMPUTED_VALUE"""),345.1)</f>
        <v>345.1</v>
      </c>
      <c r="D119" s="1">
        <f>IFERROR(__xludf.DUMMYFUNCTION("""COMPUTED_VALUE"""),342.2)</f>
        <v>342.2</v>
      </c>
      <c r="E119" s="1">
        <f>IFERROR(__xludf.DUMMYFUNCTION("""COMPUTED_VALUE"""),343.11)</f>
        <v>343.11</v>
      </c>
      <c r="F119" s="1">
        <f>IFERROR(__xludf.DUMMYFUNCTION("""COMPUTED_VALUE"""),2.1963403E7)</f>
        <v>21963403</v>
      </c>
    </row>
    <row r="120">
      <c r="A120" s="2">
        <f>IFERROR(__xludf.DUMMYFUNCTION("""COMPUTED_VALUE"""),44522.66666666667)</f>
        <v>44522.66667</v>
      </c>
      <c r="B120" s="1">
        <f>IFERROR(__xludf.DUMMYFUNCTION("""COMPUTED_VALUE"""),344.62)</f>
        <v>344.62</v>
      </c>
      <c r="C120" s="1">
        <f>IFERROR(__xludf.DUMMYFUNCTION("""COMPUTED_VALUE"""),349.67)</f>
        <v>349.67</v>
      </c>
      <c r="D120" s="1">
        <f>IFERROR(__xludf.DUMMYFUNCTION("""COMPUTED_VALUE"""),339.55)</f>
        <v>339.55</v>
      </c>
      <c r="E120" s="1">
        <f>IFERROR(__xludf.DUMMYFUNCTION("""COMPUTED_VALUE"""),339.83)</f>
        <v>339.83</v>
      </c>
      <c r="F120" s="1">
        <f>IFERROR(__xludf.DUMMYFUNCTION("""COMPUTED_VALUE"""),3.1031113E7)</f>
        <v>31031113</v>
      </c>
    </row>
    <row r="121">
      <c r="A121" s="2">
        <f>IFERROR(__xludf.DUMMYFUNCTION("""COMPUTED_VALUE"""),44523.66666666667)</f>
        <v>44523.66667</v>
      </c>
      <c r="B121" s="1">
        <f>IFERROR(__xludf.DUMMYFUNCTION("""COMPUTED_VALUE"""),337.05)</f>
        <v>337.05</v>
      </c>
      <c r="C121" s="1">
        <f>IFERROR(__xludf.DUMMYFUNCTION("""COMPUTED_VALUE"""),339.45)</f>
        <v>339.45</v>
      </c>
      <c r="D121" s="1">
        <f>IFERROR(__xludf.DUMMYFUNCTION("""COMPUTED_VALUE"""),333.56)</f>
        <v>333.56</v>
      </c>
      <c r="E121" s="1">
        <f>IFERROR(__xludf.DUMMYFUNCTION("""COMPUTED_VALUE"""),337.68)</f>
        <v>337.68</v>
      </c>
      <c r="F121" s="1">
        <f>IFERROR(__xludf.DUMMYFUNCTION("""COMPUTED_VALUE"""),3.0427563E7)</f>
        <v>30427563</v>
      </c>
    </row>
    <row r="122">
      <c r="A122" s="2">
        <f>IFERROR(__xludf.DUMMYFUNCTION("""COMPUTED_VALUE"""),44524.66666666667)</f>
        <v>44524.66667</v>
      </c>
      <c r="B122" s="1">
        <f>IFERROR(__xludf.DUMMYFUNCTION("""COMPUTED_VALUE"""),336.28)</f>
        <v>336.28</v>
      </c>
      <c r="C122" s="1">
        <f>IFERROR(__xludf.DUMMYFUNCTION("""COMPUTED_VALUE"""),338.16)</f>
        <v>338.16</v>
      </c>
      <c r="D122" s="1">
        <f>IFERROR(__xludf.DUMMYFUNCTION("""COMPUTED_VALUE"""),333.91)</f>
        <v>333.91</v>
      </c>
      <c r="E122" s="1">
        <f>IFERROR(__xludf.DUMMYFUNCTION("""COMPUTED_VALUE"""),337.91)</f>
        <v>337.91</v>
      </c>
      <c r="F122" s="1">
        <f>IFERROR(__xludf.DUMMYFUNCTION("""COMPUTED_VALUE"""),2.1661307E7)</f>
        <v>21661307</v>
      </c>
    </row>
    <row r="123">
      <c r="A123" s="2">
        <f>IFERROR(__xludf.DUMMYFUNCTION("""COMPUTED_VALUE"""),44526.54166666667)</f>
        <v>44526.54167</v>
      </c>
      <c r="B123" s="1">
        <f>IFERROR(__xludf.DUMMYFUNCTION("""COMPUTED_VALUE"""),334.35)</f>
        <v>334.35</v>
      </c>
      <c r="C123" s="1">
        <f>IFERROR(__xludf.DUMMYFUNCTION("""COMPUTED_VALUE"""),337.93)</f>
        <v>337.93</v>
      </c>
      <c r="D123" s="1">
        <f>IFERROR(__xludf.DUMMYFUNCTION("""COMPUTED_VALUE"""),328.12)</f>
        <v>328.12</v>
      </c>
      <c r="E123" s="1">
        <f>IFERROR(__xludf.DUMMYFUNCTION("""COMPUTED_VALUE"""),329.68)</f>
        <v>329.68</v>
      </c>
      <c r="F123" s="1">
        <f>IFERROR(__xludf.DUMMYFUNCTION("""COMPUTED_VALUE"""),2.4217242E7)</f>
        <v>24217242</v>
      </c>
    </row>
    <row r="124">
      <c r="A124" s="2">
        <f>IFERROR(__xludf.DUMMYFUNCTION("""COMPUTED_VALUE"""),44529.66666666667)</f>
        <v>44529.66667</v>
      </c>
      <c r="B124" s="1">
        <f>IFERROR(__xludf.DUMMYFUNCTION("""COMPUTED_VALUE"""),334.94)</f>
        <v>334.94</v>
      </c>
      <c r="C124" s="1">
        <f>IFERROR(__xludf.DUMMYFUNCTION("""COMPUTED_VALUE"""),339.03)</f>
        <v>339.03</v>
      </c>
      <c r="D124" s="1">
        <f>IFERROR(__xludf.DUMMYFUNCTION("""COMPUTED_VALUE"""),334.74)</f>
        <v>334.74</v>
      </c>
      <c r="E124" s="1">
        <f>IFERROR(__xludf.DUMMYFUNCTION("""COMPUTED_VALUE"""),336.63)</f>
        <v>336.63</v>
      </c>
      <c r="F124" s="1">
        <f>IFERROR(__xludf.DUMMYFUNCTION("""COMPUTED_VALUE"""),2.8563481E7)</f>
        <v>28563481</v>
      </c>
    </row>
    <row r="125">
      <c r="A125" s="2">
        <f>IFERROR(__xludf.DUMMYFUNCTION("""COMPUTED_VALUE"""),44530.66666666667)</f>
        <v>44530.66667</v>
      </c>
      <c r="B125" s="1">
        <f>IFERROR(__xludf.DUMMYFUNCTION("""COMPUTED_VALUE"""),335.32)</f>
        <v>335.32</v>
      </c>
      <c r="C125" s="1">
        <f>IFERROR(__xludf.DUMMYFUNCTION("""COMPUTED_VALUE"""),337.78)</f>
        <v>337.78</v>
      </c>
      <c r="D125" s="1">
        <f>IFERROR(__xludf.DUMMYFUNCTION("""COMPUTED_VALUE"""),328.99)</f>
        <v>328.99</v>
      </c>
      <c r="E125" s="1">
        <f>IFERROR(__xludf.DUMMYFUNCTION("""COMPUTED_VALUE"""),330.59)</f>
        <v>330.59</v>
      </c>
      <c r="F125" s="1">
        <f>IFERROR(__xludf.DUMMYFUNCTION("""COMPUTED_VALUE"""),4.2885609E7)</f>
        <v>42885609</v>
      </c>
    </row>
    <row r="126">
      <c r="A126" s="2">
        <f>IFERROR(__xludf.DUMMYFUNCTION("""COMPUTED_VALUE"""),44531.66666666667)</f>
        <v>44531.66667</v>
      </c>
      <c r="B126" s="1">
        <f>IFERROR(__xludf.DUMMYFUNCTION("""COMPUTED_VALUE"""),335.13)</f>
        <v>335.13</v>
      </c>
      <c r="C126" s="1">
        <f>IFERROR(__xludf.DUMMYFUNCTION("""COMPUTED_VALUE"""),339.28)</f>
        <v>339.28</v>
      </c>
      <c r="D126" s="1">
        <f>IFERROR(__xludf.DUMMYFUNCTION("""COMPUTED_VALUE"""),329.39)</f>
        <v>329.39</v>
      </c>
      <c r="E126" s="1">
        <f>IFERROR(__xludf.DUMMYFUNCTION("""COMPUTED_VALUE"""),330.08)</f>
        <v>330.08</v>
      </c>
      <c r="F126" s="1">
        <f>IFERROR(__xludf.DUMMYFUNCTION("""COMPUTED_VALUE"""),3.3401146E7)</f>
        <v>33401146</v>
      </c>
    </row>
    <row r="127">
      <c r="A127" s="2">
        <f>IFERROR(__xludf.DUMMYFUNCTION("""COMPUTED_VALUE"""),44532.66666666667)</f>
        <v>44532.66667</v>
      </c>
      <c r="B127" s="1">
        <f>IFERROR(__xludf.DUMMYFUNCTION("""COMPUTED_VALUE"""),330.3)</f>
        <v>330.3</v>
      </c>
      <c r="C127" s="1">
        <f>IFERROR(__xludf.DUMMYFUNCTION("""COMPUTED_VALUE"""),333.49)</f>
        <v>333.49</v>
      </c>
      <c r="D127" s="1">
        <f>IFERROR(__xludf.DUMMYFUNCTION("""COMPUTED_VALUE"""),327.8)</f>
        <v>327.8</v>
      </c>
      <c r="E127" s="1">
        <f>IFERROR(__xludf.DUMMYFUNCTION("""COMPUTED_VALUE"""),329.49)</f>
        <v>329.49</v>
      </c>
      <c r="F127" s="1">
        <f>IFERROR(__xludf.DUMMYFUNCTION("""COMPUTED_VALUE"""),3.076598E7)</f>
        <v>30765980</v>
      </c>
    </row>
    <row r="128">
      <c r="A128" s="2">
        <f>IFERROR(__xludf.DUMMYFUNCTION("""COMPUTED_VALUE"""),44533.66666666667)</f>
        <v>44533.66667</v>
      </c>
      <c r="B128" s="1">
        <f>IFERROR(__xludf.DUMMYFUNCTION("""COMPUTED_VALUE"""),331.99)</f>
        <v>331.99</v>
      </c>
      <c r="C128" s="1">
        <f>IFERROR(__xludf.DUMMYFUNCTION("""COMPUTED_VALUE"""),332.7)</f>
        <v>332.7</v>
      </c>
      <c r="D128" s="1">
        <f>IFERROR(__xludf.DUMMYFUNCTION("""COMPUTED_VALUE"""),318.03)</f>
        <v>318.03</v>
      </c>
      <c r="E128" s="1">
        <f>IFERROR(__xludf.DUMMYFUNCTION("""COMPUTED_VALUE"""),323.01)</f>
        <v>323.01</v>
      </c>
      <c r="F128" s="1">
        <f>IFERROR(__xludf.DUMMYFUNCTION("""COMPUTED_VALUE"""),4.1779279E7)</f>
        <v>41779279</v>
      </c>
    </row>
    <row r="129">
      <c r="A129" s="2">
        <f>IFERROR(__xludf.DUMMYFUNCTION("""COMPUTED_VALUE"""),44536.66666666667)</f>
        <v>44536.66667</v>
      </c>
      <c r="B129" s="1">
        <f>IFERROR(__xludf.DUMMYFUNCTION("""COMPUTED_VALUE"""),323.95)</f>
        <v>323.95</v>
      </c>
      <c r="C129" s="1">
        <f>IFERROR(__xludf.DUMMYFUNCTION("""COMPUTED_VALUE"""),327.45)</f>
        <v>327.45</v>
      </c>
      <c r="D129" s="1">
        <f>IFERROR(__xludf.DUMMYFUNCTION("""COMPUTED_VALUE"""),319.23)</f>
        <v>319.23</v>
      </c>
      <c r="E129" s="1">
        <f>IFERROR(__xludf.DUMMYFUNCTION("""COMPUTED_VALUE"""),326.19)</f>
        <v>326.19</v>
      </c>
      <c r="F129" s="1">
        <f>IFERROR(__xludf.DUMMYFUNCTION("""COMPUTED_VALUE"""),3.0032556E7)</f>
        <v>30032556</v>
      </c>
    </row>
    <row r="130">
      <c r="A130" s="2">
        <f>IFERROR(__xludf.DUMMYFUNCTION("""COMPUTED_VALUE"""),44537.66666666667)</f>
        <v>44537.66667</v>
      </c>
      <c r="B130" s="1">
        <f>IFERROR(__xludf.DUMMYFUNCTION("""COMPUTED_VALUE"""),331.64)</f>
        <v>331.64</v>
      </c>
      <c r="C130" s="1">
        <f>IFERROR(__xludf.DUMMYFUNCTION("""COMPUTED_VALUE"""),335.8)</f>
        <v>335.8</v>
      </c>
      <c r="D130" s="1">
        <f>IFERROR(__xludf.DUMMYFUNCTION("""COMPUTED_VALUE"""),330.1)</f>
        <v>330.1</v>
      </c>
      <c r="E130" s="1">
        <f>IFERROR(__xludf.DUMMYFUNCTION("""COMPUTED_VALUE"""),334.92)</f>
        <v>334.92</v>
      </c>
      <c r="F130" s="1">
        <f>IFERROR(__xludf.DUMMYFUNCTION("""COMPUTED_VALUE"""),3.1021936E7)</f>
        <v>31021936</v>
      </c>
    </row>
    <row r="131">
      <c r="A131" s="2">
        <f>IFERROR(__xludf.DUMMYFUNCTION("""COMPUTED_VALUE"""),44538.66666666667)</f>
        <v>44538.66667</v>
      </c>
      <c r="B131" s="1">
        <f>IFERROR(__xludf.DUMMYFUNCTION("""COMPUTED_VALUE"""),335.31)</f>
        <v>335.31</v>
      </c>
      <c r="C131" s="1">
        <f>IFERROR(__xludf.DUMMYFUNCTION("""COMPUTED_VALUE"""),335.5)</f>
        <v>335.5</v>
      </c>
      <c r="D131" s="1">
        <f>IFERROR(__xludf.DUMMYFUNCTION("""COMPUTED_VALUE"""),330.8)</f>
        <v>330.8</v>
      </c>
      <c r="E131" s="1">
        <f>IFERROR(__xludf.DUMMYFUNCTION("""COMPUTED_VALUE"""),334.97)</f>
        <v>334.97</v>
      </c>
      <c r="F131" s="1">
        <f>IFERROR(__xludf.DUMMYFUNCTION("""COMPUTED_VALUE"""),2.4760988E7)</f>
        <v>24760988</v>
      </c>
    </row>
    <row r="132">
      <c r="A132" s="2">
        <f>IFERROR(__xludf.DUMMYFUNCTION("""COMPUTED_VALUE"""),44539.66666666667)</f>
        <v>44539.66667</v>
      </c>
      <c r="B132" s="1">
        <f>IFERROR(__xludf.DUMMYFUNCTION("""COMPUTED_VALUE"""),334.41)</f>
        <v>334.41</v>
      </c>
      <c r="C132" s="1">
        <f>IFERROR(__xludf.DUMMYFUNCTION("""COMPUTED_VALUE"""),336.49)</f>
        <v>336.49</v>
      </c>
      <c r="D132" s="1">
        <f>IFERROR(__xludf.DUMMYFUNCTION("""COMPUTED_VALUE"""),332.12)</f>
        <v>332.12</v>
      </c>
      <c r="E132" s="1">
        <f>IFERROR(__xludf.DUMMYFUNCTION("""COMPUTED_VALUE"""),333.1)</f>
        <v>333.1</v>
      </c>
      <c r="F132" s="1">
        <f>IFERROR(__xludf.DUMMYFUNCTION("""COMPUTED_VALUE"""),2.2214158E7)</f>
        <v>22214158</v>
      </c>
    </row>
    <row r="133">
      <c r="A133" s="2">
        <f>IFERROR(__xludf.DUMMYFUNCTION("""COMPUTED_VALUE"""),44540.66666666667)</f>
        <v>44540.66667</v>
      </c>
      <c r="B133" s="1">
        <f>IFERROR(__xludf.DUMMYFUNCTION("""COMPUTED_VALUE"""),334.98)</f>
        <v>334.98</v>
      </c>
      <c r="C133" s="1">
        <f>IFERROR(__xludf.DUMMYFUNCTION("""COMPUTED_VALUE"""),343.0)</f>
        <v>343</v>
      </c>
      <c r="D133" s="1">
        <f>IFERROR(__xludf.DUMMYFUNCTION("""COMPUTED_VALUE"""),334.79)</f>
        <v>334.79</v>
      </c>
      <c r="E133" s="1">
        <f>IFERROR(__xludf.DUMMYFUNCTION("""COMPUTED_VALUE"""),342.54)</f>
        <v>342.54</v>
      </c>
      <c r="F133" s="1">
        <f>IFERROR(__xludf.DUMMYFUNCTION("""COMPUTED_VALUE"""),3.8095694E7)</f>
        <v>38095694</v>
      </c>
    </row>
    <row r="134">
      <c r="A134" s="2">
        <f>IFERROR(__xludf.DUMMYFUNCTION("""COMPUTED_VALUE"""),44543.66666666667)</f>
        <v>44543.66667</v>
      </c>
      <c r="B134" s="1">
        <f>IFERROR(__xludf.DUMMYFUNCTION("""COMPUTED_VALUE"""),340.68)</f>
        <v>340.68</v>
      </c>
      <c r="C134" s="1">
        <f>IFERROR(__xludf.DUMMYFUNCTION("""COMPUTED_VALUE"""),343.79)</f>
        <v>343.79</v>
      </c>
      <c r="D134" s="1">
        <f>IFERROR(__xludf.DUMMYFUNCTION("""COMPUTED_VALUE"""),339.08)</f>
        <v>339.08</v>
      </c>
      <c r="E134" s="1">
        <f>IFERROR(__xludf.DUMMYFUNCTION("""COMPUTED_VALUE"""),339.4)</f>
        <v>339.4</v>
      </c>
      <c r="F134" s="1">
        <f>IFERROR(__xludf.DUMMYFUNCTION("""COMPUTED_VALUE"""),2.8899431E7)</f>
        <v>28899431</v>
      </c>
    </row>
    <row r="135">
      <c r="A135" s="2">
        <f>IFERROR(__xludf.DUMMYFUNCTION("""COMPUTED_VALUE"""),44544.66666666667)</f>
        <v>44544.66667</v>
      </c>
      <c r="B135" s="1">
        <f>IFERROR(__xludf.DUMMYFUNCTION("""COMPUTED_VALUE"""),333.22)</f>
        <v>333.22</v>
      </c>
      <c r="C135" s="1">
        <f>IFERROR(__xludf.DUMMYFUNCTION("""COMPUTED_VALUE"""),334.64)</f>
        <v>334.64</v>
      </c>
      <c r="D135" s="1">
        <f>IFERROR(__xludf.DUMMYFUNCTION("""COMPUTED_VALUE"""),324.11)</f>
        <v>324.11</v>
      </c>
      <c r="E135" s="1">
        <f>IFERROR(__xludf.DUMMYFUNCTION("""COMPUTED_VALUE"""),328.34)</f>
        <v>328.34</v>
      </c>
      <c r="F135" s="1">
        <f>IFERROR(__xludf.DUMMYFUNCTION("""COMPUTED_VALUE"""),4.4438699E7)</f>
        <v>44438699</v>
      </c>
    </row>
    <row r="136">
      <c r="A136" s="2">
        <f>IFERROR(__xludf.DUMMYFUNCTION("""COMPUTED_VALUE"""),44545.66666666667)</f>
        <v>44545.66667</v>
      </c>
      <c r="B136" s="1">
        <f>IFERROR(__xludf.DUMMYFUNCTION("""COMPUTED_VALUE"""),328.61)</f>
        <v>328.61</v>
      </c>
      <c r="C136" s="1">
        <f>IFERROR(__xludf.DUMMYFUNCTION("""COMPUTED_VALUE"""),335.19)</f>
        <v>335.19</v>
      </c>
      <c r="D136" s="1">
        <f>IFERROR(__xludf.DUMMYFUNCTION("""COMPUTED_VALUE"""),324.5)</f>
        <v>324.5</v>
      </c>
      <c r="E136" s="1">
        <f>IFERROR(__xludf.DUMMYFUNCTION("""COMPUTED_VALUE"""),334.65)</f>
        <v>334.65</v>
      </c>
      <c r="F136" s="1">
        <f>IFERROR(__xludf.DUMMYFUNCTION("""COMPUTED_VALUE"""),3.5381122E7)</f>
        <v>35381122</v>
      </c>
    </row>
    <row r="137">
      <c r="A137" s="2">
        <f>IFERROR(__xludf.DUMMYFUNCTION("""COMPUTED_VALUE"""),44546.66666666667)</f>
        <v>44546.66667</v>
      </c>
      <c r="B137" s="1">
        <f>IFERROR(__xludf.DUMMYFUNCTION("""COMPUTED_VALUE"""),335.71)</f>
        <v>335.71</v>
      </c>
      <c r="C137" s="1">
        <f>IFERROR(__xludf.DUMMYFUNCTION("""COMPUTED_VALUE"""),336.76)</f>
        <v>336.76</v>
      </c>
      <c r="D137" s="1">
        <f>IFERROR(__xludf.DUMMYFUNCTION("""COMPUTED_VALUE"""),323.02)</f>
        <v>323.02</v>
      </c>
      <c r="E137" s="1">
        <f>IFERROR(__xludf.DUMMYFUNCTION("""COMPUTED_VALUE"""),324.9)</f>
        <v>324.9</v>
      </c>
      <c r="F137" s="1">
        <f>IFERROR(__xludf.DUMMYFUNCTION("""COMPUTED_VALUE"""),3.5034831E7)</f>
        <v>35034831</v>
      </c>
    </row>
    <row r="138">
      <c r="A138" s="2">
        <f>IFERROR(__xludf.DUMMYFUNCTION("""COMPUTED_VALUE"""),44547.66666666667)</f>
        <v>44547.66667</v>
      </c>
      <c r="B138" s="1">
        <f>IFERROR(__xludf.DUMMYFUNCTION("""COMPUTED_VALUE"""),320.88)</f>
        <v>320.88</v>
      </c>
      <c r="C138" s="1">
        <f>IFERROR(__xludf.DUMMYFUNCTION("""COMPUTED_VALUE"""),324.92)</f>
        <v>324.92</v>
      </c>
      <c r="D138" s="1">
        <f>IFERROR(__xludf.DUMMYFUNCTION("""COMPUTED_VALUE"""),317.25)</f>
        <v>317.25</v>
      </c>
      <c r="E138" s="1">
        <f>IFERROR(__xludf.DUMMYFUNCTION("""COMPUTED_VALUE"""),323.8)</f>
        <v>323.8</v>
      </c>
      <c r="F138" s="1">
        <f>IFERROR(__xludf.DUMMYFUNCTION("""COMPUTED_VALUE"""),4.7983713E7)</f>
        <v>47983713</v>
      </c>
    </row>
    <row r="139">
      <c r="A139" s="2">
        <f>IFERROR(__xludf.DUMMYFUNCTION("""COMPUTED_VALUE"""),44550.66666666667)</f>
        <v>44550.66667</v>
      </c>
      <c r="B139" s="1">
        <f>IFERROR(__xludf.DUMMYFUNCTION("""COMPUTED_VALUE"""),320.05)</f>
        <v>320.05</v>
      </c>
      <c r="C139" s="1">
        <f>IFERROR(__xludf.DUMMYFUNCTION("""COMPUTED_VALUE"""),322.8)</f>
        <v>322.8</v>
      </c>
      <c r="D139" s="1">
        <f>IFERROR(__xludf.DUMMYFUNCTION("""COMPUTED_VALUE"""),317.57)</f>
        <v>317.57</v>
      </c>
      <c r="E139" s="1">
        <f>IFERROR(__xludf.DUMMYFUNCTION("""COMPUTED_VALUE"""),319.91)</f>
        <v>319.91</v>
      </c>
      <c r="F139" s="1">
        <f>IFERROR(__xludf.DUMMYFUNCTION("""COMPUTED_VALUE"""),2.8326532E7)</f>
        <v>28326532</v>
      </c>
    </row>
    <row r="140">
      <c r="A140" s="2">
        <f>IFERROR(__xludf.DUMMYFUNCTION("""COMPUTED_VALUE"""),44551.66666666667)</f>
        <v>44551.66667</v>
      </c>
      <c r="B140" s="1">
        <f>IFERROR(__xludf.DUMMYFUNCTION("""COMPUTED_VALUE"""),323.29)</f>
        <v>323.29</v>
      </c>
      <c r="C140" s="1">
        <f>IFERROR(__xludf.DUMMYFUNCTION("""COMPUTED_VALUE"""),327.73)</f>
        <v>327.73</v>
      </c>
      <c r="D140" s="1">
        <f>IFERROR(__xludf.DUMMYFUNCTION("""COMPUTED_VALUE"""),319.8)</f>
        <v>319.8</v>
      </c>
      <c r="E140" s="1">
        <f>IFERROR(__xludf.DUMMYFUNCTION("""COMPUTED_VALUE"""),327.29)</f>
        <v>327.29</v>
      </c>
      <c r="F140" s="1">
        <f>IFERROR(__xludf.DUMMYFUNCTION("""COMPUTED_VALUE"""),2.4740597E7)</f>
        <v>24740597</v>
      </c>
    </row>
    <row r="141">
      <c r="A141" s="2">
        <f>IFERROR(__xludf.DUMMYFUNCTION("""COMPUTED_VALUE"""),44552.66666666667)</f>
        <v>44552.66667</v>
      </c>
      <c r="B141" s="1">
        <f>IFERROR(__xludf.DUMMYFUNCTION("""COMPUTED_VALUE"""),328.3)</f>
        <v>328.3</v>
      </c>
      <c r="C141" s="1">
        <f>IFERROR(__xludf.DUMMYFUNCTION("""COMPUTED_VALUE"""),333.61)</f>
        <v>333.61</v>
      </c>
      <c r="D141" s="1">
        <f>IFERROR(__xludf.DUMMYFUNCTION("""COMPUTED_VALUE"""),325.75)</f>
        <v>325.75</v>
      </c>
      <c r="E141" s="1">
        <f>IFERROR(__xludf.DUMMYFUNCTION("""COMPUTED_VALUE"""),333.2)</f>
        <v>333.2</v>
      </c>
      <c r="F141" s="1">
        <f>IFERROR(__xludf.DUMMYFUNCTION("""COMPUTED_VALUE"""),2.4831493E7)</f>
        <v>24831493</v>
      </c>
    </row>
    <row r="142">
      <c r="A142" s="2">
        <f>IFERROR(__xludf.DUMMYFUNCTION("""COMPUTED_VALUE"""),44553.66666666667)</f>
        <v>44553.66667</v>
      </c>
      <c r="B142" s="1">
        <f>IFERROR(__xludf.DUMMYFUNCTION("""COMPUTED_VALUE"""),332.75)</f>
        <v>332.75</v>
      </c>
      <c r="C142" s="1">
        <f>IFERROR(__xludf.DUMMYFUNCTION("""COMPUTED_VALUE"""),336.39)</f>
        <v>336.39</v>
      </c>
      <c r="D142" s="1">
        <f>IFERROR(__xludf.DUMMYFUNCTION("""COMPUTED_VALUE"""),332.73)</f>
        <v>332.73</v>
      </c>
      <c r="E142" s="1">
        <f>IFERROR(__xludf.DUMMYFUNCTION("""COMPUTED_VALUE"""),334.69)</f>
        <v>334.69</v>
      </c>
      <c r="F142" s="1">
        <f>IFERROR(__xludf.DUMMYFUNCTION("""COMPUTED_VALUE"""),1.9617848E7)</f>
        <v>19617848</v>
      </c>
    </row>
    <row r="143">
      <c r="A143" s="2">
        <f>IFERROR(__xludf.DUMMYFUNCTION("""COMPUTED_VALUE"""),44557.66666666667)</f>
        <v>44557.66667</v>
      </c>
      <c r="B143" s="1">
        <f>IFERROR(__xludf.DUMMYFUNCTION("""COMPUTED_VALUE"""),335.46)</f>
        <v>335.46</v>
      </c>
      <c r="C143" s="1">
        <f>IFERROR(__xludf.DUMMYFUNCTION("""COMPUTED_VALUE"""),342.48)</f>
        <v>342.48</v>
      </c>
      <c r="D143" s="1">
        <f>IFERROR(__xludf.DUMMYFUNCTION("""COMPUTED_VALUE"""),335.43)</f>
        <v>335.43</v>
      </c>
      <c r="E143" s="1">
        <f>IFERROR(__xludf.DUMMYFUNCTION("""COMPUTED_VALUE"""),342.45)</f>
        <v>342.45</v>
      </c>
      <c r="F143" s="1">
        <f>IFERROR(__xludf.DUMMYFUNCTION("""COMPUTED_VALUE"""),1.9947029E7)</f>
        <v>19947029</v>
      </c>
    </row>
    <row r="144">
      <c r="A144" s="2">
        <f>IFERROR(__xludf.DUMMYFUNCTION("""COMPUTED_VALUE"""),44558.66666666667)</f>
        <v>44558.66667</v>
      </c>
      <c r="B144" s="1">
        <f>IFERROR(__xludf.DUMMYFUNCTION("""COMPUTED_VALUE"""),343.15)</f>
        <v>343.15</v>
      </c>
      <c r="C144" s="1">
        <f>IFERROR(__xludf.DUMMYFUNCTION("""COMPUTED_VALUE"""),343.81)</f>
        <v>343.81</v>
      </c>
      <c r="D144" s="1">
        <f>IFERROR(__xludf.DUMMYFUNCTION("""COMPUTED_VALUE"""),340.32)</f>
        <v>340.32</v>
      </c>
      <c r="E144" s="1">
        <f>IFERROR(__xludf.DUMMYFUNCTION("""COMPUTED_VALUE"""),341.25)</f>
        <v>341.25</v>
      </c>
      <c r="F144" s="1">
        <f>IFERROR(__xludf.DUMMYFUNCTION("""COMPUTED_VALUE"""),1.5661467E7)</f>
        <v>15661467</v>
      </c>
    </row>
    <row r="145">
      <c r="A145" s="2">
        <f>IFERROR(__xludf.DUMMYFUNCTION("""COMPUTED_VALUE"""),44559.66666666667)</f>
        <v>44559.66667</v>
      </c>
      <c r="B145" s="1">
        <f>IFERROR(__xludf.DUMMYFUNCTION("""COMPUTED_VALUE"""),341.3)</f>
        <v>341.3</v>
      </c>
      <c r="C145" s="1">
        <f>IFERROR(__xludf.DUMMYFUNCTION("""COMPUTED_VALUE"""),344.3)</f>
        <v>344.3</v>
      </c>
      <c r="D145" s="1">
        <f>IFERROR(__xludf.DUMMYFUNCTION("""COMPUTED_VALUE"""),339.68)</f>
        <v>339.68</v>
      </c>
      <c r="E145" s="1">
        <f>IFERROR(__xludf.DUMMYFUNCTION("""COMPUTED_VALUE"""),341.95)</f>
        <v>341.95</v>
      </c>
      <c r="F145" s="1">
        <f>IFERROR(__xludf.DUMMYFUNCTION("""COMPUTED_VALUE"""),1.5041956E7)</f>
        <v>15041956</v>
      </c>
    </row>
    <row r="146">
      <c r="A146" s="2">
        <f>IFERROR(__xludf.DUMMYFUNCTION("""COMPUTED_VALUE"""),44560.66666666667)</f>
        <v>44560.66667</v>
      </c>
      <c r="B146" s="1">
        <f>IFERROR(__xludf.DUMMYFUNCTION("""COMPUTED_VALUE"""),341.91)</f>
        <v>341.91</v>
      </c>
      <c r="C146" s="1">
        <f>IFERROR(__xludf.DUMMYFUNCTION("""COMPUTED_VALUE"""),343.13)</f>
        <v>343.13</v>
      </c>
      <c r="D146" s="1">
        <f>IFERROR(__xludf.DUMMYFUNCTION("""COMPUTED_VALUE"""),338.82)</f>
        <v>338.82</v>
      </c>
      <c r="E146" s="1">
        <f>IFERROR(__xludf.DUMMYFUNCTION("""COMPUTED_VALUE"""),339.32)</f>
        <v>339.32</v>
      </c>
      <c r="F146" s="1">
        <f>IFERROR(__xludf.DUMMYFUNCTION("""COMPUTED_VALUE"""),1.5994471E7)</f>
        <v>15994471</v>
      </c>
    </row>
    <row r="147">
      <c r="A147" s="2">
        <f>IFERROR(__xludf.DUMMYFUNCTION("""COMPUTED_VALUE"""),44561.66666666667)</f>
        <v>44561.66667</v>
      </c>
      <c r="B147" s="1">
        <f>IFERROR(__xludf.DUMMYFUNCTION("""COMPUTED_VALUE"""),338.51)</f>
        <v>338.51</v>
      </c>
      <c r="C147" s="1">
        <f>IFERROR(__xludf.DUMMYFUNCTION("""COMPUTED_VALUE"""),339.36)</f>
        <v>339.36</v>
      </c>
      <c r="D147" s="1">
        <f>IFERROR(__xludf.DUMMYFUNCTION("""COMPUTED_VALUE"""),335.85)</f>
        <v>335.85</v>
      </c>
      <c r="E147" s="1">
        <f>IFERROR(__xludf.DUMMYFUNCTION("""COMPUTED_VALUE"""),336.32)</f>
        <v>336.32</v>
      </c>
      <c r="F147" s="1">
        <f>IFERROR(__xludf.DUMMYFUNCTION("""COMPUTED_VALUE"""),1.8000797E7)</f>
        <v>18000797</v>
      </c>
    </row>
    <row r="148">
      <c r="A148" s="2">
        <f>IFERROR(__xludf.DUMMYFUNCTION("""COMPUTED_VALUE"""),44564.66666666667)</f>
        <v>44564.66667</v>
      </c>
      <c r="B148" s="1">
        <f>IFERROR(__xludf.DUMMYFUNCTION("""COMPUTED_VALUE"""),335.35)</f>
        <v>335.35</v>
      </c>
      <c r="C148" s="1">
        <f>IFERROR(__xludf.DUMMYFUNCTION("""COMPUTED_VALUE"""),338.0)</f>
        <v>338</v>
      </c>
      <c r="D148" s="1">
        <f>IFERROR(__xludf.DUMMYFUNCTION("""COMPUTED_VALUE"""),329.78)</f>
        <v>329.78</v>
      </c>
      <c r="E148" s="1">
        <f>IFERROR(__xludf.DUMMYFUNCTION("""COMPUTED_VALUE"""),334.75)</f>
        <v>334.75</v>
      </c>
      <c r="F148" s="1">
        <f>IFERROR(__xludf.DUMMYFUNCTION("""COMPUTED_VALUE"""),2.8918013E7)</f>
        <v>28918013</v>
      </c>
    </row>
    <row r="149">
      <c r="A149" s="2">
        <f>IFERROR(__xludf.DUMMYFUNCTION("""COMPUTED_VALUE"""),44565.66666666667)</f>
        <v>44565.66667</v>
      </c>
      <c r="B149" s="1">
        <f>IFERROR(__xludf.DUMMYFUNCTION("""COMPUTED_VALUE"""),334.83)</f>
        <v>334.83</v>
      </c>
      <c r="C149" s="1">
        <f>IFERROR(__xludf.DUMMYFUNCTION("""COMPUTED_VALUE"""),335.2)</f>
        <v>335.2</v>
      </c>
      <c r="D149" s="1">
        <f>IFERROR(__xludf.DUMMYFUNCTION("""COMPUTED_VALUE"""),326.12)</f>
        <v>326.12</v>
      </c>
      <c r="E149" s="1">
        <f>IFERROR(__xludf.DUMMYFUNCTION("""COMPUTED_VALUE"""),329.01)</f>
        <v>329.01</v>
      </c>
      <c r="F149" s="1">
        <f>IFERROR(__xludf.DUMMYFUNCTION("""COMPUTED_VALUE"""),3.2674306E7)</f>
        <v>32674306</v>
      </c>
    </row>
    <row r="150">
      <c r="A150" s="2">
        <f>IFERROR(__xludf.DUMMYFUNCTION("""COMPUTED_VALUE"""),44566.66666666667)</f>
        <v>44566.66667</v>
      </c>
      <c r="B150" s="1">
        <f>IFERROR(__xludf.DUMMYFUNCTION("""COMPUTED_VALUE"""),325.86)</f>
        <v>325.86</v>
      </c>
      <c r="C150" s="1">
        <f>IFERROR(__xludf.DUMMYFUNCTION("""COMPUTED_VALUE"""),326.07)</f>
        <v>326.07</v>
      </c>
      <c r="D150" s="1">
        <f>IFERROR(__xludf.DUMMYFUNCTION("""COMPUTED_VALUE"""),315.98)</f>
        <v>315.98</v>
      </c>
      <c r="E150" s="1">
        <f>IFERROR(__xludf.DUMMYFUNCTION("""COMPUTED_VALUE"""),316.38)</f>
        <v>316.38</v>
      </c>
      <c r="F150" s="1">
        <f>IFERROR(__xludf.DUMMYFUNCTION("""COMPUTED_VALUE"""),4.0054327E7)</f>
        <v>40054327</v>
      </c>
    </row>
    <row r="151">
      <c r="A151" s="2">
        <f>IFERROR(__xludf.DUMMYFUNCTION("""COMPUTED_VALUE"""),44567.66666666667)</f>
        <v>44567.66667</v>
      </c>
      <c r="B151" s="1">
        <f>IFERROR(__xludf.DUMMYFUNCTION("""COMPUTED_VALUE"""),313.15)</f>
        <v>313.15</v>
      </c>
      <c r="C151" s="1">
        <f>IFERROR(__xludf.DUMMYFUNCTION("""COMPUTED_VALUE"""),318.7)</f>
        <v>318.7</v>
      </c>
      <c r="D151" s="1">
        <f>IFERROR(__xludf.DUMMYFUNCTION("""COMPUTED_VALUE"""),311.49)</f>
        <v>311.49</v>
      </c>
      <c r="E151" s="1">
        <f>IFERROR(__xludf.DUMMYFUNCTION("""COMPUTED_VALUE"""),313.88)</f>
        <v>313.88</v>
      </c>
      <c r="F151" s="1">
        <f>IFERROR(__xludf.DUMMYFUNCTION("""COMPUTED_VALUE"""),3.9646148E7)</f>
        <v>39646148</v>
      </c>
    </row>
    <row r="152">
      <c r="A152" s="2">
        <f>IFERROR(__xludf.DUMMYFUNCTION("""COMPUTED_VALUE"""),44568.66666666667)</f>
        <v>44568.66667</v>
      </c>
      <c r="B152" s="1">
        <f>IFERROR(__xludf.DUMMYFUNCTION("""COMPUTED_VALUE"""),314.15)</f>
        <v>314.15</v>
      </c>
      <c r="C152" s="1">
        <f>IFERROR(__xludf.DUMMYFUNCTION("""COMPUTED_VALUE"""),316.5)</f>
        <v>316.5</v>
      </c>
      <c r="D152" s="1">
        <f>IFERROR(__xludf.DUMMYFUNCTION("""COMPUTED_VALUE"""),310.09)</f>
        <v>310.09</v>
      </c>
      <c r="E152" s="1">
        <f>IFERROR(__xludf.DUMMYFUNCTION("""COMPUTED_VALUE"""),314.04)</f>
        <v>314.04</v>
      </c>
      <c r="F152" s="1">
        <f>IFERROR(__xludf.DUMMYFUNCTION("""COMPUTED_VALUE"""),3.2720018E7)</f>
        <v>32720018</v>
      </c>
    </row>
    <row r="153">
      <c r="A153" s="2">
        <f>IFERROR(__xludf.DUMMYFUNCTION("""COMPUTED_VALUE"""),44571.66666666667)</f>
        <v>44571.66667</v>
      </c>
      <c r="B153" s="1">
        <f>IFERROR(__xludf.DUMMYFUNCTION("""COMPUTED_VALUE"""),309.49)</f>
        <v>309.49</v>
      </c>
      <c r="C153" s="1">
        <f>IFERROR(__xludf.DUMMYFUNCTION("""COMPUTED_VALUE"""),314.72)</f>
        <v>314.72</v>
      </c>
      <c r="D153" s="1">
        <f>IFERROR(__xludf.DUMMYFUNCTION("""COMPUTED_VALUE"""),304.69)</f>
        <v>304.69</v>
      </c>
      <c r="E153" s="1">
        <f>IFERROR(__xludf.DUMMYFUNCTION("""COMPUTED_VALUE"""),314.27)</f>
        <v>314.27</v>
      </c>
      <c r="F153" s="1">
        <f>IFERROR(__xludf.DUMMYFUNCTION("""COMPUTED_VALUE"""),4.4289467E7)</f>
        <v>44289467</v>
      </c>
    </row>
    <row r="154">
      <c r="A154" s="2">
        <f>IFERROR(__xludf.DUMMYFUNCTION("""COMPUTED_VALUE"""),44572.66666666667)</f>
        <v>44572.66667</v>
      </c>
      <c r="B154" s="1">
        <f>IFERROR(__xludf.DUMMYFUNCTION("""COMPUTED_VALUE"""),313.38)</f>
        <v>313.38</v>
      </c>
      <c r="C154" s="1">
        <f>IFERROR(__xludf.DUMMYFUNCTION("""COMPUTED_VALUE"""),316.61)</f>
        <v>316.61</v>
      </c>
      <c r="D154" s="1">
        <f>IFERROR(__xludf.DUMMYFUNCTION("""COMPUTED_VALUE"""),309.89)</f>
        <v>309.89</v>
      </c>
      <c r="E154" s="1">
        <f>IFERROR(__xludf.DUMMYFUNCTION("""COMPUTED_VALUE"""),314.98)</f>
        <v>314.98</v>
      </c>
      <c r="F154" s="1">
        <f>IFERROR(__xludf.DUMMYFUNCTION("""COMPUTED_VALUE"""),2.9386774E7)</f>
        <v>29386774</v>
      </c>
    </row>
    <row r="155">
      <c r="A155" s="2">
        <f>IFERROR(__xludf.DUMMYFUNCTION("""COMPUTED_VALUE"""),44573.66666666667)</f>
        <v>44573.66667</v>
      </c>
      <c r="B155" s="1">
        <f>IFERROR(__xludf.DUMMYFUNCTION("""COMPUTED_VALUE"""),319.67)</f>
        <v>319.67</v>
      </c>
      <c r="C155" s="1">
        <f>IFERROR(__xludf.DUMMYFUNCTION("""COMPUTED_VALUE"""),323.41)</f>
        <v>323.41</v>
      </c>
      <c r="D155" s="1">
        <f>IFERROR(__xludf.DUMMYFUNCTION("""COMPUTED_VALUE"""),317.08)</f>
        <v>317.08</v>
      </c>
      <c r="E155" s="1">
        <f>IFERROR(__xludf.DUMMYFUNCTION("""COMPUTED_VALUE"""),318.27)</f>
        <v>318.27</v>
      </c>
      <c r="F155" s="1">
        <f>IFERROR(__xludf.DUMMYFUNCTION("""COMPUTED_VALUE"""),3.4372217E7)</f>
        <v>34372217</v>
      </c>
    </row>
    <row r="156">
      <c r="A156" s="2">
        <f>IFERROR(__xludf.DUMMYFUNCTION("""COMPUTED_VALUE"""),44574.66666666667)</f>
        <v>44574.66667</v>
      </c>
      <c r="B156" s="1">
        <f>IFERROR(__xludf.DUMMYFUNCTION("""COMPUTED_VALUE"""),320.47)</f>
        <v>320.47</v>
      </c>
      <c r="C156" s="1">
        <f>IFERROR(__xludf.DUMMYFUNCTION("""COMPUTED_VALUE"""),320.88)</f>
        <v>320.88</v>
      </c>
      <c r="D156" s="1">
        <f>IFERROR(__xludf.DUMMYFUNCTION("""COMPUTED_VALUE"""),304.0)</f>
        <v>304</v>
      </c>
      <c r="E156" s="1">
        <f>IFERROR(__xludf.DUMMYFUNCTION("""COMPUTED_VALUE"""),304.8)</f>
        <v>304.8</v>
      </c>
      <c r="F156" s="1">
        <f>IFERROR(__xludf.DUMMYFUNCTION("""COMPUTED_VALUE"""),4.5365979E7)</f>
        <v>45365979</v>
      </c>
    </row>
    <row r="157">
      <c r="A157" s="2">
        <f>IFERROR(__xludf.DUMMYFUNCTION("""COMPUTED_VALUE"""),44575.66666666667)</f>
        <v>44575.66667</v>
      </c>
      <c r="B157" s="1">
        <f>IFERROR(__xludf.DUMMYFUNCTION("""COMPUTED_VALUE"""),304.25)</f>
        <v>304.25</v>
      </c>
      <c r="C157" s="1">
        <f>IFERROR(__xludf.DUMMYFUNCTION("""COMPUTED_VALUE"""),310.82)</f>
        <v>310.82</v>
      </c>
      <c r="D157" s="1">
        <f>IFERROR(__xludf.DUMMYFUNCTION("""COMPUTED_VALUE"""),303.75)</f>
        <v>303.75</v>
      </c>
      <c r="E157" s="1">
        <f>IFERROR(__xludf.DUMMYFUNCTION("""COMPUTED_VALUE"""),310.2)</f>
        <v>310.2</v>
      </c>
      <c r="F157" s="1">
        <f>IFERROR(__xludf.DUMMYFUNCTION("""COMPUTED_VALUE"""),3.9846414E7)</f>
        <v>39846414</v>
      </c>
    </row>
    <row r="158">
      <c r="A158" s="2">
        <f>IFERROR(__xludf.DUMMYFUNCTION("""COMPUTED_VALUE"""),44579.66666666667)</f>
        <v>44579.66667</v>
      </c>
      <c r="B158" s="1">
        <f>IFERROR(__xludf.DUMMYFUNCTION("""COMPUTED_VALUE"""),304.07)</f>
        <v>304.07</v>
      </c>
      <c r="C158" s="1">
        <f>IFERROR(__xludf.DUMMYFUNCTION("""COMPUTED_VALUE"""),309.8)</f>
        <v>309.8</v>
      </c>
      <c r="D158" s="1">
        <f>IFERROR(__xludf.DUMMYFUNCTION("""COMPUTED_VALUE"""),301.74)</f>
        <v>301.74</v>
      </c>
      <c r="E158" s="1">
        <f>IFERROR(__xludf.DUMMYFUNCTION("""COMPUTED_VALUE"""),302.65)</f>
        <v>302.65</v>
      </c>
      <c r="F158" s="1">
        <f>IFERROR(__xludf.DUMMYFUNCTION("""COMPUTED_VALUE"""),4.2434112E7)</f>
        <v>42434112</v>
      </c>
    </row>
    <row r="159">
      <c r="A159" s="2">
        <f>IFERROR(__xludf.DUMMYFUNCTION("""COMPUTED_VALUE"""),44580.66666666667)</f>
        <v>44580.66667</v>
      </c>
      <c r="B159" s="1">
        <f>IFERROR(__xludf.DUMMYFUNCTION("""COMPUTED_VALUE"""),306.29)</f>
        <v>306.29</v>
      </c>
      <c r="C159" s="1">
        <f>IFERROR(__xludf.DUMMYFUNCTION("""COMPUTED_VALUE"""),313.91)</f>
        <v>313.91</v>
      </c>
      <c r="D159" s="1">
        <f>IFERROR(__xludf.DUMMYFUNCTION("""COMPUTED_VALUE"""),302.7)</f>
        <v>302.7</v>
      </c>
      <c r="E159" s="1">
        <f>IFERROR(__xludf.DUMMYFUNCTION("""COMPUTED_VALUE"""),303.33)</f>
        <v>303.33</v>
      </c>
      <c r="F159" s="1">
        <f>IFERROR(__xludf.DUMMYFUNCTION("""COMPUTED_VALUE"""),4.5933855E7)</f>
        <v>45933855</v>
      </c>
    </row>
    <row r="160">
      <c r="A160" s="2">
        <f>IFERROR(__xludf.DUMMYFUNCTION("""COMPUTED_VALUE"""),44581.66666666667)</f>
        <v>44581.66667</v>
      </c>
      <c r="B160" s="1">
        <f>IFERROR(__xludf.DUMMYFUNCTION("""COMPUTED_VALUE"""),309.07)</f>
        <v>309.07</v>
      </c>
      <c r="C160" s="1">
        <f>IFERROR(__xludf.DUMMYFUNCTION("""COMPUTED_VALUE"""),311.65)</f>
        <v>311.65</v>
      </c>
      <c r="D160" s="1">
        <f>IFERROR(__xludf.DUMMYFUNCTION("""COMPUTED_VALUE"""),301.14)</f>
        <v>301.14</v>
      </c>
      <c r="E160" s="1">
        <f>IFERROR(__xludf.DUMMYFUNCTION("""COMPUTED_VALUE"""),301.6)</f>
        <v>301.6</v>
      </c>
      <c r="F160" s="1">
        <f>IFERROR(__xludf.DUMMYFUNCTION("""COMPUTED_VALUE"""),3.5380675E7)</f>
        <v>35380675</v>
      </c>
    </row>
    <row r="161">
      <c r="A161" s="2">
        <f>IFERROR(__xludf.DUMMYFUNCTION("""COMPUTED_VALUE"""),44582.66666666667)</f>
        <v>44582.66667</v>
      </c>
      <c r="B161" s="1">
        <f>IFERROR(__xludf.DUMMYFUNCTION("""COMPUTED_VALUE"""),302.69)</f>
        <v>302.69</v>
      </c>
      <c r="C161" s="1">
        <f>IFERROR(__xludf.DUMMYFUNCTION("""COMPUTED_VALUE"""),304.11)</f>
        <v>304.11</v>
      </c>
      <c r="D161" s="1">
        <f>IFERROR(__xludf.DUMMYFUNCTION("""COMPUTED_VALUE"""),295.61)</f>
        <v>295.61</v>
      </c>
      <c r="E161" s="1">
        <f>IFERROR(__xludf.DUMMYFUNCTION("""COMPUTED_VALUE"""),296.03)</f>
        <v>296.03</v>
      </c>
      <c r="F161" s="1">
        <f>IFERROR(__xludf.DUMMYFUNCTION("""COMPUTED_VALUE"""),5.7984403E7)</f>
        <v>57984403</v>
      </c>
    </row>
    <row r="162">
      <c r="A162" s="2">
        <f>IFERROR(__xludf.DUMMYFUNCTION("""COMPUTED_VALUE"""),44585.66666666667)</f>
        <v>44585.66667</v>
      </c>
      <c r="B162" s="1">
        <f>IFERROR(__xludf.DUMMYFUNCTION("""COMPUTED_VALUE"""),292.2)</f>
        <v>292.2</v>
      </c>
      <c r="C162" s="1">
        <f>IFERROR(__xludf.DUMMYFUNCTION("""COMPUTED_VALUE"""),297.11)</f>
        <v>297.11</v>
      </c>
      <c r="D162" s="1">
        <f>IFERROR(__xludf.DUMMYFUNCTION("""COMPUTED_VALUE"""),276.05)</f>
        <v>276.05</v>
      </c>
      <c r="E162" s="1">
        <f>IFERROR(__xludf.DUMMYFUNCTION("""COMPUTED_VALUE"""),296.37)</f>
        <v>296.37</v>
      </c>
      <c r="F162" s="1">
        <f>IFERROR(__xludf.DUMMYFUNCTION("""COMPUTED_VALUE"""),8.6035393E7)</f>
        <v>86035393</v>
      </c>
    </row>
    <row r="163">
      <c r="A163" s="2">
        <f>IFERROR(__xludf.DUMMYFUNCTION("""COMPUTED_VALUE"""),44586.66666666667)</f>
        <v>44586.66667</v>
      </c>
      <c r="B163" s="1">
        <f>IFERROR(__xludf.DUMMYFUNCTION("""COMPUTED_VALUE"""),291.52)</f>
        <v>291.52</v>
      </c>
      <c r="C163" s="1">
        <f>IFERROR(__xludf.DUMMYFUNCTION("""COMPUTED_VALUE"""),294.99)</f>
        <v>294.99</v>
      </c>
      <c r="D163" s="1">
        <f>IFERROR(__xludf.DUMMYFUNCTION("""COMPUTED_VALUE"""),285.17)</f>
        <v>285.17</v>
      </c>
      <c r="E163" s="1">
        <f>IFERROR(__xludf.DUMMYFUNCTION("""COMPUTED_VALUE"""),288.49)</f>
        <v>288.49</v>
      </c>
      <c r="F163" s="1">
        <f>IFERROR(__xludf.DUMMYFUNCTION("""COMPUTED_VALUE"""),7.2848638E7)</f>
        <v>72848638</v>
      </c>
    </row>
    <row r="164">
      <c r="A164" s="2">
        <f>IFERROR(__xludf.DUMMYFUNCTION("""COMPUTED_VALUE"""),44587.66666666667)</f>
        <v>44587.66667</v>
      </c>
      <c r="B164" s="1">
        <f>IFERROR(__xludf.DUMMYFUNCTION("""COMPUTED_VALUE"""),307.99)</f>
        <v>307.99</v>
      </c>
      <c r="C164" s="1">
        <f>IFERROR(__xludf.DUMMYFUNCTION("""COMPUTED_VALUE"""),308.5)</f>
        <v>308.5</v>
      </c>
      <c r="D164" s="1">
        <f>IFERROR(__xludf.DUMMYFUNCTION("""COMPUTED_VALUE"""),293.03)</f>
        <v>293.03</v>
      </c>
      <c r="E164" s="1">
        <f>IFERROR(__xludf.DUMMYFUNCTION("""COMPUTED_VALUE"""),296.71)</f>
        <v>296.71</v>
      </c>
      <c r="F164" s="1">
        <f>IFERROR(__xludf.DUMMYFUNCTION("""COMPUTED_VALUE"""),9.0428853E7)</f>
        <v>90428853</v>
      </c>
    </row>
    <row r="165">
      <c r="A165" s="2">
        <f>IFERROR(__xludf.DUMMYFUNCTION("""COMPUTED_VALUE"""),44588.66666666667)</f>
        <v>44588.66667</v>
      </c>
      <c r="B165" s="1">
        <f>IFERROR(__xludf.DUMMYFUNCTION("""COMPUTED_VALUE"""),302.66)</f>
        <v>302.66</v>
      </c>
      <c r="C165" s="1">
        <f>IFERROR(__xludf.DUMMYFUNCTION("""COMPUTED_VALUE"""),307.3)</f>
        <v>307.3</v>
      </c>
      <c r="D165" s="1">
        <f>IFERROR(__xludf.DUMMYFUNCTION("""COMPUTED_VALUE"""),297.93)</f>
        <v>297.93</v>
      </c>
      <c r="E165" s="1">
        <f>IFERROR(__xludf.DUMMYFUNCTION("""COMPUTED_VALUE"""),299.84)</f>
        <v>299.84</v>
      </c>
      <c r="F165" s="1">
        <f>IFERROR(__xludf.DUMMYFUNCTION("""COMPUTED_VALUE"""),5.3481317E7)</f>
        <v>53481317</v>
      </c>
    </row>
    <row r="166">
      <c r="A166" s="2">
        <f>IFERROR(__xludf.DUMMYFUNCTION("""COMPUTED_VALUE"""),44589.66666666667)</f>
        <v>44589.66667</v>
      </c>
      <c r="B166" s="1">
        <f>IFERROR(__xludf.DUMMYFUNCTION("""COMPUTED_VALUE"""),300.23)</f>
        <v>300.23</v>
      </c>
      <c r="C166" s="1">
        <f>IFERROR(__xludf.DUMMYFUNCTION("""COMPUTED_VALUE"""),308.48)</f>
        <v>308.48</v>
      </c>
      <c r="D166" s="1">
        <f>IFERROR(__xludf.DUMMYFUNCTION("""COMPUTED_VALUE"""),294.45)</f>
        <v>294.45</v>
      </c>
      <c r="E166" s="1">
        <f>IFERROR(__xludf.DUMMYFUNCTION("""COMPUTED_VALUE"""),308.26)</f>
        <v>308.26</v>
      </c>
      <c r="F166" s="1">
        <f>IFERROR(__xludf.DUMMYFUNCTION("""COMPUTED_VALUE"""),4.9743698E7)</f>
        <v>49743698</v>
      </c>
    </row>
    <row r="167">
      <c r="A167" s="2">
        <f>IFERROR(__xludf.DUMMYFUNCTION("""COMPUTED_VALUE"""),44592.66666666667)</f>
        <v>44592.66667</v>
      </c>
      <c r="B167" s="1">
        <f>IFERROR(__xludf.DUMMYFUNCTION("""COMPUTED_VALUE"""),308.95)</f>
        <v>308.95</v>
      </c>
      <c r="C167" s="1">
        <f>IFERROR(__xludf.DUMMYFUNCTION("""COMPUTED_VALUE"""),312.38)</f>
        <v>312.38</v>
      </c>
      <c r="D167" s="1">
        <f>IFERROR(__xludf.DUMMYFUNCTION("""COMPUTED_VALUE"""),306.37)</f>
        <v>306.37</v>
      </c>
      <c r="E167" s="1">
        <f>IFERROR(__xludf.DUMMYFUNCTION("""COMPUTED_VALUE"""),310.98)</f>
        <v>310.98</v>
      </c>
      <c r="F167" s="1">
        <f>IFERROR(__xludf.DUMMYFUNCTION("""COMPUTED_VALUE"""),4.6444536E7)</f>
        <v>46444536</v>
      </c>
    </row>
    <row r="168">
      <c r="A168" s="2">
        <f>IFERROR(__xludf.DUMMYFUNCTION("""COMPUTED_VALUE"""),44593.66666666667)</f>
        <v>44593.66667</v>
      </c>
      <c r="B168" s="1">
        <f>IFERROR(__xludf.DUMMYFUNCTION("""COMPUTED_VALUE"""),310.41)</f>
        <v>310.41</v>
      </c>
      <c r="C168" s="1">
        <f>IFERROR(__xludf.DUMMYFUNCTION("""COMPUTED_VALUE"""),310.63)</f>
        <v>310.63</v>
      </c>
      <c r="D168" s="1">
        <f>IFERROR(__xludf.DUMMYFUNCTION("""COMPUTED_VALUE"""),305.13)</f>
        <v>305.13</v>
      </c>
      <c r="E168" s="1">
        <f>IFERROR(__xludf.DUMMYFUNCTION("""COMPUTED_VALUE"""),308.76)</f>
        <v>308.76</v>
      </c>
      <c r="F168" s="1">
        <f>IFERROR(__xludf.DUMMYFUNCTION("""COMPUTED_VALUE"""),4.0950396E7)</f>
        <v>40950396</v>
      </c>
    </row>
    <row r="169">
      <c r="A169" s="2">
        <f>IFERROR(__xludf.DUMMYFUNCTION("""COMPUTED_VALUE"""),44594.66666666667)</f>
        <v>44594.66667</v>
      </c>
      <c r="B169" s="1">
        <f>IFERROR(__xludf.DUMMYFUNCTION("""COMPUTED_VALUE"""),309.63)</f>
        <v>309.63</v>
      </c>
      <c r="C169" s="1">
        <f>IFERROR(__xludf.DUMMYFUNCTION("""COMPUTED_VALUE"""),315.12)</f>
        <v>315.12</v>
      </c>
      <c r="D169" s="1">
        <f>IFERROR(__xludf.DUMMYFUNCTION("""COMPUTED_VALUE"""),308.88)</f>
        <v>308.88</v>
      </c>
      <c r="E169" s="1">
        <f>IFERROR(__xludf.DUMMYFUNCTION("""COMPUTED_VALUE"""),313.46)</f>
        <v>313.46</v>
      </c>
      <c r="F169" s="1">
        <f>IFERROR(__xludf.DUMMYFUNCTION("""COMPUTED_VALUE"""),3.6635989E7)</f>
        <v>36635989</v>
      </c>
    </row>
    <row r="170">
      <c r="A170" s="2">
        <f>IFERROR(__xludf.DUMMYFUNCTION("""COMPUTED_VALUE"""),44595.66666666667)</f>
        <v>44595.66667</v>
      </c>
      <c r="B170" s="1">
        <f>IFERROR(__xludf.DUMMYFUNCTION("""COMPUTED_VALUE"""),309.49)</f>
        <v>309.49</v>
      </c>
      <c r="C170" s="1">
        <f>IFERROR(__xludf.DUMMYFUNCTION("""COMPUTED_VALUE"""),311.23)</f>
        <v>311.23</v>
      </c>
      <c r="D170" s="1">
        <f>IFERROR(__xludf.DUMMYFUNCTION("""COMPUTED_VALUE"""),299.96)</f>
        <v>299.96</v>
      </c>
      <c r="E170" s="1">
        <f>IFERROR(__xludf.DUMMYFUNCTION("""COMPUTED_VALUE"""),301.25)</f>
        <v>301.25</v>
      </c>
      <c r="F170" s="1">
        <f>IFERROR(__xludf.DUMMYFUNCTION("""COMPUTED_VALUE"""),4.3729972E7)</f>
        <v>43729972</v>
      </c>
    </row>
    <row r="171">
      <c r="A171" s="2">
        <f>IFERROR(__xludf.DUMMYFUNCTION("""COMPUTED_VALUE"""),44596.66666666667)</f>
        <v>44596.66667</v>
      </c>
      <c r="B171" s="1">
        <f>IFERROR(__xludf.DUMMYFUNCTION("""COMPUTED_VALUE"""),300.21)</f>
        <v>300.21</v>
      </c>
      <c r="C171" s="1">
        <f>IFERROR(__xludf.DUMMYFUNCTION("""COMPUTED_VALUE"""),308.8)</f>
        <v>308.8</v>
      </c>
      <c r="D171" s="1">
        <f>IFERROR(__xludf.DUMMYFUNCTION("""COMPUTED_VALUE"""),299.97)</f>
        <v>299.97</v>
      </c>
      <c r="E171" s="1">
        <f>IFERROR(__xludf.DUMMYFUNCTION("""COMPUTED_VALUE"""),305.94)</f>
        <v>305.94</v>
      </c>
      <c r="F171" s="1">
        <f>IFERROR(__xludf.DUMMYFUNCTION("""COMPUTED_VALUE"""),3.5096488E7)</f>
        <v>35096488</v>
      </c>
    </row>
    <row r="172">
      <c r="A172" s="2">
        <f>IFERROR(__xludf.DUMMYFUNCTION("""COMPUTED_VALUE"""),44599.66666666667)</f>
        <v>44599.66667</v>
      </c>
      <c r="B172" s="1">
        <f>IFERROR(__xludf.DUMMYFUNCTION("""COMPUTED_VALUE"""),306.17)</f>
        <v>306.17</v>
      </c>
      <c r="C172" s="1">
        <f>IFERROR(__xludf.DUMMYFUNCTION("""COMPUTED_VALUE"""),307.84)</f>
        <v>307.84</v>
      </c>
      <c r="D172" s="1">
        <f>IFERROR(__xludf.DUMMYFUNCTION("""COMPUTED_VALUE"""),299.9)</f>
        <v>299.9</v>
      </c>
      <c r="E172" s="1">
        <f>IFERROR(__xludf.DUMMYFUNCTION("""COMPUTED_VALUE"""),300.95)</f>
        <v>300.95</v>
      </c>
      <c r="F172" s="1">
        <f>IFERROR(__xludf.DUMMYFUNCTION("""COMPUTED_VALUE"""),2.8533286E7)</f>
        <v>28533286</v>
      </c>
    </row>
    <row r="173">
      <c r="A173" s="2">
        <f>IFERROR(__xludf.DUMMYFUNCTION("""COMPUTED_VALUE"""),44600.66666666667)</f>
        <v>44600.66667</v>
      </c>
      <c r="B173" s="1">
        <f>IFERROR(__xludf.DUMMYFUNCTION("""COMPUTED_VALUE"""),301.25)</f>
        <v>301.25</v>
      </c>
      <c r="C173" s="1">
        <f>IFERROR(__xludf.DUMMYFUNCTION("""COMPUTED_VALUE"""),305.56)</f>
        <v>305.56</v>
      </c>
      <c r="D173" s="1">
        <f>IFERROR(__xludf.DUMMYFUNCTION("""COMPUTED_VALUE"""),299.95)</f>
        <v>299.95</v>
      </c>
      <c r="E173" s="1">
        <f>IFERROR(__xludf.DUMMYFUNCTION("""COMPUTED_VALUE"""),304.56)</f>
        <v>304.56</v>
      </c>
      <c r="F173" s="1">
        <f>IFERROR(__xludf.DUMMYFUNCTION("""COMPUTED_VALUE"""),3.2421188E7)</f>
        <v>32421188</v>
      </c>
    </row>
    <row r="174">
      <c r="A174" s="2">
        <f>IFERROR(__xludf.DUMMYFUNCTION("""COMPUTED_VALUE"""),44601.66666666667)</f>
        <v>44601.66667</v>
      </c>
      <c r="B174" s="1">
        <f>IFERROR(__xludf.DUMMYFUNCTION("""COMPUTED_VALUE"""),309.87)</f>
        <v>309.87</v>
      </c>
      <c r="C174" s="1">
        <f>IFERROR(__xludf.DUMMYFUNCTION("""COMPUTED_VALUE"""),311.93)</f>
        <v>311.93</v>
      </c>
      <c r="D174" s="1">
        <f>IFERROR(__xludf.DUMMYFUNCTION("""COMPUTED_VALUE"""),307.39)</f>
        <v>307.39</v>
      </c>
      <c r="E174" s="1">
        <f>IFERROR(__xludf.DUMMYFUNCTION("""COMPUTED_VALUE"""),311.21)</f>
        <v>311.21</v>
      </c>
      <c r="F174" s="1">
        <f>IFERROR(__xludf.DUMMYFUNCTION("""COMPUTED_VALUE"""),3.1284671E7)</f>
        <v>31284671</v>
      </c>
    </row>
    <row r="175">
      <c r="A175" s="2">
        <f>IFERROR(__xludf.DUMMYFUNCTION("""COMPUTED_VALUE"""),44602.66666666667)</f>
        <v>44602.66667</v>
      </c>
      <c r="B175" s="1">
        <f>IFERROR(__xludf.DUMMYFUNCTION("""COMPUTED_VALUE"""),304.04)</f>
        <v>304.04</v>
      </c>
      <c r="C175" s="1">
        <f>IFERROR(__xludf.DUMMYFUNCTION("""COMPUTED_VALUE"""),309.12)</f>
        <v>309.12</v>
      </c>
      <c r="D175" s="1">
        <f>IFERROR(__xludf.DUMMYFUNCTION("""COMPUTED_VALUE"""),300.7)</f>
        <v>300.7</v>
      </c>
      <c r="E175" s="1">
        <f>IFERROR(__xludf.DUMMYFUNCTION("""COMPUTED_VALUE"""),302.38)</f>
        <v>302.38</v>
      </c>
      <c r="F175" s="1">
        <f>IFERROR(__xludf.DUMMYFUNCTION("""COMPUTED_VALUE"""),4.5386199E7)</f>
        <v>45386199</v>
      </c>
    </row>
    <row r="176">
      <c r="A176" s="2">
        <f>IFERROR(__xludf.DUMMYFUNCTION("""COMPUTED_VALUE"""),44603.66666666667)</f>
        <v>44603.66667</v>
      </c>
      <c r="B176" s="1">
        <f>IFERROR(__xludf.DUMMYFUNCTION("""COMPUTED_VALUE"""),303.19)</f>
        <v>303.19</v>
      </c>
      <c r="C176" s="1">
        <f>IFERROR(__xludf.DUMMYFUNCTION("""COMPUTED_VALUE"""),304.29)</f>
        <v>304.29</v>
      </c>
      <c r="D176" s="1">
        <f>IFERROR(__xludf.DUMMYFUNCTION("""COMPUTED_VALUE"""),294.22)</f>
        <v>294.22</v>
      </c>
      <c r="E176" s="1">
        <f>IFERROR(__xludf.DUMMYFUNCTION("""COMPUTED_VALUE"""),295.04)</f>
        <v>295.04</v>
      </c>
      <c r="F176" s="1">
        <f>IFERROR(__xludf.DUMMYFUNCTION("""COMPUTED_VALUE"""),3.917562E7)</f>
        <v>39175620</v>
      </c>
    </row>
    <row r="177">
      <c r="A177" s="2">
        <f>IFERROR(__xludf.DUMMYFUNCTION("""COMPUTED_VALUE"""),44606.66666666667)</f>
        <v>44606.66667</v>
      </c>
      <c r="B177" s="1">
        <f>IFERROR(__xludf.DUMMYFUNCTION("""COMPUTED_VALUE"""),293.77)</f>
        <v>293.77</v>
      </c>
      <c r="C177" s="1">
        <f>IFERROR(__xludf.DUMMYFUNCTION("""COMPUTED_VALUE"""),296.76)</f>
        <v>296.76</v>
      </c>
      <c r="D177" s="1">
        <f>IFERROR(__xludf.DUMMYFUNCTION("""COMPUTED_VALUE"""),291.35)</f>
        <v>291.35</v>
      </c>
      <c r="E177" s="1">
        <f>IFERROR(__xludf.DUMMYFUNCTION("""COMPUTED_VALUE"""),295.0)</f>
        <v>295</v>
      </c>
      <c r="F177" s="1">
        <f>IFERROR(__xludf.DUMMYFUNCTION("""COMPUTED_VALUE"""),3.6359487E7)</f>
        <v>36359487</v>
      </c>
    </row>
    <row r="178">
      <c r="A178" s="2">
        <f>IFERROR(__xludf.DUMMYFUNCTION("""COMPUTED_VALUE"""),44607.66666666667)</f>
        <v>44607.66667</v>
      </c>
      <c r="B178" s="1">
        <f>IFERROR(__xludf.DUMMYFUNCTION("""COMPUTED_VALUE"""),300.01)</f>
        <v>300.01</v>
      </c>
      <c r="C178" s="1">
        <f>IFERROR(__xludf.DUMMYFUNCTION("""COMPUTED_VALUE"""),300.8)</f>
        <v>300.8</v>
      </c>
      <c r="D178" s="1">
        <f>IFERROR(__xludf.DUMMYFUNCTION("""COMPUTED_VALUE"""),297.02)</f>
        <v>297.02</v>
      </c>
      <c r="E178" s="1">
        <f>IFERROR(__xludf.DUMMYFUNCTION("""COMPUTED_VALUE"""),300.47)</f>
        <v>300.47</v>
      </c>
      <c r="F178" s="1">
        <f>IFERROR(__xludf.DUMMYFUNCTION("""COMPUTED_VALUE"""),2.7379488E7)</f>
        <v>27379488</v>
      </c>
    </row>
    <row r="179">
      <c r="A179" s="2">
        <f>IFERROR(__xludf.DUMMYFUNCTION("""COMPUTED_VALUE"""),44608.66666666667)</f>
        <v>44608.66667</v>
      </c>
      <c r="B179" s="1">
        <f>IFERROR(__xludf.DUMMYFUNCTION("""COMPUTED_VALUE"""),298.37)</f>
        <v>298.37</v>
      </c>
      <c r="C179" s="1">
        <f>IFERROR(__xludf.DUMMYFUNCTION("""COMPUTED_VALUE"""),300.87)</f>
        <v>300.87</v>
      </c>
      <c r="D179" s="1">
        <f>IFERROR(__xludf.DUMMYFUNCTION("""COMPUTED_VALUE"""),293.68)</f>
        <v>293.68</v>
      </c>
      <c r="E179" s="1">
        <f>IFERROR(__xludf.DUMMYFUNCTION("""COMPUTED_VALUE"""),299.5)</f>
        <v>299.5</v>
      </c>
      <c r="F179" s="1">
        <f>IFERROR(__xludf.DUMMYFUNCTION("""COMPUTED_VALUE"""),2.9982121E7)</f>
        <v>29982121</v>
      </c>
    </row>
    <row r="180">
      <c r="A180" s="2">
        <f>IFERROR(__xludf.DUMMYFUNCTION("""COMPUTED_VALUE"""),44609.66666666667)</f>
        <v>44609.66667</v>
      </c>
      <c r="B180" s="1">
        <f>IFERROR(__xludf.DUMMYFUNCTION("""COMPUTED_VALUE"""),296.36)</f>
        <v>296.36</v>
      </c>
      <c r="C180" s="1">
        <f>IFERROR(__xludf.DUMMYFUNCTION("""COMPUTED_VALUE"""),296.8)</f>
        <v>296.8</v>
      </c>
      <c r="D180" s="1">
        <f>IFERROR(__xludf.DUMMYFUNCTION("""COMPUTED_VALUE"""),290.0)</f>
        <v>290</v>
      </c>
      <c r="E180" s="1">
        <f>IFERROR(__xludf.DUMMYFUNCTION("""COMPUTED_VALUE"""),290.73)</f>
        <v>290.73</v>
      </c>
      <c r="F180" s="1">
        <f>IFERROR(__xludf.DUMMYFUNCTION("""COMPUTED_VALUE"""),3.246158E7)</f>
        <v>32461580</v>
      </c>
    </row>
    <row r="181">
      <c r="A181" s="2">
        <f>IFERROR(__xludf.DUMMYFUNCTION("""COMPUTED_VALUE"""),44610.66666666667)</f>
        <v>44610.66667</v>
      </c>
      <c r="B181" s="1">
        <f>IFERROR(__xludf.DUMMYFUNCTION("""COMPUTED_VALUE"""),293.05)</f>
        <v>293.05</v>
      </c>
      <c r="C181" s="1">
        <f>IFERROR(__xludf.DUMMYFUNCTION("""COMPUTED_VALUE"""),293.86)</f>
        <v>293.86</v>
      </c>
      <c r="D181" s="1">
        <f>IFERROR(__xludf.DUMMYFUNCTION("""COMPUTED_VALUE"""),286.31)</f>
        <v>286.31</v>
      </c>
      <c r="E181" s="1">
        <f>IFERROR(__xludf.DUMMYFUNCTION("""COMPUTED_VALUE"""),287.93)</f>
        <v>287.93</v>
      </c>
      <c r="F181" s="1">
        <f>IFERROR(__xludf.DUMMYFUNCTION("""COMPUTED_VALUE"""),3.4264008E7)</f>
        <v>34264008</v>
      </c>
    </row>
    <row r="182">
      <c r="A182" s="2">
        <f>IFERROR(__xludf.DUMMYFUNCTION("""COMPUTED_VALUE"""),44614.66666666667)</f>
        <v>44614.66667</v>
      </c>
      <c r="B182" s="1">
        <f>IFERROR(__xludf.DUMMYFUNCTION("""COMPUTED_VALUE"""),285.0)</f>
        <v>285</v>
      </c>
      <c r="C182" s="1">
        <f>IFERROR(__xludf.DUMMYFUNCTION("""COMPUTED_VALUE"""),291.54)</f>
        <v>291.54</v>
      </c>
      <c r="D182" s="1">
        <f>IFERROR(__xludf.DUMMYFUNCTION("""COMPUTED_VALUE"""),284.5)</f>
        <v>284.5</v>
      </c>
      <c r="E182" s="1">
        <f>IFERROR(__xludf.DUMMYFUNCTION("""COMPUTED_VALUE"""),287.72)</f>
        <v>287.72</v>
      </c>
      <c r="F182" s="1">
        <f>IFERROR(__xludf.DUMMYFUNCTION("""COMPUTED_VALUE"""),4.1736117E7)</f>
        <v>41736117</v>
      </c>
    </row>
    <row r="183">
      <c r="A183" s="2">
        <f>IFERROR(__xludf.DUMMYFUNCTION("""COMPUTED_VALUE"""),44615.66666666667)</f>
        <v>44615.66667</v>
      </c>
      <c r="B183" s="1">
        <f>IFERROR(__xludf.DUMMYFUNCTION("""COMPUTED_VALUE"""),290.18)</f>
        <v>290.18</v>
      </c>
      <c r="C183" s="1">
        <f>IFERROR(__xludf.DUMMYFUNCTION("""COMPUTED_VALUE"""),291.7)</f>
        <v>291.7</v>
      </c>
      <c r="D183" s="1">
        <f>IFERROR(__xludf.DUMMYFUNCTION("""COMPUTED_VALUE"""),280.1)</f>
        <v>280.1</v>
      </c>
      <c r="E183" s="1">
        <f>IFERROR(__xludf.DUMMYFUNCTION("""COMPUTED_VALUE"""),280.27)</f>
        <v>280.27</v>
      </c>
      <c r="F183" s="1">
        <f>IFERROR(__xludf.DUMMYFUNCTION("""COMPUTED_VALUE"""),3.7811167E7)</f>
        <v>37811167</v>
      </c>
    </row>
    <row r="184">
      <c r="A184" s="2">
        <f>IFERROR(__xludf.DUMMYFUNCTION("""COMPUTED_VALUE"""),44616.66666666667)</f>
        <v>44616.66667</v>
      </c>
      <c r="B184" s="1">
        <f>IFERROR(__xludf.DUMMYFUNCTION("""COMPUTED_VALUE"""),272.51)</f>
        <v>272.51</v>
      </c>
      <c r="C184" s="1">
        <f>IFERROR(__xludf.DUMMYFUNCTION("""COMPUTED_VALUE"""),295.16)</f>
        <v>295.16</v>
      </c>
      <c r="D184" s="1">
        <f>IFERROR(__xludf.DUMMYFUNCTION("""COMPUTED_VALUE"""),271.52)</f>
        <v>271.52</v>
      </c>
      <c r="E184" s="1">
        <f>IFERROR(__xludf.DUMMYFUNCTION("""COMPUTED_VALUE"""),294.59)</f>
        <v>294.59</v>
      </c>
      <c r="F184" s="1">
        <f>IFERROR(__xludf.DUMMYFUNCTION("""COMPUTED_VALUE"""),5.6989686E7)</f>
        <v>56989686</v>
      </c>
    </row>
    <row r="185">
      <c r="A185" s="2">
        <f>IFERROR(__xludf.DUMMYFUNCTION("""COMPUTED_VALUE"""),44617.66666666667)</f>
        <v>44617.66667</v>
      </c>
      <c r="B185" s="1">
        <f>IFERROR(__xludf.DUMMYFUNCTION("""COMPUTED_VALUE"""),295.14)</f>
        <v>295.14</v>
      </c>
      <c r="C185" s="1">
        <f>IFERROR(__xludf.DUMMYFUNCTION("""COMPUTED_VALUE"""),297.63)</f>
        <v>297.63</v>
      </c>
      <c r="D185" s="1">
        <f>IFERROR(__xludf.DUMMYFUNCTION("""COMPUTED_VALUE"""),291.65)</f>
        <v>291.65</v>
      </c>
      <c r="E185" s="1">
        <f>IFERROR(__xludf.DUMMYFUNCTION("""COMPUTED_VALUE"""),297.31)</f>
        <v>297.31</v>
      </c>
      <c r="F185" s="1">
        <f>IFERROR(__xludf.DUMMYFUNCTION("""COMPUTED_VALUE"""),3.2546721E7)</f>
        <v>32546721</v>
      </c>
    </row>
    <row r="186">
      <c r="A186" s="2">
        <f>IFERROR(__xludf.DUMMYFUNCTION("""COMPUTED_VALUE"""),44620.66666666667)</f>
        <v>44620.66667</v>
      </c>
      <c r="B186" s="1">
        <f>IFERROR(__xludf.DUMMYFUNCTION("""COMPUTED_VALUE"""),294.31)</f>
        <v>294.31</v>
      </c>
      <c r="C186" s="1">
        <f>IFERROR(__xludf.DUMMYFUNCTION("""COMPUTED_VALUE"""),299.14)</f>
        <v>299.14</v>
      </c>
      <c r="D186" s="1">
        <f>IFERROR(__xludf.DUMMYFUNCTION("""COMPUTED_VALUE"""),293.0)</f>
        <v>293</v>
      </c>
      <c r="E186" s="1">
        <f>IFERROR(__xludf.DUMMYFUNCTION("""COMPUTED_VALUE"""),298.79)</f>
        <v>298.79</v>
      </c>
      <c r="F186" s="1">
        <f>IFERROR(__xludf.DUMMYFUNCTION("""COMPUTED_VALUE"""),3.4627457E7)</f>
        <v>34627457</v>
      </c>
    </row>
    <row r="187">
      <c r="A187" s="2">
        <f>IFERROR(__xludf.DUMMYFUNCTION("""COMPUTED_VALUE"""),44621.66666666667)</f>
        <v>44621.66667</v>
      </c>
      <c r="B187" s="1">
        <f>IFERROR(__xludf.DUMMYFUNCTION("""COMPUTED_VALUE"""),296.4)</f>
        <v>296.4</v>
      </c>
      <c r="C187" s="1">
        <f>IFERROR(__xludf.DUMMYFUNCTION("""COMPUTED_VALUE"""),299.97)</f>
        <v>299.97</v>
      </c>
      <c r="D187" s="1">
        <f>IFERROR(__xludf.DUMMYFUNCTION("""COMPUTED_VALUE"""),292.15)</f>
        <v>292.15</v>
      </c>
      <c r="E187" s="1">
        <f>IFERROR(__xludf.DUMMYFUNCTION("""COMPUTED_VALUE"""),294.95)</f>
        <v>294.95</v>
      </c>
      <c r="F187" s="1">
        <f>IFERROR(__xludf.DUMMYFUNCTION("""COMPUTED_VALUE"""),3.1217778E7)</f>
        <v>31217778</v>
      </c>
    </row>
    <row r="188">
      <c r="A188" s="2">
        <f>IFERROR(__xludf.DUMMYFUNCTION("""COMPUTED_VALUE"""),44622.66666666667)</f>
        <v>44622.66667</v>
      </c>
      <c r="B188" s="1">
        <f>IFERROR(__xludf.DUMMYFUNCTION("""COMPUTED_VALUE"""),295.36)</f>
        <v>295.36</v>
      </c>
      <c r="C188" s="1">
        <f>IFERROR(__xludf.DUMMYFUNCTION("""COMPUTED_VALUE"""),301.47)</f>
        <v>301.47</v>
      </c>
      <c r="D188" s="1">
        <f>IFERROR(__xludf.DUMMYFUNCTION("""COMPUTED_VALUE"""),293.7)</f>
        <v>293.7</v>
      </c>
      <c r="E188" s="1">
        <f>IFERROR(__xludf.DUMMYFUNCTION("""COMPUTED_VALUE"""),300.19)</f>
        <v>300.19</v>
      </c>
      <c r="F188" s="1">
        <f>IFERROR(__xludf.DUMMYFUNCTION("""COMPUTED_VALUE"""),3.1873007E7)</f>
        <v>31873007</v>
      </c>
    </row>
    <row r="189">
      <c r="A189" s="2">
        <f>IFERROR(__xludf.DUMMYFUNCTION("""COMPUTED_VALUE"""),44623.66666666667)</f>
        <v>44623.66667</v>
      </c>
      <c r="B189" s="1">
        <f>IFERROR(__xludf.DUMMYFUNCTION("""COMPUTED_VALUE"""),302.89)</f>
        <v>302.89</v>
      </c>
      <c r="C189" s="1">
        <f>IFERROR(__xludf.DUMMYFUNCTION("""COMPUTED_VALUE"""),303.13)</f>
        <v>303.13</v>
      </c>
      <c r="D189" s="1">
        <f>IFERROR(__xludf.DUMMYFUNCTION("""COMPUTED_VALUE"""),294.05)</f>
        <v>294.05</v>
      </c>
      <c r="E189" s="1">
        <f>IFERROR(__xludf.DUMMYFUNCTION("""COMPUTED_VALUE"""),295.92)</f>
        <v>295.92</v>
      </c>
      <c r="F189" s="1">
        <f>IFERROR(__xludf.DUMMYFUNCTION("""COMPUTED_VALUE"""),2.7314469E7)</f>
        <v>27314469</v>
      </c>
    </row>
    <row r="190">
      <c r="A190" s="2">
        <f>IFERROR(__xludf.DUMMYFUNCTION("""COMPUTED_VALUE"""),44624.66666666667)</f>
        <v>44624.66667</v>
      </c>
      <c r="B190" s="1">
        <f>IFERROR(__xludf.DUMMYFUNCTION("""COMPUTED_VALUE"""),294.29)</f>
        <v>294.29</v>
      </c>
      <c r="C190" s="1">
        <f>IFERROR(__xludf.DUMMYFUNCTION("""COMPUTED_VALUE"""),295.66)</f>
        <v>295.66</v>
      </c>
      <c r="D190" s="1">
        <f>IFERROR(__xludf.DUMMYFUNCTION("""COMPUTED_VALUE"""),287.17)</f>
        <v>287.17</v>
      </c>
      <c r="E190" s="1">
        <f>IFERROR(__xludf.DUMMYFUNCTION("""COMPUTED_VALUE"""),289.86)</f>
        <v>289.86</v>
      </c>
      <c r="F190" s="1">
        <f>IFERROR(__xludf.DUMMYFUNCTION("""COMPUTED_VALUE"""),3.2369655E7)</f>
        <v>32369655</v>
      </c>
    </row>
    <row r="191">
      <c r="A191" s="2">
        <f>IFERROR(__xludf.DUMMYFUNCTION("""COMPUTED_VALUE"""),44627.66666666667)</f>
        <v>44627.66667</v>
      </c>
      <c r="B191" s="1">
        <f>IFERROR(__xludf.DUMMYFUNCTION("""COMPUTED_VALUE"""),288.53)</f>
        <v>288.53</v>
      </c>
      <c r="C191" s="1">
        <f>IFERROR(__xludf.DUMMYFUNCTION("""COMPUTED_VALUE"""),289.69)</f>
        <v>289.69</v>
      </c>
      <c r="D191" s="1">
        <f>IFERROR(__xludf.DUMMYFUNCTION("""COMPUTED_VALUE"""),278.53)</f>
        <v>278.53</v>
      </c>
      <c r="E191" s="1">
        <f>IFERROR(__xludf.DUMMYFUNCTION("""COMPUTED_VALUE"""),278.91)</f>
        <v>278.91</v>
      </c>
      <c r="F191" s="1">
        <f>IFERROR(__xludf.DUMMYFUNCTION("""COMPUTED_VALUE"""),4.3157178E7)</f>
        <v>43157178</v>
      </c>
    </row>
    <row r="192">
      <c r="A192" s="2">
        <f>IFERROR(__xludf.DUMMYFUNCTION("""COMPUTED_VALUE"""),44628.66666666667)</f>
        <v>44628.66667</v>
      </c>
      <c r="B192" s="1">
        <f>IFERROR(__xludf.DUMMYFUNCTION("""COMPUTED_VALUE"""),277.8)</f>
        <v>277.8</v>
      </c>
      <c r="C192" s="1">
        <f>IFERROR(__xludf.DUMMYFUNCTION("""COMPUTED_VALUE"""),283.96)</f>
        <v>283.96</v>
      </c>
      <c r="D192" s="1">
        <f>IFERROR(__xludf.DUMMYFUNCTION("""COMPUTED_VALUE"""),270.0)</f>
        <v>270</v>
      </c>
      <c r="E192" s="1">
        <f>IFERROR(__xludf.DUMMYFUNCTION("""COMPUTED_VALUE"""),275.85)</f>
        <v>275.85</v>
      </c>
      <c r="F192" s="1">
        <f>IFERROR(__xludf.DUMMYFUNCTION("""COMPUTED_VALUE"""),4.8159475E7)</f>
        <v>48159475</v>
      </c>
    </row>
    <row r="193">
      <c r="A193" s="2">
        <f>IFERROR(__xludf.DUMMYFUNCTION("""COMPUTED_VALUE"""),44629.66666666667)</f>
        <v>44629.66667</v>
      </c>
      <c r="B193" s="1">
        <f>IFERROR(__xludf.DUMMYFUNCTION("""COMPUTED_VALUE"""),283.44)</f>
        <v>283.44</v>
      </c>
      <c r="C193" s="1">
        <f>IFERROR(__xludf.DUMMYFUNCTION("""COMPUTED_VALUE"""),289.6)</f>
        <v>289.6</v>
      </c>
      <c r="D193" s="1">
        <f>IFERROR(__xludf.DUMMYFUNCTION("""COMPUTED_VALUE"""),280.78)</f>
        <v>280.78</v>
      </c>
      <c r="E193" s="1">
        <f>IFERROR(__xludf.DUMMYFUNCTION("""COMPUTED_VALUE"""),288.5)</f>
        <v>288.5</v>
      </c>
      <c r="F193" s="1">
        <f>IFERROR(__xludf.DUMMYFUNCTION("""COMPUTED_VALUE"""),3.520448E7)</f>
        <v>35204480</v>
      </c>
    </row>
    <row r="194">
      <c r="A194" s="2">
        <f>IFERROR(__xludf.DUMMYFUNCTION("""COMPUTED_VALUE"""),44630.66666666667)</f>
        <v>44630.66667</v>
      </c>
      <c r="B194" s="1">
        <f>IFERROR(__xludf.DUMMYFUNCTION("""COMPUTED_VALUE"""),283.02)</f>
        <v>283.02</v>
      </c>
      <c r="C194" s="1">
        <f>IFERROR(__xludf.DUMMYFUNCTION("""COMPUTED_VALUE"""),286.6)</f>
        <v>286.6</v>
      </c>
      <c r="D194" s="1">
        <f>IFERROR(__xludf.DUMMYFUNCTION("""COMPUTED_VALUE"""),280.58)</f>
        <v>280.58</v>
      </c>
      <c r="E194" s="1">
        <f>IFERROR(__xludf.DUMMYFUNCTION("""COMPUTED_VALUE"""),285.59)</f>
        <v>285.59</v>
      </c>
      <c r="F194" s="1">
        <f>IFERROR(__xludf.DUMMYFUNCTION("""COMPUTED_VALUE"""),3.0628012E7)</f>
        <v>30628012</v>
      </c>
    </row>
    <row r="195">
      <c r="A195" s="2">
        <f>IFERROR(__xludf.DUMMYFUNCTION("""COMPUTED_VALUE"""),44631.66666666667)</f>
        <v>44631.66667</v>
      </c>
      <c r="B195" s="1">
        <f>IFERROR(__xludf.DUMMYFUNCTION("""COMPUTED_VALUE"""),287.96)</f>
        <v>287.96</v>
      </c>
      <c r="C195" s="1">
        <f>IFERROR(__xludf.DUMMYFUNCTION("""COMPUTED_VALUE"""),289.51)</f>
        <v>289.51</v>
      </c>
      <c r="D195" s="1">
        <f>IFERROR(__xludf.DUMMYFUNCTION("""COMPUTED_VALUE"""),279.43)</f>
        <v>279.43</v>
      </c>
      <c r="E195" s="1">
        <f>IFERROR(__xludf.DUMMYFUNCTION("""COMPUTED_VALUE"""),280.07)</f>
        <v>280.07</v>
      </c>
      <c r="F195" s="1">
        <f>IFERROR(__xludf.DUMMYFUNCTION("""COMPUTED_VALUE"""),2.720933E7)</f>
        <v>27209330</v>
      </c>
    </row>
    <row r="196">
      <c r="A196" s="2">
        <f>IFERROR(__xludf.DUMMYFUNCTION("""COMPUTED_VALUE"""),44634.66666666667)</f>
        <v>44634.66667</v>
      </c>
      <c r="B196" s="1">
        <f>IFERROR(__xludf.DUMMYFUNCTION("""COMPUTED_VALUE"""),280.34)</f>
        <v>280.34</v>
      </c>
      <c r="C196" s="1">
        <f>IFERROR(__xludf.DUMMYFUNCTION("""COMPUTED_VALUE"""),285.4)</f>
        <v>285.4</v>
      </c>
      <c r="D196" s="1">
        <f>IFERROR(__xludf.DUMMYFUNCTION("""COMPUTED_VALUE"""),275.82)</f>
        <v>275.82</v>
      </c>
      <c r="E196" s="1">
        <f>IFERROR(__xludf.DUMMYFUNCTION("""COMPUTED_VALUE"""),276.44)</f>
        <v>276.44</v>
      </c>
      <c r="F196" s="1">
        <f>IFERROR(__xludf.DUMMYFUNCTION("""COMPUTED_VALUE"""),3.0660747E7)</f>
        <v>30660747</v>
      </c>
    </row>
    <row r="197">
      <c r="A197" s="2">
        <f>IFERROR(__xludf.DUMMYFUNCTION("""COMPUTED_VALUE"""),44635.66666666667)</f>
        <v>44635.66667</v>
      </c>
      <c r="B197" s="1">
        <f>IFERROR(__xludf.DUMMYFUNCTION("""COMPUTED_VALUE"""),280.35)</f>
        <v>280.35</v>
      </c>
      <c r="C197" s="1">
        <f>IFERROR(__xludf.DUMMYFUNCTION("""COMPUTED_VALUE"""),287.82)</f>
        <v>287.82</v>
      </c>
      <c r="D197" s="1">
        <f>IFERROR(__xludf.DUMMYFUNCTION("""COMPUTED_VALUE"""),278.73)</f>
        <v>278.73</v>
      </c>
      <c r="E197" s="1">
        <f>IFERROR(__xludf.DUMMYFUNCTION("""COMPUTED_VALUE"""),287.15)</f>
        <v>287.15</v>
      </c>
      <c r="F197" s="1">
        <f>IFERROR(__xludf.DUMMYFUNCTION("""COMPUTED_VALUE"""),3.4245085E7)</f>
        <v>34245085</v>
      </c>
    </row>
    <row r="198">
      <c r="A198" s="2">
        <f>IFERROR(__xludf.DUMMYFUNCTION("""COMPUTED_VALUE"""),44636.66666666667)</f>
        <v>44636.66667</v>
      </c>
      <c r="B198" s="1">
        <f>IFERROR(__xludf.DUMMYFUNCTION("""COMPUTED_VALUE"""),289.11)</f>
        <v>289.11</v>
      </c>
      <c r="C198" s="1">
        <f>IFERROR(__xludf.DUMMYFUNCTION("""COMPUTED_VALUE"""),294.57)</f>
        <v>294.57</v>
      </c>
      <c r="D198" s="1">
        <f>IFERROR(__xludf.DUMMYFUNCTION("""COMPUTED_VALUE"""),283.2)</f>
        <v>283.2</v>
      </c>
      <c r="E198" s="1">
        <f>IFERROR(__xludf.DUMMYFUNCTION("""COMPUTED_VALUE"""),294.39)</f>
        <v>294.39</v>
      </c>
      <c r="F198" s="1">
        <f>IFERROR(__xludf.DUMMYFUNCTION("""COMPUTED_VALUE"""),3.7826329E7)</f>
        <v>37826329</v>
      </c>
    </row>
    <row r="199">
      <c r="A199" s="2">
        <f>IFERROR(__xludf.DUMMYFUNCTION("""COMPUTED_VALUE"""),44637.66666666667)</f>
        <v>44637.66667</v>
      </c>
      <c r="B199" s="1">
        <f>IFERROR(__xludf.DUMMYFUNCTION("""COMPUTED_VALUE"""),293.29)</f>
        <v>293.29</v>
      </c>
      <c r="C199" s="1">
        <f>IFERROR(__xludf.DUMMYFUNCTION("""COMPUTED_VALUE"""),295.61)</f>
        <v>295.61</v>
      </c>
      <c r="D199" s="1">
        <f>IFERROR(__xludf.DUMMYFUNCTION("""COMPUTED_VALUE"""),289.37)</f>
        <v>289.37</v>
      </c>
      <c r="E199" s="1">
        <f>IFERROR(__xludf.DUMMYFUNCTION("""COMPUTED_VALUE"""),295.22)</f>
        <v>295.22</v>
      </c>
      <c r="F199" s="1">
        <f>IFERROR(__xludf.DUMMYFUNCTION("""COMPUTED_VALUE"""),3.0816633E7)</f>
        <v>30816633</v>
      </c>
    </row>
    <row r="200">
      <c r="A200" s="2">
        <f>IFERROR(__xludf.DUMMYFUNCTION("""COMPUTED_VALUE"""),44638.66666666667)</f>
        <v>44638.66667</v>
      </c>
      <c r="B200" s="1">
        <f>IFERROR(__xludf.DUMMYFUNCTION("""COMPUTED_VALUE"""),295.37)</f>
        <v>295.37</v>
      </c>
      <c r="C200" s="1">
        <f>IFERROR(__xludf.DUMMYFUNCTION("""COMPUTED_VALUE"""),301.0)</f>
        <v>301</v>
      </c>
      <c r="D200" s="1">
        <f>IFERROR(__xludf.DUMMYFUNCTION("""COMPUTED_VALUE"""),292.73)</f>
        <v>292.73</v>
      </c>
      <c r="E200" s="1">
        <f>IFERROR(__xludf.DUMMYFUNCTION("""COMPUTED_VALUE"""),300.43)</f>
        <v>300.43</v>
      </c>
      <c r="F200" s="1">
        <f>IFERROR(__xludf.DUMMYFUNCTION("""COMPUTED_VALUE"""),4.3390625E7)</f>
        <v>43390625</v>
      </c>
    </row>
    <row r="201">
      <c r="A201" s="2">
        <f>IFERROR(__xludf.DUMMYFUNCTION("""COMPUTED_VALUE"""),44641.66666666667)</f>
        <v>44641.66667</v>
      </c>
      <c r="B201" s="1">
        <f>IFERROR(__xludf.DUMMYFUNCTION("""COMPUTED_VALUE"""),298.89)</f>
        <v>298.89</v>
      </c>
      <c r="C201" s="1">
        <f>IFERROR(__xludf.DUMMYFUNCTION("""COMPUTED_VALUE"""),300.14)</f>
        <v>300.14</v>
      </c>
      <c r="D201" s="1">
        <f>IFERROR(__xludf.DUMMYFUNCTION("""COMPUTED_VALUE"""),294.9)</f>
        <v>294.9</v>
      </c>
      <c r="E201" s="1">
        <f>IFERROR(__xludf.DUMMYFUNCTION("""COMPUTED_VALUE"""),299.16)</f>
        <v>299.16</v>
      </c>
      <c r="F201" s="1">
        <f>IFERROR(__xludf.DUMMYFUNCTION("""COMPUTED_VALUE"""),2.8351245E7)</f>
        <v>28351245</v>
      </c>
    </row>
    <row r="202">
      <c r="A202" s="2">
        <f>IFERROR(__xludf.DUMMYFUNCTION("""COMPUTED_VALUE"""),44642.66666666667)</f>
        <v>44642.66667</v>
      </c>
      <c r="B202" s="1">
        <f>IFERROR(__xludf.DUMMYFUNCTION("""COMPUTED_VALUE"""),299.8)</f>
        <v>299.8</v>
      </c>
      <c r="C202" s="1">
        <f>IFERROR(__xludf.DUMMYFUNCTION("""COMPUTED_VALUE"""),305.0)</f>
        <v>305</v>
      </c>
      <c r="D202" s="1">
        <f>IFERROR(__xludf.DUMMYFUNCTION("""COMPUTED_VALUE"""),298.77)</f>
        <v>298.77</v>
      </c>
      <c r="E202" s="1">
        <f>IFERROR(__xludf.DUMMYFUNCTION("""COMPUTED_VALUE"""),304.06)</f>
        <v>304.06</v>
      </c>
      <c r="F202" s="1">
        <f>IFERROR(__xludf.DUMMYFUNCTION("""COMPUTED_VALUE"""),2.7599689E7)</f>
        <v>27599689</v>
      </c>
    </row>
    <row r="203">
      <c r="A203" s="2">
        <f>IFERROR(__xludf.DUMMYFUNCTION("""COMPUTED_VALUE"""),44643.66666666667)</f>
        <v>44643.66667</v>
      </c>
      <c r="B203" s="1">
        <f>IFERROR(__xludf.DUMMYFUNCTION("""COMPUTED_VALUE"""),300.51)</f>
        <v>300.51</v>
      </c>
      <c r="C203" s="1">
        <f>IFERROR(__xludf.DUMMYFUNCTION("""COMPUTED_VALUE"""),303.23)</f>
        <v>303.23</v>
      </c>
      <c r="D203" s="1">
        <f>IFERROR(__xludf.DUMMYFUNCTION("""COMPUTED_VALUE"""),297.72)</f>
        <v>297.72</v>
      </c>
      <c r="E203" s="1">
        <f>IFERROR(__xludf.DUMMYFUNCTION("""COMPUTED_VALUE"""),299.49)</f>
        <v>299.49</v>
      </c>
      <c r="F203" s="1">
        <f>IFERROR(__xludf.DUMMYFUNCTION("""COMPUTED_VALUE"""),2.5715377E7)</f>
        <v>25715377</v>
      </c>
    </row>
    <row r="204">
      <c r="A204" s="2">
        <f>IFERROR(__xludf.DUMMYFUNCTION("""COMPUTED_VALUE"""),44644.66666666667)</f>
        <v>44644.66667</v>
      </c>
      <c r="B204" s="1">
        <f>IFERROR(__xludf.DUMMYFUNCTION("""COMPUTED_VALUE"""),299.14)</f>
        <v>299.14</v>
      </c>
      <c r="C204" s="1">
        <f>IFERROR(__xludf.DUMMYFUNCTION("""COMPUTED_VALUE"""),304.2)</f>
        <v>304.2</v>
      </c>
      <c r="D204" s="1">
        <f>IFERROR(__xludf.DUMMYFUNCTION("""COMPUTED_VALUE"""),298.32)</f>
        <v>298.32</v>
      </c>
      <c r="E204" s="1">
        <f>IFERROR(__xludf.DUMMYFUNCTION("""COMPUTED_VALUE"""),304.1)</f>
        <v>304.1</v>
      </c>
      <c r="F204" s="1">
        <f>IFERROR(__xludf.DUMMYFUNCTION("""COMPUTED_VALUE"""),2.4484456E7)</f>
        <v>24484456</v>
      </c>
    </row>
    <row r="205">
      <c r="A205" s="2">
        <f>IFERROR(__xludf.DUMMYFUNCTION("""COMPUTED_VALUE"""),44645.66666666667)</f>
        <v>44645.66667</v>
      </c>
      <c r="B205" s="1">
        <f>IFERROR(__xludf.DUMMYFUNCTION("""COMPUTED_VALUE"""),305.23)</f>
        <v>305.23</v>
      </c>
      <c r="C205" s="1">
        <f>IFERROR(__xludf.DUMMYFUNCTION("""COMPUTED_VALUE"""),305.5)</f>
        <v>305.5</v>
      </c>
      <c r="D205" s="1">
        <f>IFERROR(__xludf.DUMMYFUNCTION("""COMPUTED_VALUE"""),299.29)</f>
        <v>299.29</v>
      </c>
      <c r="E205" s="1">
        <f>IFERROR(__xludf.DUMMYFUNCTION("""COMPUTED_VALUE"""),303.68)</f>
        <v>303.68</v>
      </c>
      <c r="F205" s="1">
        <f>IFERROR(__xludf.DUMMYFUNCTION("""COMPUTED_VALUE"""),2.2566453E7)</f>
        <v>22566453</v>
      </c>
    </row>
    <row r="206">
      <c r="A206" s="2">
        <f>IFERROR(__xludf.DUMMYFUNCTION("""COMPUTED_VALUE"""),44648.66666666667)</f>
        <v>44648.66667</v>
      </c>
      <c r="B206" s="1">
        <f>IFERROR(__xludf.DUMMYFUNCTION("""COMPUTED_VALUE"""),304.33)</f>
        <v>304.33</v>
      </c>
      <c r="C206" s="1">
        <f>IFERROR(__xludf.DUMMYFUNCTION("""COMPUTED_VALUE"""),310.8)</f>
        <v>310.8</v>
      </c>
      <c r="D206" s="1">
        <f>IFERROR(__xludf.DUMMYFUNCTION("""COMPUTED_VALUE"""),304.33)</f>
        <v>304.33</v>
      </c>
      <c r="E206" s="1">
        <f>IFERROR(__xludf.DUMMYFUNCTION("""COMPUTED_VALUE"""),310.7)</f>
        <v>310.7</v>
      </c>
      <c r="F206" s="1">
        <f>IFERROR(__xludf.DUMMYFUNCTION("""COMPUTED_VALUE"""),2.9578188E7)</f>
        <v>29578188</v>
      </c>
    </row>
    <row r="207">
      <c r="A207" s="2">
        <f>IFERROR(__xludf.DUMMYFUNCTION("""COMPUTED_VALUE"""),44649.66666666667)</f>
        <v>44649.66667</v>
      </c>
      <c r="B207" s="1">
        <f>IFERROR(__xludf.DUMMYFUNCTION("""COMPUTED_VALUE"""),313.91)</f>
        <v>313.91</v>
      </c>
      <c r="C207" s="1">
        <f>IFERROR(__xludf.DUMMYFUNCTION("""COMPUTED_VALUE"""),315.82)</f>
        <v>315.82</v>
      </c>
      <c r="D207" s="1">
        <f>IFERROR(__xludf.DUMMYFUNCTION("""COMPUTED_VALUE"""),309.05)</f>
        <v>309.05</v>
      </c>
      <c r="E207" s="1">
        <f>IFERROR(__xludf.DUMMYFUNCTION("""COMPUTED_VALUE"""),315.41)</f>
        <v>315.41</v>
      </c>
      <c r="F207" s="1">
        <f>IFERROR(__xludf.DUMMYFUNCTION("""COMPUTED_VALUE"""),3.0393403E7)</f>
        <v>30393403</v>
      </c>
    </row>
    <row r="208">
      <c r="A208" s="2">
        <f>IFERROR(__xludf.DUMMYFUNCTION("""COMPUTED_VALUE"""),44650.66666666667)</f>
        <v>44650.66667</v>
      </c>
      <c r="B208" s="1">
        <f>IFERROR(__xludf.DUMMYFUNCTION("""COMPUTED_VALUE"""),313.76)</f>
        <v>313.76</v>
      </c>
      <c r="C208" s="1">
        <f>IFERROR(__xludf.DUMMYFUNCTION("""COMPUTED_VALUE"""),315.95)</f>
        <v>315.95</v>
      </c>
      <c r="D208" s="1">
        <f>IFERROR(__xludf.DUMMYFUNCTION("""COMPUTED_VALUE"""),311.58)</f>
        <v>311.58</v>
      </c>
      <c r="E208" s="1">
        <f>IFERROR(__xludf.DUMMYFUNCTION("""COMPUTED_VALUE"""),313.86)</f>
        <v>313.86</v>
      </c>
      <c r="F208" s="1">
        <f>IFERROR(__xludf.DUMMYFUNCTION("""COMPUTED_VALUE"""),2.8163555E7)</f>
        <v>28163555</v>
      </c>
    </row>
    <row r="209">
      <c r="A209" s="2">
        <f>IFERROR(__xludf.DUMMYFUNCTION("""COMPUTED_VALUE"""),44651.66666666667)</f>
        <v>44651.66667</v>
      </c>
      <c r="B209" s="1">
        <f>IFERROR(__xludf.DUMMYFUNCTION("""COMPUTED_VALUE"""),313.9)</f>
        <v>313.9</v>
      </c>
      <c r="C209" s="1">
        <f>IFERROR(__xludf.DUMMYFUNCTION("""COMPUTED_VALUE"""),315.14)</f>
        <v>315.14</v>
      </c>
      <c r="D209" s="1">
        <f>IFERROR(__xludf.DUMMYFUNCTION("""COMPUTED_VALUE"""),307.89)</f>
        <v>307.89</v>
      </c>
      <c r="E209" s="1">
        <f>IFERROR(__xludf.DUMMYFUNCTION("""COMPUTED_VALUE"""),308.31)</f>
        <v>308.31</v>
      </c>
      <c r="F209" s="1">
        <f>IFERROR(__xludf.DUMMYFUNCTION("""COMPUTED_VALUE"""),3.342207E7)</f>
        <v>33422070</v>
      </c>
    </row>
    <row r="210">
      <c r="A210" s="2">
        <f>IFERROR(__xludf.DUMMYFUNCTION("""COMPUTED_VALUE"""),44652.66666666667)</f>
        <v>44652.66667</v>
      </c>
      <c r="B210" s="1">
        <f>IFERROR(__xludf.DUMMYFUNCTION("""COMPUTED_VALUE"""),309.37)</f>
        <v>309.37</v>
      </c>
      <c r="C210" s="1">
        <f>IFERROR(__xludf.DUMMYFUNCTION("""COMPUTED_VALUE"""),310.13)</f>
        <v>310.13</v>
      </c>
      <c r="D210" s="1">
        <f>IFERROR(__xludf.DUMMYFUNCTION("""COMPUTED_VALUE"""),305.54)</f>
        <v>305.54</v>
      </c>
      <c r="E210" s="1">
        <f>IFERROR(__xludf.DUMMYFUNCTION("""COMPUTED_VALUE"""),309.42)</f>
        <v>309.42</v>
      </c>
      <c r="F210" s="1">
        <f>IFERROR(__xludf.DUMMYFUNCTION("""COMPUTED_VALUE"""),2.7110529E7)</f>
        <v>27110529</v>
      </c>
    </row>
    <row r="211">
      <c r="A211" s="2">
        <f>IFERROR(__xludf.DUMMYFUNCTION("""COMPUTED_VALUE"""),44655.66666666667)</f>
        <v>44655.66667</v>
      </c>
      <c r="B211" s="1">
        <f>IFERROR(__xludf.DUMMYFUNCTION("""COMPUTED_VALUE"""),310.09)</f>
        <v>310.09</v>
      </c>
      <c r="C211" s="1">
        <f>IFERROR(__xludf.DUMMYFUNCTION("""COMPUTED_VALUE"""),315.11)</f>
        <v>315.11</v>
      </c>
      <c r="D211" s="1">
        <f>IFERROR(__xludf.DUMMYFUNCTION("""COMPUTED_VALUE"""),309.71)</f>
        <v>309.71</v>
      </c>
      <c r="E211" s="1">
        <f>IFERROR(__xludf.DUMMYFUNCTION("""COMPUTED_VALUE"""),314.97)</f>
        <v>314.97</v>
      </c>
      <c r="F211" s="1">
        <f>IFERROR(__xludf.DUMMYFUNCTION("""COMPUTED_VALUE"""),2.4335868E7)</f>
        <v>24335868</v>
      </c>
    </row>
    <row r="212">
      <c r="A212" s="2">
        <f>IFERROR(__xludf.DUMMYFUNCTION("""COMPUTED_VALUE"""),44656.66666666667)</f>
        <v>44656.66667</v>
      </c>
      <c r="B212" s="1">
        <f>IFERROR(__xludf.DUMMYFUNCTION("""COMPUTED_VALUE"""),313.27)</f>
        <v>313.27</v>
      </c>
      <c r="C212" s="1">
        <f>IFERROR(__xludf.DUMMYFUNCTION("""COMPUTED_VALUE"""),314.87)</f>
        <v>314.87</v>
      </c>
      <c r="D212" s="1">
        <f>IFERROR(__xludf.DUMMYFUNCTION("""COMPUTED_VALUE"""),309.87)</f>
        <v>309.87</v>
      </c>
      <c r="E212" s="1">
        <f>IFERROR(__xludf.DUMMYFUNCTION("""COMPUTED_VALUE"""),310.88)</f>
        <v>310.88</v>
      </c>
      <c r="F212" s="1">
        <f>IFERROR(__xludf.DUMMYFUNCTION("""COMPUTED_VALUE"""),2.3156719E7)</f>
        <v>23156719</v>
      </c>
    </row>
    <row r="213">
      <c r="A213" s="2">
        <f>IFERROR(__xludf.DUMMYFUNCTION("""COMPUTED_VALUE"""),44657.66666666667)</f>
        <v>44657.66667</v>
      </c>
      <c r="B213" s="1">
        <f>IFERROR(__xludf.DUMMYFUNCTION("""COMPUTED_VALUE"""),305.19)</f>
        <v>305.19</v>
      </c>
      <c r="C213" s="1">
        <f>IFERROR(__xludf.DUMMYFUNCTION("""COMPUTED_VALUE"""),307.0)</f>
        <v>307</v>
      </c>
      <c r="D213" s="1">
        <f>IFERROR(__xludf.DUMMYFUNCTION("""COMPUTED_VALUE"""),296.71)</f>
        <v>296.71</v>
      </c>
      <c r="E213" s="1">
        <f>IFERROR(__xludf.DUMMYFUNCTION("""COMPUTED_VALUE"""),299.5)</f>
        <v>299.5</v>
      </c>
      <c r="F213" s="1">
        <f>IFERROR(__xludf.DUMMYFUNCTION("""COMPUTED_VALUE"""),4.0110372E7)</f>
        <v>40110372</v>
      </c>
    </row>
    <row r="214">
      <c r="A214" s="2">
        <f>IFERROR(__xludf.DUMMYFUNCTION("""COMPUTED_VALUE"""),44658.66666666667)</f>
        <v>44658.66667</v>
      </c>
      <c r="B214" s="1">
        <f>IFERROR(__xludf.DUMMYFUNCTION("""COMPUTED_VALUE"""),296.66)</f>
        <v>296.66</v>
      </c>
      <c r="C214" s="1">
        <f>IFERROR(__xludf.DUMMYFUNCTION("""COMPUTED_VALUE"""),303.65)</f>
        <v>303.65</v>
      </c>
      <c r="D214" s="1">
        <f>IFERROR(__xludf.DUMMYFUNCTION("""COMPUTED_VALUE"""),296.35)</f>
        <v>296.35</v>
      </c>
      <c r="E214" s="1">
        <f>IFERROR(__xludf.DUMMYFUNCTION("""COMPUTED_VALUE"""),301.37)</f>
        <v>301.37</v>
      </c>
      <c r="F214" s="1">
        <f>IFERROR(__xludf.DUMMYFUNCTION("""COMPUTED_VALUE"""),3.1411155E7)</f>
        <v>31411155</v>
      </c>
    </row>
    <row r="215">
      <c r="A215" s="2">
        <f>IFERROR(__xludf.DUMMYFUNCTION("""COMPUTED_VALUE"""),44659.66666666667)</f>
        <v>44659.66667</v>
      </c>
      <c r="B215" s="1">
        <f>IFERROR(__xludf.DUMMYFUNCTION("""COMPUTED_VALUE"""),300.44)</f>
        <v>300.44</v>
      </c>
      <c r="C215" s="1">
        <f>IFERROR(__xludf.DUMMYFUNCTION("""COMPUTED_VALUE"""),301.12)</f>
        <v>301.12</v>
      </c>
      <c r="D215" s="1">
        <f>IFERROR(__xludf.DUMMYFUNCTION("""COMPUTED_VALUE"""),296.28)</f>
        <v>296.28</v>
      </c>
      <c r="E215" s="1">
        <f>IFERROR(__xludf.DUMMYFUNCTION("""COMPUTED_VALUE"""),296.97)</f>
        <v>296.97</v>
      </c>
      <c r="F215" s="1">
        <f>IFERROR(__xludf.DUMMYFUNCTION("""COMPUTED_VALUE"""),2.4361917E7)</f>
        <v>24361917</v>
      </c>
    </row>
    <row r="216">
      <c r="A216" s="2">
        <f>IFERROR(__xludf.DUMMYFUNCTION("""COMPUTED_VALUE"""),44662.66666666667)</f>
        <v>44662.66667</v>
      </c>
      <c r="B216" s="1">
        <f>IFERROR(__xludf.DUMMYFUNCTION("""COMPUTED_VALUE"""),291.79)</f>
        <v>291.79</v>
      </c>
      <c r="C216" s="1">
        <f>IFERROR(__xludf.DUMMYFUNCTION("""COMPUTED_VALUE"""),292.61)</f>
        <v>292.61</v>
      </c>
      <c r="D216" s="1">
        <f>IFERROR(__xludf.DUMMYFUNCTION("""COMPUTED_VALUE"""),285.0)</f>
        <v>285</v>
      </c>
      <c r="E216" s="1">
        <f>IFERROR(__xludf.DUMMYFUNCTION("""COMPUTED_VALUE"""),285.26)</f>
        <v>285.26</v>
      </c>
      <c r="F216" s="1">
        <f>IFERROR(__xludf.DUMMYFUNCTION("""COMPUTED_VALUE"""),3.4569264E7)</f>
        <v>34569264</v>
      </c>
    </row>
    <row r="217">
      <c r="A217" s="2">
        <f>IFERROR(__xludf.DUMMYFUNCTION("""COMPUTED_VALUE"""),44663.66666666667)</f>
        <v>44663.66667</v>
      </c>
      <c r="B217" s="1">
        <f>IFERROR(__xludf.DUMMYFUNCTION("""COMPUTED_VALUE"""),289.24)</f>
        <v>289.24</v>
      </c>
      <c r="C217" s="1">
        <f>IFERROR(__xludf.DUMMYFUNCTION("""COMPUTED_VALUE"""),290.74)</f>
        <v>290.74</v>
      </c>
      <c r="D217" s="1">
        <f>IFERROR(__xludf.DUMMYFUNCTION("""COMPUTED_VALUE"""),280.49)</f>
        <v>280.49</v>
      </c>
      <c r="E217" s="1">
        <f>IFERROR(__xludf.DUMMYFUNCTION("""COMPUTED_VALUE"""),282.06)</f>
        <v>282.06</v>
      </c>
      <c r="F217" s="1">
        <f>IFERROR(__xludf.DUMMYFUNCTION("""COMPUTED_VALUE"""),3.0966721E7)</f>
        <v>30966721</v>
      </c>
    </row>
    <row r="218">
      <c r="A218" s="2">
        <f>IFERROR(__xludf.DUMMYFUNCTION("""COMPUTED_VALUE"""),44664.66666666667)</f>
        <v>44664.66667</v>
      </c>
      <c r="B218" s="1">
        <f>IFERROR(__xludf.DUMMYFUNCTION("""COMPUTED_VALUE"""),282.73)</f>
        <v>282.73</v>
      </c>
      <c r="C218" s="1">
        <f>IFERROR(__xludf.DUMMYFUNCTION("""COMPUTED_VALUE"""),288.58)</f>
        <v>288.58</v>
      </c>
      <c r="D218" s="1">
        <f>IFERROR(__xludf.DUMMYFUNCTION("""COMPUTED_VALUE"""),281.3)</f>
        <v>281.3</v>
      </c>
      <c r="E218" s="1">
        <f>IFERROR(__xludf.DUMMYFUNCTION("""COMPUTED_VALUE"""),287.62)</f>
        <v>287.62</v>
      </c>
      <c r="F218" s="1">
        <f>IFERROR(__xludf.DUMMYFUNCTION("""COMPUTED_VALUE"""),2.1907176E7)</f>
        <v>21907176</v>
      </c>
    </row>
    <row r="219">
      <c r="A219" s="2">
        <f>IFERROR(__xludf.DUMMYFUNCTION("""COMPUTED_VALUE"""),44665.66666666667)</f>
        <v>44665.66667</v>
      </c>
      <c r="B219" s="1">
        <f>IFERROR(__xludf.DUMMYFUNCTION("""COMPUTED_VALUE"""),288.09)</f>
        <v>288.09</v>
      </c>
      <c r="C219" s="1">
        <f>IFERROR(__xludf.DUMMYFUNCTION("""COMPUTED_VALUE"""),288.31)</f>
        <v>288.31</v>
      </c>
      <c r="D219" s="1">
        <f>IFERROR(__xludf.DUMMYFUNCTION("""COMPUTED_VALUE"""),279.32)</f>
        <v>279.32</v>
      </c>
      <c r="E219" s="1">
        <f>IFERROR(__xludf.DUMMYFUNCTION("""COMPUTED_VALUE"""),279.83)</f>
        <v>279.83</v>
      </c>
      <c r="F219" s="1">
        <f>IFERROR(__xludf.DUMMYFUNCTION("""COMPUTED_VALUE"""),2.8221607E7)</f>
        <v>28221607</v>
      </c>
    </row>
    <row r="220">
      <c r="A220" s="2">
        <f>IFERROR(__xludf.DUMMYFUNCTION("""COMPUTED_VALUE"""),44669.66666666667)</f>
        <v>44669.66667</v>
      </c>
      <c r="B220" s="1">
        <f>IFERROR(__xludf.DUMMYFUNCTION("""COMPUTED_VALUE"""),278.91)</f>
        <v>278.91</v>
      </c>
      <c r="C220" s="1">
        <f>IFERROR(__xludf.DUMMYFUNCTION("""COMPUTED_VALUE"""),282.46)</f>
        <v>282.46</v>
      </c>
      <c r="D220" s="1">
        <f>IFERROR(__xludf.DUMMYFUNCTION("""COMPUTED_VALUE"""),278.34)</f>
        <v>278.34</v>
      </c>
      <c r="E220" s="1">
        <f>IFERROR(__xludf.DUMMYFUNCTION("""COMPUTED_VALUE"""),280.52)</f>
        <v>280.52</v>
      </c>
      <c r="F220" s="1">
        <f>IFERROR(__xludf.DUMMYFUNCTION("""COMPUTED_VALUE"""),2.0778E7)</f>
        <v>20778000</v>
      </c>
    </row>
    <row r="221">
      <c r="A221" s="2">
        <f>IFERROR(__xludf.DUMMYFUNCTION("""COMPUTED_VALUE"""),44670.66666666667)</f>
        <v>44670.66667</v>
      </c>
      <c r="B221" s="1">
        <f>IFERROR(__xludf.DUMMYFUNCTION("""COMPUTED_VALUE"""),279.38)</f>
        <v>279.38</v>
      </c>
      <c r="C221" s="1">
        <f>IFERROR(__xludf.DUMMYFUNCTION("""COMPUTED_VALUE"""),286.17)</f>
        <v>286.17</v>
      </c>
      <c r="D221" s="1">
        <f>IFERROR(__xludf.DUMMYFUNCTION("""COMPUTED_VALUE"""),278.41)</f>
        <v>278.41</v>
      </c>
      <c r="E221" s="1">
        <f>IFERROR(__xludf.DUMMYFUNCTION("""COMPUTED_VALUE"""),285.3)</f>
        <v>285.3</v>
      </c>
      <c r="F221" s="1">
        <f>IFERROR(__xludf.DUMMYFUNCTION("""COMPUTED_VALUE"""),2.229772E7)</f>
        <v>22297720</v>
      </c>
    </row>
    <row r="222">
      <c r="A222" s="2">
        <f>IFERROR(__xludf.DUMMYFUNCTION("""COMPUTED_VALUE"""),44671.66666666667)</f>
        <v>44671.66667</v>
      </c>
      <c r="B222" s="1">
        <f>IFERROR(__xludf.DUMMYFUNCTION("""COMPUTED_VALUE"""),289.4)</f>
        <v>289.4</v>
      </c>
      <c r="C222" s="1">
        <f>IFERROR(__xludf.DUMMYFUNCTION("""COMPUTED_VALUE"""),289.7)</f>
        <v>289.7</v>
      </c>
      <c r="D222" s="1">
        <f>IFERROR(__xludf.DUMMYFUNCTION("""COMPUTED_VALUE"""),285.37)</f>
        <v>285.37</v>
      </c>
      <c r="E222" s="1">
        <f>IFERROR(__xludf.DUMMYFUNCTION("""COMPUTED_VALUE"""),286.36)</f>
        <v>286.36</v>
      </c>
      <c r="F222" s="1">
        <f>IFERROR(__xludf.DUMMYFUNCTION("""COMPUTED_VALUE"""),2.2906667E7)</f>
        <v>22906667</v>
      </c>
    </row>
    <row r="223">
      <c r="A223" s="2">
        <f>IFERROR(__xludf.DUMMYFUNCTION("""COMPUTED_VALUE"""),44672.66666666667)</f>
        <v>44672.66667</v>
      </c>
      <c r="B223" s="1">
        <f>IFERROR(__xludf.DUMMYFUNCTION("""COMPUTED_VALUE"""),288.58)</f>
        <v>288.58</v>
      </c>
      <c r="C223" s="1">
        <f>IFERROR(__xludf.DUMMYFUNCTION("""COMPUTED_VALUE"""),293.3)</f>
        <v>293.3</v>
      </c>
      <c r="D223" s="1">
        <f>IFERROR(__xludf.DUMMYFUNCTION("""COMPUTED_VALUE"""),280.06)</f>
        <v>280.06</v>
      </c>
      <c r="E223" s="1">
        <f>IFERROR(__xludf.DUMMYFUNCTION("""COMPUTED_VALUE"""),280.81)</f>
        <v>280.81</v>
      </c>
      <c r="F223" s="1">
        <f>IFERROR(__xludf.DUMMYFUNCTION("""COMPUTED_VALUE"""),2.9454587E7)</f>
        <v>29454587</v>
      </c>
    </row>
    <row r="224">
      <c r="A224" s="2">
        <f>IFERROR(__xludf.DUMMYFUNCTION("""COMPUTED_VALUE"""),44673.66666666667)</f>
        <v>44673.66667</v>
      </c>
      <c r="B224" s="1">
        <f>IFERROR(__xludf.DUMMYFUNCTION("""COMPUTED_VALUE"""),281.68)</f>
        <v>281.68</v>
      </c>
      <c r="C224" s="1">
        <f>IFERROR(__xludf.DUMMYFUNCTION("""COMPUTED_VALUE"""),283.2)</f>
        <v>283.2</v>
      </c>
      <c r="D224" s="1">
        <f>IFERROR(__xludf.DUMMYFUNCTION("""COMPUTED_VALUE"""),273.38)</f>
        <v>273.38</v>
      </c>
      <c r="E224" s="1">
        <f>IFERROR(__xludf.DUMMYFUNCTION("""COMPUTED_VALUE"""),274.03)</f>
        <v>274.03</v>
      </c>
      <c r="F224" s="1">
        <f>IFERROR(__xludf.DUMMYFUNCTION("""COMPUTED_VALUE"""),2.9405798E7)</f>
        <v>29405798</v>
      </c>
    </row>
    <row r="225">
      <c r="A225" s="2">
        <f>IFERROR(__xludf.DUMMYFUNCTION("""COMPUTED_VALUE"""),44676.66666666667)</f>
        <v>44676.66667</v>
      </c>
      <c r="B225" s="1">
        <f>IFERROR(__xludf.DUMMYFUNCTION("""COMPUTED_VALUE"""),273.29)</f>
        <v>273.29</v>
      </c>
      <c r="C225" s="1">
        <f>IFERROR(__xludf.DUMMYFUNCTION("""COMPUTED_VALUE"""),281.11)</f>
        <v>281.11</v>
      </c>
      <c r="D225" s="1">
        <f>IFERROR(__xludf.DUMMYFUNCTION("""COMPUTED_VALUE"""),270.77)</f>
        <v>270.77</v>
      </c>
      <c r="E225" s="1">
        <f>IFERROR(__xludf.DUMMYFUNCTION("""COMPUTED_VALUE"""),280.72)</f>
        <v>280.72</v>
      </c>
      <c r="F225" s="1">
        <f>IFERROR(__xludf.DUMMYFUNCTION("""COMPUTED_VALUE"""),3.5678852E7)</f>
        <v>35678852</v>
      </c>
    </row>
    <row r="226">
      <c r="A226" s="2">
        <f>IFERROR(__xludf.DUMMYFUNCTION("""COMPUTED_VALUE"""),44677.66666666667)</f>
        <v>44677.66667</v>
      </c>
      <c r="B226" s="1">
        <f>IFERROR(__xludf.DUMMYFUNCTION("""COMPUTED_VALUE"""),277.5)</f>
        <v>277.5</v>
      </c>
      <c r="C226" s="1">
        <f>IFERROR(__xludf.DUMMYFUNCTION("""COMPUTED_VALUE"""),278.36)</f>
        <v>278.36</v>
      </c>
      <c r="D226" s="1">
        <f>IFERROR(__xludf.DUMMYFUNCTION("""COMPUTED_VALUE"""),270.0)</f>
        <v>270</v>
      </c>
      <c r="E226" s="1">
        <f>IFERROR(__xludf.DUMMYFUNCTION("""COMPUTED_VALUE"""),270.22)</f>
        <v>270.22</v>
      </c>
      <c r="F226" s="1">
        <f>IFERROR(__xludf.DUMMYFUNCTION("""COMPUTED_VALUE"""),4.6518445E7)</f>
        <v>46518445</v>
      </c>
    </row>
    <row r="227">
      <c r="A227" s="2">
        <f>IFERROR(__xludf.DUMMYFUNCTION("""COMPUTED_VALUE"""),44678.66666666667)</f>
        <v>44678.66667</v>
      </c>
      <c r="B227" s="1">
        <f>IFERROR(__xludf.DUMMYFUNCTION("""COMPUTED_VALUE"""),282.1)</f>
        <v>282.1</v>
      </c>
      <c r="C227" s="1">
        <f>IFERROR(__xludf.DUMMYFUNCTION("""COMPUTED_VALUE"""),290.97)</f>
        <v>290.97</v>
      </c>
      <c r="D227" s="1">
        <f>IFERROR(__xludf.DUMMYFUNCTION("""COMPUTED_VALUE"""),279.16)</f>
        <v>279.16</v>
      </c>
      <c r="E227" s="1">
        <f>IFERROR(__xludf.DUMMYFUNCTION("""COMPUTED_VALUE"""),283.22)</f>
        <v>283.22</v>
      </c>
      <c r="F227" s="1">
        <f>IFERROR(__xludf.DUMMYFUNCTION("""COMPUTED_VALUE"""),6.3477694E7)</f>
        <v>63477694</v>
      </c>
    </row>
    <row r="228">
      <c r="A228" s="2">
        <f>IFERROR(__xludf.DUMMYFUNCTION("""COMPUTED_VALUE"""),44679.66666666667)</f>
        <v>44679.66667</v>
      </c>
      <c r="B228" s="1">
        <f>IFERROR(__xludf.DUMMYFUNCTION("""COMPUTED_VALUE"""),285.19)</f>
        <v>285.19</v>
      </c>
      <c r="C228" s="1">
        <f>IFERROR(__xludf.DUMMYFUNCTION("""COMPUTED_VALUE"""),290.98)</f>
        <v>290.98</v>
      </c>
      <c r="D228" s="1">
        <f>IFERROR(__xludf.DUMMYFUNCTION("""COMPUTED_VALUE"""),281.46)</f>
        <v>281.46</v>
      </c>
      <c r="E228" s="1">
        <f>IFERROR(__xludf.DUMMYFUNCTION("""COMPUTED_VALUE"""),289.63)</f>
        <v>289.63</v>
      </c>
      <c r="F228" s="1">
        <f>IFERROR(__xludf.DUMMYFUNCTION("""COMPUTED_VALUE"""),3.364657E7)</f>
        <v>33646570</v>
      </c>
    </row>
    <row r="229">
      <c r="A229" s="2">
        <f>IFERROR(__xludf.DUMMYFUNCTION("""COMPUTED_VALUE"""),44680.66666666667)</f>
        <v>44680.66667</v>
      </c>
      <c r="B229" s="1">
        <f>IFERROR(__xludf.DUMMYFUNCTION("""COMPUTED_VALUE"""),288.61)</f>
        <v>288.61</v>
      </c>
      <c r="C229" s="1">
        <f>IFERROR(__xludf.DUMMYFUNCTION("""COMPUTED_VALUE"""),289.88)</f>
        <v>289.88</v>
      </c>
      <c r="D229" s="1">
        <f>IFERROR(__xludf.DUMMYFUNCTION("""COMPUTED_VALUE"""),276.5)</f>
        <v>276.5</v>
      </c>
      <c r="E229" s="1">
        <f>IFERROR(__xludf.DUMMYFUNCTION("""COMPUTED_VALUE"""),277.52)</f>
        <v>277.52</v>
      </c>
      <c r="F229" s="1">
        <f>IFERROR(__xludf.DUMMYFUNCTION("""COMPUTED_VALUE"""),3.7073923E7)</f>
        <v>37073923</v>
      </c>
    </row>
    <row r="230">
      <c r="A230" s="2">
        <f>IFERROR(__xludf.DUMMYFUNCTION("""COMPUTED_VALUE"""),44683.66666666667)</f>
        <v>44683.66667</v>
      </c>
      <c r="B230" s="1">
        <f>IFERROR(__xludf.DUMMYFUNCTION("""COMPUTED_VALUE"""),277.71)</f>
        <v>277.71</v>
      </c>
      <c r="C230" s="1">
        <f>IFERROR(__xludf.DUMMYFUNCTION("""COMPUTED_VALUE"""),284.94)</f>
        <v>284.94</v>
      </c>
      <c r="D230" s="1">
        <f>IFERROR(__xludf.DUMMYFUNCTION("""COMPUTED_VALUE"""),276.22)</f>
        <v>276.22</v>
      </c>
      <c r="E230" s="1">
        <f>IFERROR(__xludf.DUMMYFUNCTION("""COMPUTED_VALUE"""),284.47)</f>
        <v>284.47</v>
      </c>
      <c r="F230" s="1">
        <f>IFERROR(__xludf.DUMMYFUNCTION("""COMPUTED_VALUE"""),3.5151105E7)</f>
        <v>35151105</v>
      </c>
    </row>
    <row r="231">
      <c r="A231" s="2">
        <f>IFERROR(__xludf.DUMMYFUNCTION("""COMPUTED_VALUE"""),44684.66666666667)</f>
        <v>44684.66667</v>
      </c>
      <c r="B231" s="1">
        <f>IFERROR(__xludf.DUMMYFUNCTION("""COMPUTED_VALUE"""),283.96)</f>
        <v>283.96</v>
      </c>
      <c r="C231" s="1">
        <f>IFERROR(__xludf.DUMMYFUNCTION("""COMPUTED_VALUE"""),284.13)</f>
        <v>284.13</v>
      </c>
      <c r="D231" s="1">
        <f>IFERROR(__xludf.DUMMYFUNCTION("""COMPUTED_VALUE"""),280.15)</f>
        <v>280.15</v>
      </c>
      <c r="E231" s="1">
        <f>IFERROR(__xludf.DUMMYFUNCTION("""COMPUTED_VALUE"""),281.78)</f>
        <v>281.78</v>
      </c>
      <c r="F231" s="1">
        <f>IFERROR(__xludf.DUMMYFUNCTION("""COMPUTED_VALUE"""),2.5978605E7)</f>
        <v>25978605</v>
      </c>
    </row>
    <row r="232">
      <c r="A232" s="2">
        <f>IFERROR(__xludf.DUMMYFUNCTION("""COMPUTED_VALUE"""),44685.66666666667)</f>
        <v>44685.66667</v>
      </c>
      <c r="B232" s="1">
        <f>IFERROR(__xludf.DUMMYFUNCTION("""COMPUTED_VALUE"""),282.59)</f>
        <v>282.59</v>
      </c>
      <c r="C232" s="1">
        <f>IFERROR(__xludf.DUMMYFUNCTION("""COMPUTED_VALUE"""),290.88)</f>
        <v>290.88</v>
      </c>
      <c r="D232" s="1">
        <f>IFERROR(__xludf.DUMMYFUNCTION("""COMPUTED_VALUE"""),276.73)</f>
        <v>276.73</v>
      </c>
      <c r="E232" s="1">
        <f>IFERROR(__xludf.DUMMYFUNCTION("""COMPUTED_VALUE"""),289.98)</f>
        <v>289.98</v>
      </c>
      <c r="F232" s="1">
        <f>IFERROR(__xludf.DUMMYFUNCTION("""COMPUTED_VALUE"""),3.359932E7)</f>
        <v>33599320</v>
      </c>
    </row>
    <row r="233">
      <c r="A233" s="2">
        <f>IFERROR(__xludf.DUMMYFUNCTION("""COMPUTED_VALUE"""),44686.66666666667)</f>
        <v>44686.66667</v>
      </c>
      <c r="B233" s="1">
        <f>IFERROR(__xludf.DUMMYFUNCTION("""COMPUTED_VALUE"""),285.54)</f>
        <v>285.54</v>
      </c>
      <c r="C233" s="1">
        <f>IFERROR(__xludf.DUMMYFUNCTION("""COMPUTED_VALUE"""),286.35)</f>
        <v>286.35</v>
      </c>
      <c r="D233" s="1">
        <f>IFERROR(__xludf.DUMMYFUNCTION("""COMPUTED_VALUE"""),274.34)</f>
        <v>274.34</v>
      </c>
      <c r="E233" s="1">
        <f>IFERROR(__xludf.DUMMYFUNCTION("""COMPUTED_VALUE"""),277.35)</f>
        <v>277.35</v>
      </c>
      <c r="F233" s="1">
        <f>IFERROR(__xludf.DUMMYFUNCTION("""COMPUTED_VALUE"""),4.3260386E7)</f>
        <v>43260386</v>
      </c>
    </row>
    <row r="234">
      <c r="A234" s="2">
        <f>IFERROR(__xludf.DUMMYFUNCTION("""COMPUTED_VALUE"""),44687.66666666667)</f>
        <v>44687.66667</v>
      </c>
      <c r="B234" s="1">
        <f>IFERROR(__xludf.DUMMYFUNCTION("""COMPUTED_VALUE"""),274.81)</f>
        <v>274.81</v>
      </c>
      <c r="C234" s="1">
        <f>IFERROR(__xludf.DUMMYFUNCTION("""COMPUTED_VALUE"""),279.25)</f>
        <v>279.25</v>
      </c>
      <c r="D234" s="1">
        <f>IFERROR(__xludf.DUMMYFUNCTION("""COMPUTED_VALUE"""),271.27)</f>
        <v>271.27</v>
      </c>
      <c r="E234" s="1">
        <f>IFERROR(__xludf.DUMMYFUNCTION("""COMPUTED_VALUE"""),274.73)</f>
        <v>274.73</v>
      </c>
      <c r="F234" s="1">
        <f>IFERROR(__xludf.DUMMYFUNCTION("""COMPUTED_VALUE"""),3.7780322E7)</f>
        <v>37780322</v>
      </c>
    </row>
    <row r="235">
      <c r="A235" s="2">
        <f>IFERROR(__xludf.DUMMYFUNCTION("""COMPUTED_VALUE"""),44690.66666666667)</f>
        <v>44690.66667</v>
      </c>
      <c r="B235" s="1">
        <f>IFERROR(__xludf.DUMMYFUNCTION("""COMPUTED_VALUE"""),270.06)</f>
        <v>270.06</v>
      </c>
      <c r="C235" s="1">
        <f>IFERROR(__xludf.DUMMYFUNCTION("""COMPUTED_VALUE"""),272.36)</f>
        <v>272.36</v>
      </c>
      <c r="D235" s="1">
        <f>IFERROR(__xludf.DUMMYFUNCTION("""COMPUTED_VALUE"""),263.32)</f>
        <v>263.32</v>
      </c>
      <c r="E235" s="1">
        <f>IFERROR(__xludf.DUMMYFUNCTION("""COMPUTED_VALUE"""),264.58)</f>
        <v>264.58</v>
      </c>
      <c r="F235" s="1">
        <f>IFERROR(__xludf.DUMMYFUNCTION("""COMPUTED_VALUE"""),4.7725952E7)</f>
        <v>47725952</v>
      </c>
    </row>
    <row r="236">
      <c r="A236" s="2">
        <f>IFERROR(__xludf.DUMMYFUNCTION("""COMPUTED_VALUE"""),44691.66666666667)</f>
        <v>44691.66667</v>
      </c>
      <c r="B236" s="1">
        <f>IFERROR(__xludf.DUMMYFUNCTION("""COMPUTED_VALUE"""),271.69)</f>
        <v>271.69</v>
      </c>
      <c r="C236" s="1">
        <f>IFERROR(__xludf.DUMMYFUNCTION("""COMPUTED_VALUE"""),273.75)</f>
        <v>273.75</v>
      </c>
      <c r="D236" s="1">
        <f>IFERROR(__xludf.DUMMYFUNCTION("""COMPUTED_VALUE"""),265.07)</f>
        <v>265.07</v>
      </c>
      <c r="E236" s="1">
        <f>IFERROR(__xludf.DUMMYFUNCTION("""COMPUTED_VALUE"""),269.5)</f>
        <v>269.5</v>
      </c>
      <c r="F236" s="1">
        <f>IFERROR(__xludf.DUMMYFUNCTION("""COMPUTED_VALUE"""),3.9336424E7)</f>
        <v>39336424</v>
      </c>
    </row>
    <row r="237">
      <c r="A237" s="2">
        <f>IFERROR(__xludf.DUMMYFUNCTION("""COMPUTED_VALUE"""),44692.66666666667)</f>
        <v>44692.66667</v>
      </c>
      <c r="B237" s="1">
        <f>IFERROR(__xludf.DUMMYFUNCTION("""COMPUTED_VALUE"""),265.68)</f>
        <v>265.68</v>
      </c>
      <c r="C237" s="1">
        <f>IFERROR(__xludf.DUMMYFUNCTION("""COMPUTED_VALUE"""),271.36)</f>
        <v>271.36</v>
      </c>
      <c r="D237" s="1">
        <f>IFERROR(__xludf.DUMMYFUNCTION("""COMPUTED_VALUE"""),259.3)</f>
        <v>259.3</v>
      </c>
      <c r="E237" s="1">
        <f>IFERROR(__xludf.DUMMYFUNCTION("""COMPUTED_VALUE"""),260.55)</f>
        <v>260.55</v>
      </c>
      <c r="F237" s="1">
        <f>IFERROR(__xludf.DUMMYFUNCTION("""COMPUTED_VALUE"""),4.8975898E7)</f>
        <v>48975898</v>
      </c>
    </row>
    <row r="238">
      <c r="A238" s="2">
        <f>IFERROR(__xludf.DUMMYFUNCTION("""COMPUTED_VALUE"""),44693.66666666667)</f>
        <v>44693.66667</v>
      </c>
      <c r="B238" s="1">
        <f>IFERROR(__xludf.DUMMYFUNCTION("""COMPUTED_VALUE"""),257.69)</f>
        <v>257.69</v>
      </c>
      <c r="C238" s="1">
        <f>IFERROR(__xludf.DUMMYFUNCTION("""COMPUTED_VALUE"""),259.88)</f>
        <v>259.88</v>
      </c>
      <c r="D238" s="1">
        <f>IFERROR(__xludf.DUMMYFUNCTION("""COMPUTED_VALUE"""),250.02)</f>
        <v>250.02</v>
      </c>
      <c r="E238" s="1">
        <f>IFERROR(__xludf.DUMMYFUNCTION("""COMPUTED_VALUE"""),255.35)</f>
        <v>255.35</v>
      </c>
      <c r="F238" s="1">
        <f>IFERROR(__xludf.DUMMYFUNCTION("""COMPUTED_VALUE"""),5.1033802E7)</f>
        <v>51033802</v>
      </c>
    </row>
    <row r="239">
      <c r="A239" s="2">
        <f>IFERROR(__xludf.DUMMYFUNCTION("""COMPUTED_VALUE"""),44694.66666666667)</f>
        <v>44694.66667</v>
      </c>
      <c r="B239" s="1">
        <f>IFERROR(__xludf.DUMMYFUNCTION("""COMPUTED_VALUE"""),257.35)</f>
        <v>257.35</v>
      </c>
      <c r="C239" s="1">
        <f>IFERROR(__xludf.DUMMYFUNCTION("""COMPUTED_VALUE"""),263.04)</f>
        <v>263.04</v>
      </c>
      <c r="D239" s="1">
        <f>IFERROR(__xludf.DUMMYFUNCTION("""COMPUTED_VALUE"""),255.35)</f>
        <v>255.35</v>
      </c>
      <c r="E239" s="1">
        <f>IFERROR(__xludf.DUMMYFUNCTION("""COMPUTED_VALUE"""),261.12)</f>
        <v>261.12</v>
      </c>
      <c r="F239" s="1">
        <f>IFERROR(__xludf.DUMMYFUNCTION("""COMPUTED_VALUE"""),3.4925093E7)</f>
        <v>34925093</v>
      </c>
    </row>
    <row r="240">
      <c r="A240" s="2">
        <f>IFERROR(__xludf.DUMMYFUNCTION("""COMPUTED_VALUE"""),44697.66666666667)</f>
        <v>44697.66667</v>
      </c>
      <c r="B240" s="1">
        <f>IFERROR(__xludf.DUMMYFUNCTION("""COMPUTED_VALUE"""),259.96)</f>
        <v>259.96</v>
      </c>
      <c r="C240" s="1">
        <f>IFERROR(__xludf.DUMMYFUNCTION("""COMPUTED_VALUE"""),265.82)</f>
        <v>265.82</v>
      </c>
      <c r="D240" s="1">
        <f>IFERROR(__xludf.DUMMYFUNCTION("""COMPUTED_VALUE"""),255.78)</f>
        <v>255.78</v>
      </c>
      <c r="E240" s="1">
        <f>IFERROR(__xludf.DUMMYFUNCTION("""COMPUTED_VALUE"""),261.5)</f>
        <v>261.5</v>
      </c>
      <c r="F240" s="1">
        <f>IFERROR(__xludf.DUMMYFUNCTION("""COMPUTED_VALUE"""),3.2550933E7)</f>
        <v>32550933</v>
      </c>
    </row>
    <row r="241">
      <c r="A241" s="2">
        <f>IFERROR(__xludf.DUMMYFUNCTION("""COMPUTED_VALUE"""),44698.66666666667)</f>
        <v>44698.66667</v>
      </c>
      <c r="B241" s="1">
        <f>IFERROR(__xludf.DUMMYFUNCTION("""COMPUTED_VALUE"""),266.11)</f>
        <v>266.11</v>
      </c>
      <c r="C241" s="1">
        <f>IFERROR(__xludf.DUMMYFUNCTION("""COMPUTED_VALUE"""),268.33)</f>
        <v>268.33</v>
      </c>
      <c r="D241" s="1">
        <f>IFERROR(__xludf.DUMMYFUNCTION("""COMPUTED_VALUE"""),262.46)</f>
        <v>262.46</v>
      </c>
      <c r="E241" s="1">
        <f>IFERROR(__xludf.DUMMYFUNCTION("""COMPUTED_VALUE"""),266.82)</f>
        <v>266.82</v>
      </c>
      <c r="F241" s="1">
        <f>IFERROR(__xludf.DUMMYFUNCTION("""COMPUTED_VALUE"""),2.8828799E7)</f>
        <v>28828799</v>
      </c>
    </row>
    <row r="242">
      <c r="A242" s="2">
        <f>IFERROR(__xludf.DUMMYFUNCTION("""COMPUTED_VALUE"""),44699.66666666667)</f>
        <v>44699.66667</v>
      </c>
      <c r="B242" s="1">
        <f>IFERROR(__xludf.DUMMYFUNCTION("""COMPUTED_VALUE"""),263.0)</f>
        <v>263</v>
      </c>
      <c r="C242" s="1">
        <f>IFERROR(__xludf.DUMMYFUNCTION("""COMPUTED_VALUE"""),263.6)</f>
        <v>263.6</v>
      </c>
      <c r="D242" s="1">
        <f>IFERROR(__xludf.DUMMYFUNCTION("""COMPUTED_VALUE"""),252.77)</f>
        <v>252.77</v>
      </c>
      <c r="E242" s="1">
        <f>IFERROR(__xludf.DUMMYFUNCTION("""COMPUTED_VALUE"""),254.08)</f>
        <v>254.08</v>
      </c>
      <c r="F242" s="1">
        <f>IFERROR(__xludf.DUMMYFUNCTION("""COMPUTED_VALUE"""),3.1355985E7)</f>
        <v>31355985</v>
      </c>
    </row>
    <row r="243">
      <c r="A243" s="2">
        <f>IFERROR(__xludf.DUMMYFUNCTION("""COMPUTED_VALUE"""),44700.66666666667)</f>
        <v>44700.66667</v>
      </c>
      <c r="B243" s="1">
        <f>IFERROR(__xludf.DUMMYFUNCTION("""COMPUTED_VALUE"""),253.9)</f>
        <v>253.9</v>
      </c>
      <c r="C243" s="1">
        <f>IFERROR(__xludf.DUMMYFUNCTION("""COMPUTED_VALUE"""),257.67)</f>
        <v>257.67</v>
      </c>
      <c r="D243" s="1">
        <f>IFERROR(__xludf.DUMMYFUNCTION("""COMPUTED_VALUE"""),251.88)</f>
        <v>251.88</v>
      </c>
      <c r="E243" s="1">
        <f>IFERROR(__xludf.DUMMYFUNCTION("""COMPUTED_VALUE"""),253.14)</f>
        <v>253.14</v>
      </c>
      <c r="F243" s="1">
        <f>IFERROR(__xludf.DUMMYFUNCTION("""COMPUTED_VALUE"""),3.2692286E7)</f>
        <v>32692286</v>
      </c>
    </row>
    <row r="244">
      <c r="A244" s="2">
        <f>IFERROR(__xludf.DUMMYFUNCTION("""COMPUTED_VALUE"""),44701.66666666667)</f>
        <v>44701.66667</v>
      </c>
      <c r="B244" s="1">
        <f>IFERROR(__xludf.DUMMYFUNCTION("""COMPUTED_VALUE"""),257.24)</f>
        <v>257.24</v>
      </c>
      <c r="C244" s="1">
        <f>IFERROR(__xludf.DUMMYFUNCTION("""COMPUTED_VALUE"""),258.54)</f>
        <v>258.54</v>
      </c>
      <c r="D244" s="1">
        <f>IFERROR(__xludf.DUMMYFUNCTION("""COMPUTED_VALUE"""),246.44)</f>
        <v>246.44</v>
      </c>
      <c r="E244" s="1">
        <f>IFERROR(__xludf.DUMMYFUNCTION("""COMPUTED_VALUE"""),252.56)</f>
        <v>252.56</v>
      </c>
      <c r="F244" s="1">
        <f>IFERROR(__xludf.DUMMYFUNCTION("""COMPUTED_VALUE"""),3.9199279E7)</f>
        <v>39199279</v>
      </c>
    </row>
    <row r="245">
      <c r="A245" s="2">
        <f>IFERROR(__xludf.DUMMYFUNCTION("""COMPUTED_VALUE"""),44704.66666666667)</f>
        <v>44704.66667</v>
      </c>
      <c r="B245" s="1">
        <f>IFERROR(__xludf.DUMMYFUNCTION("""COMPUTED_VALUE"""),255.49)</f>
        <v>255.49</v>
      </c>
      <c r="C245" s="1">
        <f>IFERROR(__xludf.DUMMYFUNCTION("""COMPUTED_VALUE"""),261.5)</f>
        <v>261.5</v>
      </c>
      <c r="D245" s="1">
        <f>IFERROR(__xludf.DUMMYFUNCTION("""COMPUTED_VALUE"""),253.43)</f>
        <v>253.43</v>
      </c>
      <c r="E245" s="1">
        <f>IFERROR(__xludf.DUMMYFUNCTION("""COMPUTED_VALUE"""),260.65)</f>
        <v>260.65</v>
      </c>
      <c r="F245" s="1">
        <f>IFERROR(__xludf.DUMMYFUNCTION("""COMPUTED_VALUE"""),3.3175379E7)</f>
        <v>33175379</v>
      </c>
    </row>
    <row r="246">
      <c r="A246" s="2">
        <f>IFERROR(__xludf.DUMMYFUNCTION("""COMPUTED_VALUE"""),44705.66666666667)</f>
        <v>44705.66667</v>
      </c>
      <c r="B246" s="1">
        <f>IFERROR(__xludf.DUMMYFUNCTION("""COMPUTED_VALUE"""),257.89)</f>
        <v>257.89</v>
      </c>
      <c r="C246" s="1">
        <f>IFERROR(__xludf.DUMMYFUNCTION("""COMPUTED_VALUE"""),261.33)</f>
        <v>261.33</v>
      </c>
      <c r="D246" s="1">
        <f>IFERROR(__xludf.DUMMYFUNCTION("""COMPUTED_VALUE"""),253.5)</f>
        <v>253.5</v>
      </c>
      <c r="E246" s="1">
        <f>IFERROR(__xludf.DUMMYFUNCTION("""COMPUTED_VALUE"""),259.62)</f>
        <v>259.62</v>
      </c>
      <c r="F246" s="1">
        <f>IFERROR(__xludf.DUMMYFUNCTION("""COMPUTED_VALUE"""),2.9043904E7)</f>
        <v>29043904</v>
      </c>
    </row>
    <row r="247">
      <c r="A247" s="2">
        <f>IFERROR(__xludf.DUMMYFUNCTION("""COMPUTED_VALUE"""),44706.66666666667)</f>
        <v>44706.66667</v>
      </c>
      <c r="B247" s="1">
        <f>IFERROR(__xludf.DUMMYFUNCTION("""COMPUTED_VALUE"""),258.14)</f>
        <v>258.14</v>
      </c>
      <c r="C247" s="1">
        <f>IFERROR(__xludf.DUMMYFUNCTION("""COMPUTED_VALUE"""),264.58)</f>
        <v>264.58</v>
      </c>
      <c r="D247" s="1">
        <f>IFERROR(__xludf.DUMMYFUNCTION("""COMPUTED_VALUE"""),257.13)</f>
        <v>257.13</v>
      </c>
      <c r="E247" s="1">
        <f>IFERROR(__xludf.DUMMYFUNCTION("""COMPUTED_VALUE"""),262.52)</f>
        <v>262.52</v>
      </c>
      <c r="F247" s="1">
        <f>IFERROR(__xludf.DUMMYFUNCTION("""COMPUTED_VALUE"""),2.8547947E7)</f>
        <v>28547947</v>
      </c>
    </row>
    <row r="248">
      <c r="A248" s="2">
        <f>IFERROR(__xludf.DUMMYFUNCTION("""COMPUTED_VALUE"""),44707.66666666667)</f>
        <v>44707.66667</v>
      </c>
      <c r="B248" s="1">
        <f>IFERROR(__xludf.DUMMYFUNCTION("""COMPUTED_VALUE"""),262.27)</f>
        <v>262.27</v>
      </c>
      <c r="C248" s="1">
        <f>IFERROR(__xludf.DUMMYFUNCTION("""COMPUTED_VALUE"""),267.11)</f>
        <v>267.11</v>
      </c>
      <c r="D248" s="1">
        <f>IFERROR(__xludf.DUMMYFUNCTION("""COMPUTED_VALUE"""),261.43)</f>
        <v>261.43</v>
      </c>
      <c r="E248" s="1">
        <f>IFERROR(__xludf.DUMMYFUNCTION("""COMPUTED_VALUE"""),265.9)</f>
        <v>265.9</v>
      </c>
      <c r="F248" s="1">
        <f>IFERROR(__xludf.DUMMYFUNCTION("""COMPUTED_VALUE"""),2.5002105E7)</f>
        <v>25002105</v>
      </c>
    </row>
    <row r="249">
      <c r="A249" s="2">
        <f>IFERROR(__xludf.DUMMYFUNCTION("""COMPUTED_VALUE"""),44708.66666666667)</f>
        <v>44708.66667</v>
      </c>
      <c r="B249" s="1">
        <f>IFERROR(__xludf.DUMMYFUNCTION("""COMPUTED_VALUE"""),268.48)</f>
        <v>268.48</v>
      </c>
      <c r="C249" s="1">
        <f>IFERROR(__xludf.DUMMYFUNCTION("""COMPUTED_VALUE"""),273.34)</f>
        <v>273.34</v>
      </c>
      <c r="D249" s="1">
        <f>IFERROR(__xludf.DUMMYFUNCTION("""COMPUTED_VALUE"""),267.56)</f>
        <v>267.56</v>
      </c>
      <c r="E249" s="1">
        <f>IFERROR(__xludf.DUMMYFUNCTION("""COMPUTED_VALUE"""),273.24)</f>
        <v>273.24</v>
      </c>
      <c r="F249" s="1">
        <f>IFERROR(__xludf.DUMMYFUNCTION("""COMPUTED_VALUE"""),2.6910806E7)</f>
        <v>26910806</v>
      </c>
    </row>
    <row r="250">
      <c r="A250" s="2">
        <f>IFERROR(__xludf.DUMMYFUNCTION("""COMPUTED_VALUE"""),44712.66666666667)</f>
        <v>44712.66667</v>
      </c>
      <c r="B250" s="1">
        <f>IFERROR(__xludf.DUMMYFUNCTION("""COMPUTED_VALUE"""),272.53)</f>
        <v>272.53</v>
      </c>
      <c r="C250" s="1">
        <f>IFERROR(__xludf.DUMMYFUNCTION("""COMPUTED_VALUE"""),274.77)</f>
        <v>274.77</v>
      </c>
      <c r="D250" s="1">
        <f>IFERROR(__xludf.DUMMYFUNCTION("""COMPUTED_VALUE"""),268.93)</f>
        <v>268.93</v>
      </c>
      <c r="E250" s="1">
        <f>IFERROR(__xludf.DUMMYFUNCTION("""COMPUTED_VALUE"""),271.87)</f>
        <v>271.87</v>
      </c>
      <c r="F250" s="1">
        <f>IFERROR(__xludf.DUMMYFUNCTION("""COMPUTED_VALUE"""),3.7827695E7)</f>
        <v>37827695</v>
      </c>
    </row>
    <row r="251">
      <c r="A251" s="2">
        <f>IFERROR(__xludf.DUMMYFUNCTION("""COMPUTED_VALUE"""),44713.66666666667)</f>
        <v>44713.66667</v>
      </c>
      <c r="B251" s="1">
        <f>IFERROR(__xludf.DUMMYFUNCTION("""COMPUTED_VALUE"""),275.2)</f>
        <v>275.2</v>
      </c>
      <c r="C251" s="1">
        <f>IFERROR(__xludf.DUMMYFUNCTION("""COMPUTED_VALUE"""),277.69)</f>
        <v>277.69</v>
      </c>
      <c r="D251" s="1">
        <f>IFERROR(__xludf.DUMMYFUNCTION("""COMPUTED_VALUE"""),270.04)</f>
        <v>270.04</v>
      </c>
      <c r="E251" s="1">
        <f>IFERROR(__xludf.DUMMYFUNCTION("""COMPUTED_VALUE"""),272.42)</f>
        <v>272.42</v>
      </c>
      <c r="F251" s="1">
        <f>IFERROR(__xludf.DUMMYFUNCTION("""COMPUTED_VALUE"""),2.5292174E7)</f>
        <v>25292174</v>
      </c>
    </row>
    <row r="252">
      <c r="A252" s="2">
        <f>IFERROR(__xludf.DUMMYFUNCTION("""COMPUTED_VALUE"""),44714.66666666667)</f>
        <v>44714.66667</v>
      </c>
      <c r="B252" s="1">
        <f>IFERROR(__xludf.DUMMYFUNCTION("""COMPUTED_VALUE"""),264.45)</f>
        <v>264.45</v>
      </c>
      <c r="C252" s="1">
        <f>IFERROR(__xludf.DUMMYFUNCTION("""COMPUTED_VALUE"""),274.65)</f>
        <v>274.65</v>
      </c>
      <c r="D252" s="1">
        <f>IFERROR(__xludf.DUMMYFUNCTION("""COMPUTED_VALUE"""),261.6)</f>
        <v>261.6</v>
      </c>
      <c r="E252" s="1">
        <f>IFERROR(__xludf.DUMMYFUNCTION("""COMPUTED_VALUE"""),274.58)</f>
        <v>274.58</v>
      </c>
      <c r="F252" s="1">
        <f>IFERROR(__xludf.DUMMYFUNCTION("""COMPUTED_VALUE"""),4.4008209E7)</f>
        <v>44008209</v>
      </c>
    </row>
    <row r="253">
      <c r="A253" s="2">
        <f>IFERROR(__xludf.DUMMYFUNCTION("""COMPUTED_VALUE"""),44715.66666666667)</f>
        <v>44715.66667</v>
      </c>
      <c r="B253" s="1">
        <f>IFERROR(__xludf.DUMMYFUNCTION("""COMPUTED_VALUE"""),270.31)</f>
        <v>270.31</v>
      </c>
      <c r="C253" s="1">
        <f>IFERROR(__xludf.DUMMYFUNCTION("""COMPUTED_VALUE"""),273.45)</f>
        <v>273.45</v>
      </c>
      <c r="D253" s="1">
        <f>IFERROR(__xludf.DUMMYFUNCTION("""COMPUTED_VALUE"""),268.41)</f>
        <v>268.41</v>
      </c>
      <c r="E253" s="1">
        <f>IFERROR(__xludf.DUMMYFUNCTION("""COMPUTED_VALUE"""),270.02)</f>
        <v>270.02</v>
      </c>
      <c r="F253" s="1">
        <f>IFERROR(__xludf.DUMMYFUNCTION("""COMPUTED_VALUE"""),2.8058958E7)</f>
        <v>28058958</v>
      </c>
    </row>
    <row r="254">
      <c r="A254" s="2">
        <f>IFERROR(__xludf.DUMMYFUNCTION("""COMPUTED_VALUE"""),44718.66666666667)</f>
        <v>44718.66667</v>
      </c>
      <c r="B254" s="1">
        <f>IFERROR(__xludf.DUMMYFUNCTION("""COMPUTED_VALUE"""),272.06)</f>
        <v>272.06</v>
      </c>
      <c r="C254" s="1">
        <f>IFERROR(__xludf.DUMMYFUNCTION("""COMPUTED_VALUE"""),274.18)</f>
        <v>274.18</v>
      </c>
      <c r="D254" s="1">
        <f>IFERROR(__xludf.DUMMYFUNCTION("""COMPUTED_VALUE"""),267.22)</f>
        <v>267.22</v>
      </c>
      <c r="E254" s="1">
        <f>IFERROR(__xludf.DUMMYFUNCTION("""COMPUTED_VALUE"""),268.75)</f>
        <v>268.75</v>
      </c>
      <c r="F254" s="1">
        <f>IFERROR(__xludf.DUMMYFUNCTION("""COMPUTED_VALUE"""),2.2400342E7)</f>
        <v>22400342</v>
      </c>
    </row>
    <row r="255">
      <c r="A255" s="2">
        <f>IFERROR(__xludf.DUMMYFUNCTION("""COMPUTED_VALUE"""),44719.66666666667)</f>
        <v>44719.66667</v>
      </c>
      <c r="B255" s="1">
        <f>IFERROR(__xludf.DUMMYFUNCTION("""COMPUTED_VALUE"""),266.64)</f>
        <v>266.64</v>
      </c>
      <c r="C255" s="1">
        <f>IFERROR(__xludf.DUMMYFUNCTION("""COMPUTED_VALUE"""),273.13)</f>
        <v>273.13</v>
      </c>
      <c r="D255" s="1">
        <f>IFERROR(__xludf.DUMMYFUNCTION("""COMPUTED_VALUE"""),265.94)</f>
        <v>265.94</v>
      </c>
      <c r="E255" s="1">
        <f>IFERROR(__xludf.DUMMYFUNCTION("""COMPUTED_VALUE"""),272.5)</f>
        <v>272.5</v>
      </c>
      <c r="F255" s="1">
        <f>IFERROR(__xludf.DUMMYFUNCTION("""COMPUTED_VALUE"""),2.2860677E7)</f>
        <v>22860677</v>
      </c>
    </row>
    <row r="256">
      <c r="A256" s="2">
        <f>IFERROR(__xludf.DUMMYFUNCTION("""COMPUTED_VALUE"""),44720.66666666667)</f>
        <v>44720.66667</v>
      </c>
      <c r="B256" s="1">
        <f>IFERROR(__xludf.DUMMYFUNCTION("""COMPUTED_VALUE"""),271.71)</f>
        <v>271.71</v>
      </c>
      <c r="C256" s="1">
        <f>IFERROR(__xludf.DUMMYFUNCTION("""COMPUTED_VALUE"""),273.0)</f>
        <v>273</v>
      </c>
      <c r="D256" s="1">
        <f>IFERROR(__xludf.DUMMYFUNCTION("""COMPUTED_VALUE"""),269.61)</f>
        <v>269.61</v>
      </c>
      <c r="E256" s="1">
        <f>IFERROR(__xludf.DUMMYFUNCTION("""COMPUTED_VALUE"""),270.41)</f>
        <v>270.41</v>
      </c>
      <c r="F256" s="1">
        <f>IFERROR(__xludf.DUMMYFUNCTION("""COMPUTED_VALUE"""),1.7372341E7)</f>
        <v>17372341</v>
      </c>
    </row>
    <row r="257">
      <c r="A257" s="2">
        <f>IFERROR(__xludf.DUMMYFUNCTION("""COMPUTED_VALUE"""),44721.66666666667)</f>
        <v>44721.66667</v>
      </c>
      <c r="B257" s="1">
        <f>IFERROR(__xludf.DUMMYFUNCTION("""COMPUTED_VALUE"""),267.78)</f>
        <v>267.78</v>
      </c>
      <c r="C257" s="1">
        <f>IFERROR(__xludf.DUMMYFUNCTION("""COMPUTED_VALUE"""),272.71)</f>
        <v>272.71</v>
      </c>
      <c r="D257" s="1">
        <f>IFERROR(__xludf.DUMMYFUNCTION("""COMPUTED_VALUE"""),264.63)</f>
        <v>264.63</v>
      </c>
      <c r="E257" s="1">
        <f>IFERROR(__xludf.DUMMYFUNCTION("""COMPUTED_VALUE"""),264.79)</f>
        <v>264.79</v>
      </c>
      <c r="F257" s="1">
        <f>IFERROR(__xludf.DUMMYFUNCTION("""COMPUTED_VALUE"""),2.6439728E7)</f>
        <v>26439728</v>
      </c>
    </row>
    <row r="258">
      <c r="A258" s="2">
        <f>IFERROR(__xludf.DUMMYFUNCTION("""COMPUTED_VALUE"""),44722.66666666667)</f>
        <v>44722.66667</v>
      </c>
      <c r="B258" s="1">
        <f>IFERROR(__xludf.DUMMYFUNCTION("""COMPUTED_VALUE"""),260.58)</f>
        <v>260.58</v>
      </c>
      <c r="C258" s="1">
        <f>IFERROR(__xludf.DUMMYFUNCTION("""COMPUTED_VALUE"""),260.58)</f>
        <v>260.58</v>
      </c>
      <c r="D258" s="1">
        <f>IFERROR(__xludf.DUMMYFUNCTION("""COMPUTED_VALUE"""),252.53)</f>
        <v>252.53</v>
      </c>
      <c r="E258" s="1">
        <f>IFERROR(__xludf.DUMMYFUNCTION("""COMPUTED_VALUE"""),252.99)</f>
        <v>252.99</v>
      </c>
      <c r="F258" s="1">
        <f>IFERROR(__xludf.DUMMYFUNCTION("""COMPUTED_VALUE"""),3.1445841E7)</f>
        <v>31445841</v>
      </c>
    </row>
    <row r="259">
      <c r="A259" s="2">
        <f>IFERROR(__xludf.DUMMYFUNCTION("""COMPUTED_VALUE"""),44725.66666666667)</f>
        <v>44725.66667</v>
      </c>
      <c r="B259" s="1">
        <f>IFERROR(__xludf.DUMMYFUNCTION("""COMPUTED_VALUE"""),245.11)</f>
        <v>245.11</v>
      </c>
      <c r="C259" s="1">
        <f>IFERROR(__xludf.DUMMYFUNCTION("""COMPUTED_VALUE"""),249.02)</f>
        <v>249.02</v>
      </c>
      <c r="D259" s="1">
        <f>IFERROR(__xludf.DUMMYFUNCTION("""COMPUTED_VALUE"""),241.53)</f>
        <v>241.53</v>
      </c>
      <c r="E259" s="1">
        <f>IFERROR(__xludf.DUMMYFUNCTION("""COMPUTED_VALUE"""),242.26)</f>
        <v>242.26</v>
      </c>
      <c r="F259" s="1">
        <f>IFERROR(__xludf.DUMMYFUNCTION("""COMPUTED_VALUE"""),4.6135788E7)</f>
        <v>46135788</v>
      </c>
    </row>
    <row r="260">
      <c r="A260" s="2">
        <f>IFERROR(__xludf.DUMMYFUNCTION("""COMPUTED_VALUE"""),44726.66666666667)</f>
        <v>44726.66667</v>
      </c>
      <c r="B260" s="1">
        <f>IFERROR(__xludf.DUMMYFUNCTION("""COMPUTED_VALUE"""),243.86)</f>
        <v>243.86</v>
      </c>
      <c r="C260" s="1">
        <f>IFERROR(__xludf.DUMMYFUNCTION("""COMPUTED_VALUE"""),245.74)</f>
        <v>245.74</v>
      </c>
      <c r="D260" s="1">
        <f>IFERROR(__xludf.DUMMYFUNCTION("""COMPUTED_VALUE"""),241.51)</f>
        <v>241.51</v>
      </c>
      <c r="E260" s="1">
        <f>IFERROR(__xludf.DUMMYFUNCTION("""COMPUTED_VALUE"""),244.49)</f>
        <v>244.49</v>
      </c>
      <c r="F260" s="1">
        <f>IFERROR(__xludf.DUMMYFUNCTION("""COMPUTED_VALUE"""),2.8651487E7)</f>
        <v>28651487</v>
      </c>
    </row>
    <row r="261">
      <c r="A261" s="2">
        <f>IFERROR(__xludf.DUMMYFUNCTION("""COMPUTED_VALUE"""),44727.66666666667)</f>
        <v>44727.66667</v>
      </c>
      <c r="B261" s="1">
        <f>IFERROR(__xludf.DUMMYFUNCTION("""COMPUTED_VALUE"""),248.31)</f>
        <v>248.31</v>
      </c>
      <c r="C261" s="1">
        <f>IFERROR(__xludf.DUMMYFUNCTION("""COMPUTED_VALUE"""),255.3)</f>
        <v>255.3</v>
      </c>
      <c r="D261" s="1">
        <f>IFERROR(__xludf.DUMMYFUNCTION("""COMPUTED_VALUE"""),246.42)</f>
        <v>246.42</v>
      </c>
      <c r="E261" s="1">
        <f>IFERROR(__xludf.DUMMYFUNCTION("""COMPUTED_VALUE"""),251.76)</f>
        <v>251.76</v>
      </c>
      <c r="F261" s="1">
        <f>IFERROR(__xludf.DUMMYFUNCTION("""COMPUTED_VALUE"""),3.3111729E7)</f>
        <v>33111729</v>
      </c>
    </row>
    <row r="262">
      <c r="A262" s="2">
        <f>IFERROR(__xludf.DUMMYFUNCTION("""COMPUTED_VALUE"""),44728.66666666667)</f>
        <v>44728.66667</v>
      </c>
      <c r="B262" s="1">
        <f>IFERROR(__xludf.DUMMYFUNCTION("""COMPUTED_VALUE"""),245.98)</f>
        <v>245.98</v>
      </c>
      <c r="C262" s="1">
        <f>IFERROR(__xludf.DUMMYFUNCTION("""COMPUTED_VALUE"""),247.42)</f>
        <v>247.42</v>
      </c>
      <c r="D262" s="1">
        <f>IFERROR(__xludf.DUMMYFUNCTION("""COMPUTED_VALUE"""),243.02)</f>
        <v>243.02</v>
      </c>
      <c r="E262" s="1">
        <f>IFERROR(__xludf.DUMMYFUNCTION("""COMPUTED_VALUE"""),244.97)</f>
        <v>244.97</v>
      </c>
      <c r="F262" s="1">
        <f>IFERROR(__xludf.DUMMYFUNCTION("""COMPUTED_VALUE"""),3.316916E7)</f>
        <v>33169160</v>
      </c>
    </row>
    <row r="263">
      <c r="A263" s="2">
        <f>IFERROR(__xludf.DUMMYFUNCTION("""COMPUTED_VALUE"""),44729.66666666667)</f>
        <v>44729.66667</v>
      </c>
      <c r="B263" s="1">
        <f>IFERROR(__xludf.DUMMYFUNCTION("""COMPUTED_VALUE"""),244.7)</f>
        <v>244.7</v>
      </c>
      <c r="C263" s="1">
        <f>IFERROR(__xludf.DUMMYFUNCTION("""COMPUTED_VALUE"""),250.5)</f>
        <v>250.5</v>
      </c>
      <c r="D263" s="1">
        <f>IFERROR(__xludf.DUMMYFUNCTION("""COMPUTED_VALUE"""),244.03)</f>
        <v>244.03</v>
      </c>
      <c r="E263" s="1">
        <f>IFERROR(__xludf.DUMMYFUNCTION("""COMPUTED_VALUE"""),247.65)</f>
        <v>247.65</v>
      </c>
      <c r="F263" s="1">
        <f>IFERROR(__xludf.DUMMYFUNCTION("""COMPUTED_VALUE"""),4.308478E7)</f>
        <v>43084780</v>
      </c>
    </row>
    <row r="264">
      <c r="A264" s="2">
        <f>IFERROR(__xludf.DUMMYFUNCTION("""COMPUTED_VALUE"""),44733.66666666667)</f>
        <v>44733.66667</v>
      </c>
      <c r="B264" s="1">
        <f>IFERROR(__xludf.DUMMYFUNCTION("""COMPUTED_VALUE"""),250.26)</f>
        <v>250.26</v>
      </c>
      <c r="C264" s="1">
        <f>IFERROR(__xludf.DUMMYFUNCTION("""COMPUTED_VALUE"""),254.75)</f>
        <v>254.75</v>
      </c>
      <c r="D264" s="1">
        <f>IFERROR(__xludf.DUMMYFUNCTION("""COMPUTED_VALUE"""),249.51)</f>
        <v>249.51</v>
      </c>
      <c r="E264" s="1">
        <f>IFERROR(__xludf.DUMMYFUNCTION("""COMPUTED_VALUE"""),253.74)</f>
        <v>253.74</v>
      </c>
      <c r="F264" s="1">
        <f>IFERROR(__xludf.DUMMYFUNCTION("""COMPUTED_VALUE"""),2.9928297E7)</f>
        <v>29928297</v>
      </c>
    </row>
    <row r="265">
      <c r="A265" s="2">
        <f>IFERROR(__xludf.DUMMYFUNCTION("""COMPUTED_VALUE"""),44734.66666666667)</f>
        <v>44734.66667</v>
      </c>
      <c r="B265" s="1">
        <f>IFERROR(__xludf.DUMMYFUNCTION("""COMPUTED_VALUE"""),251.89)</f>
        <v>251.89</v>
      </c>
      <c r="C265" s="1">
        <f>IFERROR(__xludf.DUMMYFUNCTION("""COMPUTED_VALUE"""),257.17)</f>
        <v>257.17</v>
      </c>
      <c r="D265" s="1">
        <f>IFERROR(__xludf.DUMMYFUNCTION("""COMPUTED_VALUE"""),250.37)</f>
        <v>250.37</v>
      </c>
      <c r="E265" s="1">
        <f>IFERROR(__xludf.DUMMYFUNCTION("""COMPUTED_VALUE"""),253.13)</f>
        <v>253.13</v>
      </c>
      <c r="F265" s="1">
        <f>IFERROR(__xludf.DUMMYFUNCTION("""COMPUTED_VALUE"""),2.5961215E7)</f>
        <v>25961215</v>
      </c>
    </row>
    <row r="266">
      <c r="A266" s="2">
        <f>IFERROR(__xludf.DUMMYFUNCTION("""COMPUTED_VALUE"""),44735.66666666667)</f>
        <v>44735.66667</v>
      </c>
      <c r="B266" s="1">
        <f>IFERROR(__xludf.DUMMYFUNCTION("""COMPUTED_VALUE"""),255.57)</f>
        <v>255.57</v>
      </c>
      <c r="C266" s="1">
        <f>IFERROR(__xludf.DUMMYFUNCTION("""COMPUTED_VALUE"""),259.37)</f>
        <v>259.37</v>
      </c>
      <c r="D266" s="1">
        <f>IFERROR(__xludf.DUMMYFUNCTION("""COMPUTED_VALUE"""),253.63)</f>
        <v>253.63</v>
      </c>
      <c r="E266" s="1">
        <f>IFERROR(__xludf.DUMMYFUNCTION("""COMPUTED_VALUE"""),258.86)</f>
        <v>258.86</v>
      </c>
      <c r="F266" s="1">
        <f>IFERROR(__xludf.DUMMYFUNCTION("""COMPUTED_VALUE"""),2.5861449E7)</f>
        <v>25861449</v>
      </c>
    </row>
    <row r="267">
      <c r="A267" s="2">
        <f>IFERROR(__xludf.DUMMYFUNCTION("""COMPUTED_VALUE"""),44736.66666666667)</f>
        <v>44736.66667</v>
      </c>
      <c r="B267" s="1">
        <f>IFERROR(__xludf.DUMMYFUNCTION("""COMPUTED_VALUE"""),261.81)</f>
        <v>261.81</v>
      </c>
      <c r="C267" s="1">
        <f>IFERROR(__xludf.DUMMYFUNCTION("""COMPUTED_VALUE"""),267.98)</f>
        <v>267.98</v>
      </c>
      <c r="D267" s="1">
        <f>IFERROR(__xludf.DUMMYFUNCTION("""COMPUTED_VALUE"""),261.72)</f>
        <v>261.72</v>
      </c>
      <c r="E267" s="1">
        <f>IFERROR(__xludf.DUMMYFUNCTION("""COMPUTED_VALUE"""),267.7)</f>
        <v>267.7</v>
      </c>
      <c r="F267" s="1">
        <f>IFERROR(__xludf.DUMMYFUNCTION("""COMPUTED_VALUE"""),3.3923231E7)</f>
        <v>33923231</v>
      </c>
    </row>
    <row r="268">
      <c r="A268" s="2">
        <f>IFERROR(__xludf.DUMMYFUNCTION("""COMPUTED_VALUE"""),44739.66666666667)</f>
        <v>44739.66667</v>
      </c>
      <c r="B268" s="1">
        <f>IFERROR(__xludf.DUMMYFUNCTION("""COMPUTED_VALUE"""),268.21)</f>
        <v>268.21</v>
      </c>
      <c r="C268" s="1">
        <f>IFERROR(__xludf.DUMMYFUNCTION("""COMPUTED_VALUE"""),268.3)</f>
        <v>268.3</v>
      </c>
      <c r="D268" s="1">
        <f>IFERROR(__xludf.DUMMYFUNCTION("""COMPUTED_VALUE"""),263.28)</f>
        <v>263.28</v>
      </c>
      <c r="E268" s="1">
        <f>IFERROR(__xludf.DUMMYFUNCTION("""COMPUTED_VALUE"""),264.89)</f>
        <v>264.89</v>
      </c>
      <c r="F268" s="1">
        <f>IFERROR(__xludf.DUMMYFUNCTION("""COMPUTED_VALUE"""),2.4615114E7)</f>
        <v>24615114</v>
      </c>
    </row>
    <row r="269">
      <c r="A269" s="2">
        <f>IFERROR(__xludf.DUMMYFUNCTION("""COMPUTED_VALUE"""),44740.66666666667)</f>
        <v>44740.66667</v>
      </c>
      <c r="B269" s="1">
        <f>IFERROR(__xludf.DUMMYFUNCTION("""COMPUTED_VALUE"""),263.98)</f>
        <v>263.98</v>
      </c>
      <c r="C269" s="1">
        <f>IFERROR(__xludf.DUMMYFUNCTION("""COMPUTED_VALUE"""),266.91)</f>
        <v>266.91</v>
      </c>
      <c r="D269" s="1">
        <f>IFERROR(__xludf.DUMMYFUNCTION("""COMPUTED_VALUE"""),256.32)</f>
        <v>256.32</v>
      </c>
      <c r="E269" s="1">
        <f>IFERROR(__xludf.DUMMYFUNCTION("""COMPUTED_VALUE"""),256.48)</f>
        <v>256.48</v>
      </c>
      <c r="F269" s="1">
        <f>IFERROR(__xludf.DUMMYFUNCTION("""COMPUTED_VALUE"""),2.7380247E7)</f>
        <v>27380247</v>
      </c>
    </row>
    <row r="270">
      <c r="A270" s="2">
        <f>IFERROR(__xludf.DUMMYFUNCTION("""COMPUTED_VALUE"""),44741.66666666667)</f>
        <v>44741.66667</v>
      </c>
      <c r="B270" s="1">
        <f>IFERROR(__xludf.DUMMYFUNCTION("""COMPUTED_VALUE"""),257.59)</f>
        <v>257.59</v>
      </c>
      <c r="C270" s="1">
        <f>IFERROR(__xludf.DUMMYFUNCTION("""COMPUTED_VALUE"""),261.97)</f>
        <v>261.97</v>
      </c>
      <c r="D270" s="1">
        <f>IFERROR(__xludf.DUMMYFUNCTION("""COMPUTED_VALUE"""),255.76)</f>
        <v>255.76</v>
      </c>
      <c r="E270" s="1">
        <f>IFERROR(__xludf.DUMMYFUNCTION("""COMPUTED_VALUE"""),260.26)</f>
        <v>260.26</v>
      </c>
      <c r="F270" s="1">
        <f>IFERROR(__xludf.DUMMYFUNCTION("""COMPUTED_VALUE"""),2.0069839E7)</f>
        <v>20069839</v>
      </c>
    </row>
    <row r="271">
      <c r="A271" s="2">
        <f>IFERROR(__xludf.DUMMYFUNCTION("""COMPUTED_VALUE"""),44742.66666666667)</f>
        <v>44742.66667</v>
      </c>
      <c r="B271" s="1">
        <f>IFERROR(__xludf.DUMMYFUNCTION("""COMPUTED_VALUE"""),257.05)</f>
        <v>257.05</v>
      </c>
      <c r="C271" s="1">
        <f>IFERROR(__xludf.DUMMYFUNCTION("""COMPUTED_VALUE"""),259.53)</f>
        <v>259.53</v>
      </c>
      <c r="D271" s="1">
        <f>IFERROR(__xludf.DUMMYFUNCTION("""COMPUTED_VALUE"""),252.9)</f>
        <v>252.9</v>
      </c>
      <c r="E271" s="1">
        <f>IFERROR(__xludf.DUMMYFUNCTION("""COMPUTED_VALUE"""),256.83)</f>
        <v>256.83</v>
      </c>
      <c r="F271" s="1">
        <f>IFERROR(__xludf.DUMMYFUNCTION("""COMPUTED_VALUE"""),3.1730868E7)</f>
        <v>31730868</v>
      </c>
    </row>
    <row r="272">
      <c r="A272" s="2">
        <f>IFERROR(__xludf.DUMMYFUNCTION("""COMPUTED_VALUE"""),44743.66666666667)</f>
        <v>44743.66667</v>
      </c>
      <c r="B272" s="1">
        <f>IFERROR(__xludf.DUMMYFUNCTION("""COMPUTED_VALUE"""),256.39)</f>
        <v>256.39</v>
      </c>
      <c r="C272" s="1">
        <f>IFERROR(__xludf.DUMMYFUNCTION("""COMPUTED_VALUE"""),259.77)</f>
        <v>259.77</v>
      </c>
      <c r="D272" s="1">
        <f>IFERROR(__xludf.DUMMYFUNCTION("""COMPUTED_VALUE"""),254.61)</f>
        <v>254.61</v>
      </c>
      <c r="E272" s="1">
        <f>IFERROR(__xludf.DUMMYFUNCTION("""COMPUTED_VALUE"""),259.58)</f>
        <v>259.58</v>
      </c>
      <c r="F272" s="1">
        <f>IFERROR(__xludf.DUMMYFUNCTION("""COMPUTED_VALUE"""),2.2837692E7)</f>
        <v>22837692</v>
      </c>
    </row>
    <row r="273">
      <c r="A273" s="2">
        <f>IFERROR(__xludf.DUMMYFUNCTION("""COMPUTED_VALUE"""),44747.66666666667)</f>
        <v>44747.66667</v>
      </c>
      <c r="B273" s="1">
        <f>IFERROR(__xludf.DUMMYFUNCTION("""COMPUTED_VALUE"""),256.16)</f>
        <v>256.16</v>
      </c>
      <c r="C273" s="1">
        <f>IFERROR(__xludf.DUMMYFUNCTION("""COMPUTED_VALUE"""),262.98)</f>
        <v>262.98</v>
      </c>
      <c r="D273" s="1">
        <f>IFERROR(__xludf.DUMMYFUNCTION("""COMPUTED_VALUE"""),254.74)</f>
        <v>254.74</v>
      </c>
      <c r="E273" s="1">
        <f>IFERROR(__xludf.DUMMYFUNCTION("""COMPUTED_VALUE"""),262.85)</f>
        <v>262.85</v>
      </c>
      <c r="F273" s="1">
        <f>IFERROR(__xludf.DUMMYFUNCTION("""COMPUTED_VALUE"""),2.2971634E7)</f>
        <v>22971634</v>
      </c>
    </row>
    <row r="274">
      <c r="A274" s="2">
        <f>IFERROR(__xludf.DUMMYFUNCTION("""COMPUTED_VALUE"""),44748.66666666667)</f>
        <v>44748.66667</v>
      </c>
      <c r="B274" s="1">
        <f>IFERROR(__xludf.DUMMYFUNCTION("""COMPUTED_VALUE"""),263.75)</f>
        <v>263.75</v>
      </c>
      <c r="C274" s="1">
        <f>IFERROR(__xludf.DUMMYFUNCTION("""COMPUTED_VALUE"""),267.99)</f>
        <v>267.99</v>
      </c>
      <c r="D274" s="1">
        <f>IFERROR(__xludf.DUMMYFUNCTION("""COMPUTED_VALUE"""),262.4)</f>
        <v>262.4</v>
      </c>
      <c r="E274" s="1">
        <f>IFERROR(__xludf.DUMMYFUNCTION("""COMPUTED_VALUE"""),266.21)</f>
        <v>266.21</v>
      </c>
      <c r="F274" s="1">
        <f>IFERROR(__xludf.DUMMYFUNCTION("""COMPUTED_VALUE"""),2.3824419E7)</f>
        <v>23824419</v>
      </c>
    </row>
    <row r="275">
      <c r="A275" s="2">
        <f>IFERROR(__xludf.DUMMYFUNCTION("""COMPUTED_VALUE"""),44749.66666666667)</f>
        <v>44749.66667</v>
      </c>
      <c r="B275" s="1">
        <f>IFERROR(__xludf.DUMMYFUNCTION("""COMPUTED_VALUE"""),265.12)</f>
        <v>265.12</v>
      </c>
      <c r="C275" s="1">
        <f>IFERROR(__xludf.DUMMYFUNCTION("""COMPUTED_VALUE"""),269.06)</f>
        <v>269.06</v>
      </c>
      <c r="D275" s="1">
        <f>IFERROR(__xludf.DUMMYFUNCTION("""COMPUTED_VALUE"""),265.02)</f>
        <v>265.02</v>
      </c>
      <c r="E275" s="1">
        <f>IFERROR(__xludf.DUMMYFUNCTION("""COMPUTED_VALUE"""),268.4)</f>
        <v>268.4</v>
      </c>
      <c r="F275" s="1">
        <f>IFERROR(__xludf.DUMMYFUNCTION("""COMPUTED_VALUE"""),2.0859874E7)</f>
        <v>20859874</v>
      </c>
    </row>
    <row r="276">
      <c r="A276" s="2">
        <f>IFERROR(__xludf.DUMMYFUNCTION("""COMPUTED_VALUE"""),44750.66666666667)</f>
        <v>44750.66667</v>
      </c>
      <c r="B276" s="1">
        <f>IFERROR(__xludf.DUMMYFUNCTION("""COMPUTED_VALUE"""),264.79)</f>
        <v>264.79</v>
      </c>
      <c r="C276" s="1">
        <f>IFERROR(__xludf.DUMMYFUNCTION("""COMPUTED_VALUE"""),268.1)</f>
        <v>268.1</v>
      </c>
      <c r="D276" s="1">
        <f>IFERROR(__xludf.DUMMYFUNCTION("""COMPUTED_VALUE"""),263.29)</f>
        <v>263.29</v>
      </c>
      <c r="E276" s="1">
        <f>IFERROR(__xludf.DUMMYFUNCTION("""COMPUTED_VALUE"""),267.66)</f>
        <v>267.66</v>
      </c>
      <c r="F276" s="1">
        <f>IFERROR(__xludf.DUMMYFUNCTION("""COMPUTED_VALUE"""),1.9658751E7)</f>
        <v>19658751</v>
      </c>
    </row>
    <row r="277">
      <c r="A277" s="2">
        <f>IFERROR(__xludf.DUMMYFUNCTION("""COMPUTED_VALUE"""),44753.66666666667)</f>
        <v>44753.66667</v>
      </c>
      <c r="B277" s="1">
        <f>IFERROR(__xludf.DUMMYFUNCTION("""COMPUTED_VALUE"""),265.65)</f>
        <v>265.65</v>
      </c>
      <c r="C277" s="1">
        <f>IFERROR(__xludf.DUMMYFUNCTION("""COMPUTED_VALUE"""),266.53)</f>
        <v>266.53</v>
      </c>
      <c r="D277" s="1">
        <f>IFERROR(__xludf.DUMMYFUNCTION("""COMPUTED_VALUE"""),262.18)</f>
        <v>262.18</v>
      </c>
      <c r="E277" s="1">
        <f>IFERROR(__xludf.DUMMYFUNCTION("""COMPUTED_VALUE"""),264.51)</f>
        <v>264.51</v>
      </c>
      <c r="F277" s="1">
        <f>IFERROR(__xludf.DUMMYFUNCTION("""COMPUTED_VALUE"""),1.9519108E7)</f>
        <v>19519108</v>
      </c>
    </row>
    <row r="278">
      <c r="A278" s="2">
        <f>IFERROR(__xludf.DUMMYFUNCTION("""COMPUTED_VALUE"""),44754.66666666667)</f>
        <v>44754.66667</v>
      </c>
      <c r="B278" s="1">
        <f>IFERROR(__xludf.DUMMYFUNCTION("""COMPUTED_VALUE"""),265.88)</f>
        <v>265.88</v>
      </c>
      <c r="C278" s="1">
        <f>IFERROR(__xludf.DUMMYFUNCTION("""COMPUTED_VALUE"""),265.94)</f>
        <v>265.94</v>
      </c>
      <c r="D278" s="1">
        <f>IFERROR(__xludf.DUMMYFUNCTION("""COMPUTED_VALUE"""),252.04)</f>
        <v>252.04</v>
      </c>
      <c r="E278" s="1">
        <f>IFERROR(__xludf.DUMMYFUNCTION("""COMPUTED_VALUE"""),253.67)</f>
        <v>253.67</v>
      </c>
      <c r="F278" s="1">
        <f>IFERROR(__xludf.DUMMYFUNCTION("""COMPUTED_VALUE"""),3.586845E7)</f>
        <v>35868450</v>
      </c>
    </row>
    <row r="279">
      <c r="A279" s="2">
        <f>IFERROR(__xludf.DUMMYFUNCTION("""COMPUTED_VALUE"""),44755.66666666667)</f>
        <v>44755.66667</v>
      </c>
      <c r="B279" s="1">
        <f>IFERROR(__xludf.DUMMYFUNCTION("""COMPUTED_VALUE"""),250.19)</f>
        <v>250.19</v>
      </c>
      <c r="C279" s="1">
        <f>IFERROR(__xludf.DUMMYFUNCTION("""COMPUTED_VALUE"""),253.55)</f>
        <v>253.55</v>
      </c>
      <c r="D279" s="1">
        <f>IFERROR(__xludf.DUMMYFUNCTION("""COMPUTED_VALUE"""),248.11)</f>
        <v>248.11</v>
      </c>
      <c r="E279" s="1">
        <f>IFERROR(__xludf.DUMMYFUNCTION("""COMPUTED_VALUE"""),252.72)</f>
        <v>252.72</v>
      </c>
      <c r="F279" s="1">
        <f>IFERROR(__xludf.DUMMYFUNCTION("""COMPUTED_VALUE"""),2.9497423E7)</f>
        <v>29497423</v>
      </c>
    </row>
    <row r="280">
      <c r="A280" s="2">
        <f>IFERROR(__xludf.DUMMYFUNCTION("""COMPUTED_VALUE"""),44756.66666666667)</f>
        <v>44756.66667</v>
      </c>
      <c r="B280" s="1">
        <f>IFERROR(__xludf.DUMMYFUNCTION("""COMPUTED_VALUE"""),250.57)</f>
        <v>250.57</v>
      </c>
      <c r="C280" s="1">
        <f>IFERROR(__xludf.DUMMYFUNCTION("""COMPUTED_VALUE"""),255.14)</f>
        <v>255.14</v>
      </c>
      <c r="D280" s="1">
        <f>IFERROR(__xludf.DUMMYFUNCTION("""COMPUTED_VALUE"""),245.94)</f>
        <v>245.94</v>
      </c>
      <c r="E280" s="1">
        <f>IFERROR(__xludf.DUMMYFUNCTION("""COMPUTED_VALUE"""),254.08)</f>
        <v>254.08</v>
      </c>
      <c r="F280" s="1">
        <f>IFERROR(__xludf.DUMMYFUNCTION("""COMPUTED_VALUE"""),2.5102823E7)</f>
        <v>25102823</v>
      </c>
    </row>
    <row r="281">
      <c r="A281" s="2">
        <f>IFERROR(__xludf.DUMMYFUNCTION("""COMPUTED_VALUE"""),44757.66666666667)</f>
        <v>44757.66667</v>
      </c>
      <c r="B281" s="1">
        <f>IFERROR(__xludf.DUMMYFUNCTION("""COMPUTED_VALUE"""),255.72)</f>
        <v>255.72</v>
      </c>
      <c r="C281" s="1">
        <f>IFERROR(__xludf.DUMMYFUNCTION("""COMPUTED_VALUE"""),260.37)</f>
        <v>260.37</v>
      </c>
      <c r="D281" s="1">
        <f>IFERROR(__xludf.DUMMYFUNCTION("""COMPUTED_VALUE"""),254.77)</f>
        <v>254.77</v>
      </c>
      <c r="E281" s="1">
        <f>IFERROR(__xludf.DUMMYFUNCTION("""COMPUTED_VALUE"""),256.72)</f>
        <v>256.72</v>
      </c>
      <c r="F281" s="1">
        <f>IFERROR(__xludf.DUMMYFUNCTION("""COMPUTED_VALUE"""),2.977405E7)</f>
        <v>29774050</v>
      </c>
    </row>
    <row r="282">
      <c r="A282" s="2">
        <f>IFERROR(__xludf.DUMMYFUNCTION("""COMPUTED_VALUE"""),44760.66666666667)</f>
        <v>44760.66667</v>
      </c>
      <c r="B282" s="1">
        <f>IFERROR(__xludf.DUMMYFUNCTION("""COMPUTED_VALUE"""),259.75)</f>
        <v>259.75</v>
      </c>
      <c r="C282" s="1">
        <f>IFERROR(__xludf.DUMMYFUNCTION("""COMPUTED_VALUE"""),260.84)</f>
        <v>260.84</v>
      </c>
      <c r="D282" s="1">
        <f>IFERROR(__xludf.DUMMYFUNCTION("""COMPUTED_VALUE"""),253.3)</f>
        <v>253.3</v>
      </c>
      <c r="E282" s="1">
        <f>IFERROR(__xludf.DUMMYFUNCTION("""COMPUTED_VALUE"""),254.25)</f>
        <v>254.25</v>
      </c>
      <c r="F282" s="1">
        <f>IFERROR(__xludf.DUMMYFUNCTION("""COMPUTED_VALUE"""),2.0975034E7)</f>
        <v>20975034</v>
      </c>
    </row>
    <row r="283">
      <c r="A283" s="2">
        <f>IFERROR(__xludf.DUMMYFUNCTION("""COMPUTED_VALUE"""),44761.66666666667)</f>
        <v>44761.66667</v>
      </c>
      <c r="B283" s="1">
        <f>IFERROR(__xludf.DUMMYFUNCTION("""COMPUTED_VALUE"""),257.58)</f>
        <v>257.58</v>
      </c>
      <c r="C283" s="1">
        <f>IFERROR(__xludf.DUMMYFUNCTION("""COMPUTED_VALUE"""),259.72)</f>
        <v>259.72</v>
      </c>
      <c r="D283" s="1">
        <f>IFERROR(__xludf.DUMMYFUNCTION("""COMPUTED_VALUE"""),253.68)</f>
        <v>253.68</v>
      </c>
      <c r="E283" s="1">
        <f>IFERROR(__xludf.DUMMYFUNCTION("""COMPUTED_VALUE"""),259.53)</f>
        <v>259.53</v>
      </c>
      <c r="F283" s="1">
        <f>IFERROR(__xludf.DUMMYFUNCTION("""COMPUTED_VALUE"""),2.5012562E7)</f>
        <v>25012562</v>
      </c>
    </row>
    <row r="284">
      <c r="A284" s="2">
        <f>IFERROR(__xludf.DUMMYFUNCTION("""COMPUTED_VALUE"""),44762.66666666667)</f>
        <v>44762.66667</v>
      </c>
      <c r="B284" s="1">
        <f>IFERROR(__xludf.DUMMYFUNCTION("""COMPUTED_VALUE"""),259.9)</f>
        <v>259.9</v>
      </c>
      <c r="C284" s="1">
        <f>IFERROR(__xludf.DUMMYFUNCTION("""COMPUTED_VALUE"""),264.87)</f>
        <v>264.87</v>
      </c>
      <c r="D284" s="1">
        <f>IFERROR(__xludf.DUMMYFUNCTION("""COMPUTED_VALUE"""),258.91)</f>
        <v>258.91</v>
      </c>
      <c r="E284" s="1">
        <f>IFERROR(__xludf.DUMMYFUNCTION("""COMPUTED_VALUE"""),262.27)</f>
        <v>262.27</v>
      </c>
      <c r="F284" s="1">
        <f>IFERROR(__xludf.DUMMYFUNCTION("""COMPUTED_VALUE"""),2.2788282E7)</f>
        <v>22788282</v>
      </c>
    </row>
    <row r="285">
      <c r="A285" s="2">
        <f>IFERROR(__xludf.DUMMYFUNCTION("""COMPUTED_VALUE"""),44763.66666666667)</f>
        <v>44763.66667</v>
      </c>
      <c r="B285" s="1">
        <f>IFERROR(__xludf.DUMMYFUNCTION("""COMPUTED_VALUE"""),259.79)</f>
        <v>259.79</v>
      </c>
      <c r="C285" s="1">
        <f>IFERROR(__xludf.DUMMYFUNCTION("""COMPUTED_VALUE"""),264.89)</f>
        <v>264.89</v>
      </c>
      <c r="D285" s="1">
        <f>IFERROR(__xludf.DUMMYFUNCTION("""COMPUTED_VALUE"""),257.03)</f>
        <v>257.03</v>
      </c>
      <c r="E285" s="1">
        <f>IFERROR(__xludf.DUMMYFUNCTION("""COMPUTED_VALUE"""),264.84)</f>
        <v>264.84</v>
      </c>
      <c r="F285" s="1">
        <f>IFERROR(__xludf.DUMMYFUNCTION("""COMPUTED_VALUE"""),2.2404675E7)</f>
        <v>22404675</v>
      </c>
    </row>
    <row r="286">
      <c r="A286" s="2">
        <f>IFERROR(__xludf.DUMMYFUNCTION("""COMPUTED_VALUE"""),44764.66666666667)</f>
        <v>44764.66667</v>
      </c>
      <c r="B286" s="1">
        <f>IFERROR(__xludf.DUMMYFUNCTION("""COMPUTED_VALUE"""),265.24)</f>
        <v>265.24</v>
      </c>
      <c r="C286" s="1">
        <f>IFERROR(__xludf.DUMMYFUNCTION("""COMPUTED_VALUE"""),265.33)</f>
        <v>265.33</v>
      </c>
      <c r="D286" s="1">
        <f>IFERROR(__xludf.DUMMYFUNCTION("""COMPUTED_VALUE"""),259.07)</f>
        <v>259.07</v>
      </c>
      <c r="E286" s="1">
        <f>IFERROR(__xludf.DUMMYFUNCTION("""COMPUTED_VALUE"""),260.36)</f>
        <v>260.36</v>
      </c>
      <c r="F286" s="1">
        <f>IFERROR(__xludf.DUMMYFUNCTION("""COMPUTED_VALUE"""),2.188129E7)</f>
        <v>21881290</v>
      </c>
    </row>
    <row r="287">
      <c r="A287" s="2">
        <f>IFERROR(__xludf.DUMMYFUNCTION("""COMPUTED_VALUE"""),44767.66666666667)</f>
        <v>44767.66667</v>
      </c>
      <c r="B287" s="1">
        <f>IFERROR(__xludf.DUMMYFUNCTION("""COMPUTED_VALUE"""),261.0)</f>
        <v>261</v>
      </c>
      <c r="C287" s="1">
        <f>IFERROR(__xludf.DUMMYFUNCTION("""COMPUTED_VALUE"""),261.5)</f>
        <v>261.5</v>
      </c>
      <c r="D287" s="1">
        <f>IFERROR(__xludf.DUMMYFUNCTION("""COMPUTED_VALUE"""),256.81)</f>
        <v>256.81</v>
      </c>
      <c r="E287" s="1">
        <f>IFERROR(__xludf.DUMMYFUNCTION("""COMPUTED_VALUE"""),258.83)</f>
        <v>258.83</v>
      </c>
      <c r="F287" s="1">
        <f>IFERROR(__xludf.DUMMYFUNCTION("""COMPUTED_VALUE"""),2.1055998E7)</f>
        <v>21055998</v>
      </c>
    </row>
    <row r="288">
      <c r="A288" s="2">
        <f>IFERROR(__xludf.DUMMYFUNCTION("""COMPUTED_VALUE"""),44768.66666666667)</f>
        <v>44768.66667</v>
      </c>
      <c r="B288" s="1">
        <f>IFERROR(__xludf.DUMMYFUNCTION("""COMPUTED_VALUE"""),259.86)</f>
        <v>259.86</v>
      </c>
      <c r="C288" s="1">
        <f>IFERROR(__xludf.DUMMYFUNCTION("""COMPUTED_VALUE"""),259.88)</f>
        <v>259.88</v>
      </c>
      <c r="D288" s="1">
        <f>IFERROR(__xludf.DUMMYFUNCTION("""COMPUTED_VALUE"""),249.57)</f>
        <v>249.57</v>
      </c>
      <c r="E288" s="1">
        <f>IFERROR(__xludf.DUMMYFUNCTION("""COMPUTED_VALUE"""),251.9)</f>
        <v>251.9</v>
      </c>
      <c r="F288" s="1">
        <f>IFERROR(__xludf.DUMMYFUNCTION("""COMPUTED_VALUE"""),3.9347957E7)</f>
        <v>39347957</v>
      </c>
    </row>
    <row r="289">
      <c r="A289" s="2">
        <f>IFERROR(__xludf.DUMMYFUNCTION("""COMPUTED_VALUE"""),44769.66666666667)</f>
        <v>44769.66667</v>
      </c>
      <c r="B289" s="1">
        <f>IFERROR(__xludf.DUMMYFUNCTION("""COMPUTED_VALUE"""),261.16)</f>
        <v>261.16</v>
      </c>
      <c r="C289" s="1">
        <f>IFERROR(__xludf.DUMMYFUNCTION("""COMPUTED_VALUE"""),270.05)</f>
        <v>270.05</v>
      </c>
      <c r="D289" s="1">
        <f>IFERROR(__xludf.DUMMYFUNCTION("""COMPUTED_VALUE"""),258.85)</f>
        <v>258.85</v>
      </c>
      <c r="E289" s="1">
        <f>IFERROR(__xludf.DUMMYFUNCTION("""COMPUTED_VALUE"""),268.74)</f>
        <v>268.74</v>
      </c>
      <c r="F289" s="1">
        <f>IFERROR(__xludf.DUMMYFUNCTION("""COMPUTED_VALUE"""),4.5994049E7)</f>
        <v>45994049</v>
      </c>
    </row>
    <row r="290">
      <c r="A290" s="2">
        <f>IFERROR(__xludf.DUMMYFUNCTION("""COMPUTED_VALUE"""),44770.66666666667)</f>
        <v>44770.66667</v>
      </c>
      <c r="B290" s="1">
        <f>IFERROR(__xludf.DUMMYFUNCTION("""COMPUTED_VALUE"""),269.75)</f>
        <v>269.75</v>
      </c>
      <c r="C290" s="1">
        <f>IFERROR(__xludf.DUMMYFUNCTION("""COMPUTED_VALUE"""),277.84)</f>
        <v>277.84</v>
      </c>
      <c r="D290" s="1">
        <f>IFERROR(__xludf.DUMMYFUNCTION("""COMPUTED_VALUE"""),267.87)</f>
        <v>267.87</v>
      </c>
      <c r="E290" s="1">
        <f>IFERROR(__xludf.DUMMYFUNCTION("""COMPUTED_VALUE"""),276.41)</f>
        <v>276.41</v>
      </c>
      <c r="F290" s="1">
        <f>IFERROR(__xludf.DUMMYFUNCTION("""COMPUTED_VALUE"""),3.3459327E7)</f>
        <v>33459327</v>
      </c>
    </row>
    <row r="291">
      <c r="A291" s="2">
        <f>IFERROR(__xludf.DUMMYFUNCTION("""COMPUTED_VALUE"""),44771.66666666667)</f>
        <v>44771.66667</v>
      </c>
      <c r="B291" s="1">
        <f>IFERROR(__xludf.DUMMYFUNCTION("""COMPUTED_VALUE"""),277.7)</f>
        <v>277.7</v>
      </c>
      <c r="C291" s="1">
        <f>IFERROR(__xludf.DUMMYFUNCTION("""COMPUTED_VALUE"""),282.0)</f>
        <v>282</v>
      </c>
      <c r="D291" s="1">
        <f>IFERROR(__xludf.DUMMYFUNCTION("""COMPUTED_VALUE"""),276.63)</f>
        <v>276.63</v>
      </c>
      <c r="E291" s="1">
        <f>IFERROR(__xludf.DUMMYFUNCTION("""COMPUTED_VALUE"""),280.74)</f>
        <v>280.74</v>
      </c>
      <c r="F291" s="1">
        <f>IFERROR(__xludf.DUMMYFUNCTION("""COMPUTED_VALUE"""),3.2152752E7)</f>
        <v>32152752</v>
      </c>
    </row>
    <row r="292">
      <c r="A292" s="2">
        <f>IFERROR(__xludf.DUMMYFUNCTION("""COMPUTED_VALUE"""),44774.66666666667)</f>
        <v>44774.66667</v>
      </c>
      <c r="B292" s="1">
        <f>IFERROR(__xludf.DUMMYFUNCTION("""COMPUTED_VALUE"""),277.82)</f>
        <v>277.82</v>
      </c>
      <c r="C292" s="1">
        <f>IFERROR(__xludf.DUMMYFUNCTION("""COMPUTED_VALUE"""),281.28)</f>
        <v>281.28</v>
      </c>
      <c r="D292" s="1">
        <f>IFERROR(__xludf.DUMMYFUNCTION("""COMPUTED_VALUE"""),275.84)</f>
        <v>275.84</v>
      </c>
      <c r="E292" s="1">
        <f>IFERROR(__xludf.DUMMYFUNCTION("""COMPUTED_VALUE"""),278.01)</f>
        <v>278.01</v>
      </c>
      <c r="F292" s="1">
        <f>IFERROR(__xludf.DUMMYFUNCTION("""COMPUTED_VALUE"""),2.153958E7)</f>
        <v>21539580</v>
      </c>
    </row>
    <row r="293">
      <c r="A293" s="2">
        <f>IFERROR(__xludf.DUMMYFUNCTION("""COMPUTED_VALUE"""),44775.66666666667)</f>
        <v>44775.66667</v>
      </c>
      <c r="B293" s="1">
        <f>IFERROR(__xludf.DUMMYFUNCTION("""COMPUTED_VALUE"""),276.0)</f>
        <v>276</v>
      </c>
      <c r="C293" s="1">
        <f>IFERROR(__xludf.DUMMYFUNCTION("""COMPUTED_VALUE"""),277.89)</f>
        <v>277.89</v>
      </c>
      <c r="D293" s="1">
        <f>IFERROR(__xludf.DUMMYFUNCTION("""COMPUTED_VALUE"""),272.38)</f>
        <v>272.38</v>
      </c>
      <c r="E293" s="1">
        <f>IFERROR(__xludf.DUMMYFUNCTION("""COMPUTED_VALUE"""),274.82)</f>
        <v>274.82</v>
      </c>
      <c r="F293" s="1">
        <f>IFERROR(__xludf.DUMMYFUNCTION("""COMPUTED_VALUE"""),2.2754184E7)</f>
        <v>22754184</v>
      </c>
    </row>
    <row r="294">
      <c r="A294" s="2">
        <f>IFERROR(__xludf.DUMMYFUNCTION("""COMPUTED_VALUE"""),44776.66666666667)</f>
        <v>44776.66667</v>
      </c>
      <c r="B294" s="1">
        <f>IFERROR(__xludf.DUMMYFUNCTION("""COMPUTED_VALUE"""),276.76)</f>
        <v>276.76</v>
      </c>
      <c r="C294" s="1">
        <f>IFERROR(__xludf.DUMMYFUNCTION("""COMPUTED_VALUE"""),283.5)</f>
        <v>283.5</v>
      </c>
      <c r="D294" s="1">
        <f>IFERROR(__xludf.DUMMYFUNCTION("""COMPUTED_VALUE"""),276.61)</f>
        <v>276.61</v>
      </c>
      <c r="E294" s="1">
        <f>IFERROR(__xludf.DUMMYFUNCTION("""COMPUTED_VALUE"""),282.47)</f>
        <v>282.47</v>
      </c>
      <c r="F294" s="1">
        <f>IFERROR(__xludf.DUMMYFUNCTION("""COMPUTED_VALUE"""),2.3518874E7)</f>
        <v>23518874</v>
      </c>
    </row>
    <row r="295">
      <c r="A295" s="2">
        <f>IFERROR(__xludf.DUMMYFUNCTION("""COMPUTED_VALUE"""),44777.66666666667)</f>
        <v>44777.66667</v>
      </c>
      <c r="B295" s="1">
        <f>IFERROR(__xludf.DUMMYFUNCTION("""COMPUTED_VALUE"""),281.8)</f>
        <v>281.8</v>
      </c>
      <c r="C295" s="1">
        <f>IFERROR(__xludf.DUMMYFUNCTION("""COMPUTED_VALUE"""),283.8)</f>
        <v>283.8</v>
      </c>
      <c r="D295" s="1">
        <f>IFERROR(__xludf.DUMMYFUNCTION("""COMPUTED_VALUE"""),280.17)</f>
        <v>280.17</v>
      </c>
      <c r="E295" s="1">
        <f>IFERROR(__xludf.DUMMYFUNCTION("""COMPUTED_VALUE"""),283.65)</f>
        <v>283.65</v>
      </c>
      <c r="F295" s="1">
        <f>IFERROR(__xludf.DUMMYFUNCTION("""COMPUTED_VALUE"""),1.8098668E7)</f>
        <v>18098668</v>
      </c>
    </row>
    <row r="296">
      <c r="A296" s="2">
        <f>IFERROR(__xludf.DUMMYFUNCTION("""COMPUTED_VALUE"""),44778.66666666667)</f>
        <v>44778.66667</v>
      </c>
      <c r="B296" s="1">
        <f>IFERROR(__xludf.DUMMYFUNCTION("""COMPUTED_VALUE"""),279.15)</f>
        <v>279.15</v>
      </c>
      <c r="C296" s="1">
        <f>IFERROR(__xludf.DUMMYFUNCTION("""COMPUTED_VALUE"""),283.65)</f>
        <v>283.65</v>
      </c>
      <c r="D296" s="1">
        <f>IFERROR(__xludf.DUMMYFUNCTION("""COMPUTED_VALUE"""),278.68)</f>
        <v>278.68</v>
      </c>
      <c r="E296" s="1">
        <f>IFERROR(__xludf.DUMMYFUNCTION("""COMPUTED_VALUE"""),282.91)</f>
        <v>282.91</v>
      </c>
      <c r="F296" s="1">
        <f>IFERROR(__xludf.DUMMYFUNCTION("""COMPUTED_VALUE"""),1.6774606E7)</f>
        <v>16774606</v>
      </c>
    </row>
    <row r="297">
      <c r="A297" s="2">
        <f>IFERROR(__xludf.DUMMYFUNCTION("""COMPUTED_VALUE"""),44781.66666666667)</f>
        <v>44781.66667</v>
      </c>
      <c r="B297" s="1">
        <f>IFERROR(__xludf.DUMMYFUNCTION("""COMPUTED_VALUE"""),284.05)</f>
        <v>284.05</v>
      </c>
      <c r="C297" s="1">
        <f>IFERROR(__xludf.DUMMYFUNCTION("""COMPUTED_VALUE"""),285.92)</f>
        <v>285.92</v>
      </c>
      <c r="D297" s="1">
        <f>IFERROR(__xludf.DUMMYFUNCTION("""COMPUTED_VALUE"""),279.32)</f>
        <v>279.32</v>
      </c>
      <c r="E297" s="1">
        <f>IFERROR(__xludf.DUMMYFUNCTION("""COMPUTED_VALUE"""),280.32)</f>
        <v>280.32</v>
      </c>
      <c r="F297" s="1">
        <f>IFERROR(__xludf.DUMMYFUNCTION("""COMPUTED_VALUE"""),1.8757818E7)</f>
        <v>18757818</v>
      </c>
    </row>
    <row r="298">
      <c r="A298" s="2">
        <f>IFERROR(__xludf.DUMMYFUNCTION("""COMPUTED_VALUE"""),44782.66666666667)</f>
        <v>44782.66667</v>
      </c>
      <c r="B298" s="1">
        <f>IFERROR(__xludf.DUMMYFUNCTION("""COMPUTED_VALUE"""),279.64)</f>
        <v>279.64</v>
      </c>
      <c r="C298" s="1">
        <f>IFERROR(__xludf.DUMMYFUNCTION("""COMPUTED_VALUE"""),283.08)</f>
        <v>283.08</v>
      </c>
      <c r="D298" s="1">
        <f>IFERROR(__xludf.DUMMYFUNCTION("""COMPUTED_VALUE"""),277.61)</f>
        <v>277.61</v>
      </c>
      <c r="E298" s="1">
        <f>IFERROR(__xludf.DUMMYFUNCTION("""COMPUTED_VALUE"""),282.3)</f>
        <v>282.3</v>
      </c>
      <c r="F298" s="1">
        <f>IFERROR(__xludf.DUMMYFUNCTION("""COMPUTED_VALUE"""),2.3405238E7)</f>
        <v>23405238</v>
      </c>
    </row>
    <row r="299">
      <c r="A299" s="2">
        <f>IFERROR(__xludf.DUMMYFUNCTION("""COMPUTED_VALUE"""),44783.66666666667)</f>
        <v>44783.66667</v>
      </c>
      <c r="B299" s="1">
        <f>IFERROR(__xludf.DUMMYFUNCTION("""COMPUTED_VALUE"""),288.17)</f>
        <v>288.17</v>
      </c>
      <c r="C299" s="1">
        <f>IFERROR(__xludf.DUMMYFUNCTION("""COMPUTED_VALUE"""),289.81)</f>
        <v>289.81</v>
      </c>
      <c r="D299" s="1">
        <f>IFERROR(__xludf.DUMMYFUNCTION("""COMPUTED_VALUE"""),286.94)</f>
        <v>286.94</v>
      </c>
      <c r="E299" s="1">
        <f>IFERROR(__xludf.DUMMYFUNCTION("""COMPUTED_VALUE"""),289.16)</f>
        <v>289.16</v>
      </c>
      <c r="F299" s="1">
        <f>IFERROR(__xludf.DUMMYFUNCTION("""COMPUTED_VALUE"""),2.4687845E7)</f>
        <v>24687845</v>
      </c>
    </row>
    <row r="300">
      <c r="A300" s="2">
        <f>IFERROR(__xludf.DUMMYFUNCTION("""COMPUTED_VALUE"""),44784.66666666667)</f>
        <v>44784.66667</v>
      </c>
      <c r="B300" s="1">
        <f>IFERROR(__xludf.DUMMYFUNCTION("""COMPUTED_VALUE"""),290.85)</f>
        <v>290.85</v>
      </c>
      <c r="C300" s="1">
        <f>IFERROR(__xludf.DUMMYFUNCTION("""COMPUTED_VALUE"""),291.21)</f>
        <v>291.21</v>
      </c>
      <c r="D300" s="1">
        <f>IFERROR(__xludf.DUMMYFUNCTION("""COMPUTED_VALUE"""),286.51)</f>
        <v>286.51</v>
      </c>
      <c r="E300" s="1">
        <f>IFERROR(__xludf.DUMMYFUNCTION("""COMPUTED_VALUE"""),287.02)</f>
        <v>287.02</v>
      </c>
      <c r="F300" s="1">
        <f>IFERROR(__xludf.DUMMYFUNCTION("""COMPUTED_VALUE"""),2.0065938E7)</f>
        <v>20065938</v>
      </c>
    </row>
    <row r="301">
      <c r="A301" s="2">
        <f>IFERROR(__xludf.DUMMYFUNCTION("""COMPUTED_VALUE"""),44785.66666666667)</f>
        <v>44785.66667</v>
      </c>
      <c r="B301" s="1">
        <f>IFERROR(__xludf.DUMMYFUNCTION("""COMPUTED_VALUE"""),288.48)</f>
        <v>288.48</v>
      </c>
      <c r="C301" s="1">
        <f>IFERROR(__xludf.DUMMYFUNCTION("""COMPUTED_VALUE"""),291.91)</f>
        <v>291.91</v>
      </c>
      <c r="D301" s="1">
        <f>IFERROR(__xludf.DUMMYFUNCTION("""COMPUTED_VALUE"""),286.94)</f>
        <v>286.94</v>
      </c>
      <c r="E301" s="1">
        <f>IFERROR(__xludf.DUMMYFUNCTION("""COMPUTED_VALUE"""),291.91)</f>
        <v>291.91</v>
      </c>
      <c r="F301" s="1">
        <f>IFERROR(__xludf.DUMMYFUNCTION("""COMPUTED_VALUE"""),2.2619675E7)</f>
        <v>22619675</v>
      </c>
    </row>
    <row r="302">
      <c r="A302" s="2">
        <f>IFERROR(__xludf.DUMMYFUNCTION("""COMPUTED_VALUE"""),44788.66666666667)</f>
        <v>44788.66667</v>
      </c>
      <c r="B302" s="1">
        <f>IFERROR(__xludf.DUMMYFUNCTION("""COMPUTED_VALUE"""),291.0)</f>
        <v>291</v>
      </c>
      <c r="C302" s="1">
        <f>IFERROR(__xludf.DUMMYFUNCTION("""COMPUTED_VALUE"""),294.18)</f>
        <v>294.18</v>
      </c>
      <c r="D302" s="1">
        <f>IFERROR(__xludf.DUMMYFUNCTION("""COMPUTED_VALUE"""),290.11)</f>
        <v>290.11</v>
      </c>
      <c r="E302" s="1">
        <f>IFERROR(__xludf.DUMMYFUNCTION("""COMPUTED_VALUE"""),293.47)</f>
        <v>293.47</v>
      </c>
      <c r="F302" s="1">
        <f>IFERROR(__xludf.DUMMYFUNCTION("""COMPUTED_VALUE"""),1.8085654E7)</f>
        <v>18085654</v>
      </c>
    </row>
    <row r="303">
      <c r="A303" s="2">
        <f>IFERROR(__xludf.DUMMYFUNCTION("""COMPUTED_VALUE"""),44789.66666666667)</f>
        <v>44789.66667</v>
      </c>
      <c r="B303" s="1">
        <f>IFERROR(__xludf.DUMMYFUNCTION("""COMPUTED_VALUE"""),291.99)</f>
        <v>291.99</v>
      </c>
      <c r="C303" s="1">
        <f>IFERROR(__xludf.DUMMYFUNCTION("""COMPUTED_VALUE"""),294.04)</f>
        <v>294.04</v>
      </c>
      <c r="D303" s="1">
        <f>IFERROR(__xludf.DUMMYFUNCTION("""COMPUTED_VALUE"""),290.42)</f>
        <v>290.42</v>
      </c>
      <c r="E303" s="1">
        <f>IFERROR(__xludf.DUMMYFUNCTION("""COMPUTED_VALUE"""),292.71)</f>
        <v>292.71</v>
      </c>
      <c r="F303" s="1">
        <f>IFERROR(__xludf.DUMMYFUNCTION("""COMPUTED_VALUE"""),1.8102882E7)</f>
        <v>18102882</v>
      </c>
    </row>
    <row r="304">
      <c r="A304" s="2">
        <f>IFERROR(__xludf.DUMMYFUNCTION("""COMPUTED_VALUE"""),44790.66666666667)</f>
        <v>44790.66667</v>
      </c>
      <c r="B304" s="1">
        <f>IFERROR(__xludf.DUMMYFUNCTION("""COMPUTED_VALUE"""),289.74)</f>
        <v>289.74</v>
      </c>
      <c r="C304" s="1">
        <f>IFERROR(__xludf.DUMMYFUNCTION("""COMPUTED_VALUE"""),293.35)</f>
        <v>293.35</v>
      </c>
      <c r="D304" s="1">
        <f>IFERROR(__xludf.DUMMYFUNCTION("""COMPUTED_VALUE"""),289.47)</f>
        <v>289.47</v>
      </c>
      <c r="E304" s="1">
        <f>IFERROR(__xludf.DUMMYFUNCTION("""COMPUTED_VALUE"""),291.32)</f>
        <v>291.32</v>
      </c>
      <c r="F304" s="1">
        <f>IFERROR(__xludf.DUMMYFUNCTION("""COMPUTED_VALUE"""),1.8253358E7)</f>
        <v>18253358</v>
      </c>
    </row>
    <row r="305">
      <c r="A305" s="2">
        <f>IFERROR(__xludf.DUMMYFUNCTION("""COMPUTED_VALUE"""),44791.66666666667)</f>
        <v>44791.66667</v>
      </c>
      <c r="B305" s="1">
        <f>IFERROR(__xludf.DUMMYFUNCTION("""COMPUTED_VALUE"""),290.19)</f>
        <v>290.19</v>
      </c>
      <c r="C305" s="1">
        <f>IFERROR(__xludf.DUMMYFUNCTION("""COMPUTED_VALUE"""),291.91)</f>
        <v>291.91</v>
      </c>
      <c r="D305" s="1">
        <f>IFERROR(__xludf.DUMMYFUNCTION("""COMPUTED_VALUE"""),289.08)</f>
        <v>289.08</v>
      </c>
      <c r="E305" s="1">
        <f>IFERROR(__xludf.DUMMYFUNCTION("""COMPUTED_VALUE"""),290.17)</f>
        <v>290.17</v>
      </c>
      <c r="F305" s="1">
        <f>IFERROR(__xludf.DUMMYFUNCTION("""COMPUTED_VALUE"""),1.7186192E7)</f>
        <v>17186192</v>
      </c>
    </row>
    <row r="306">
      <c r="A306" s="2">
        <f>IFERROR(__xludf.DUMMYFUNCTION("""COMPUTED_VALUE"""),44792.66666666667)</f>
        <v>44792.66667</v>
      </c>
      <c r="B306" s="1">
        <f>IFERROR(__xludf.DUMMYFUNCTION("""COMPUTED_VALUE"""),288.9)</f>
        <v>288.9</v>
      </c>
      <c r="C306" s="1">
        <f>IFERROR(__xludf.DUMMYFUNCTION("""COMPUTED_VALUE"""),289.25)</f>
        <v>289.25</v>
      </c>
      <c r="D306" s="1">
        <f>IFERROR(__xludf.DUMMYFUNCTION("""COMPUTED_VALUE"""),285.56)</f>
        <v>285.56</v>
      </c>
      <c r="E306" s="1">
        <f>IFERROR(__xludf.DUMMYFUNCTION("""COMPUTED_VALUE"""),286.15)</f>
        <v>286.15</v>
      </c>
      <c r="F306" s="1">
        <f>IFERROR(__xludf.DUMMYFUNCTION("""COMPUTED_VALUE"""),2.0570033E7)</f>
        <v>20570033</v>
      </c>
    </row>
    <row r="307">
      <c r="A307" s="2">
        <f>IFERROR(__xludf.DUMMYFUNCTION("""COMPUTED_VALUE"""),44795.66666666667)</f>
        <v>44795.66667</v>
      </c>
      <c r="B307" s="1">
        <f>IFERROR(__xludf.DUMMYFUNCTION("""COMPUTED_VALUE"""),282.08)</f>
        <v>282.08</v>
      </c>
      <c r="C307" s="1">
        <f>IFERROR(__xludf.DUMMYFUNCTION("""COMPUTED_VALUE"""),282.46)</f>
        <v>282.46</v>
      </c>
      <c r="D307" s="1">
        <f>IFERROR(__xludf.DUMMYFUNCTION("""COMPUTED_VALUE"""),277.22)</f>
        <v>277.22</v>
      </c>
      <c r="E307" s="1">
        <f>IFERROR(__xludf.DUMMYFUNCTION("""COMPUTED_VALUE"""),277.75)</f>
        <v>277.75</v>
      </c>
      <c r="F307" s="1">
        <f>IFERROR(__xludf.DUMMYFUNCTION("""COMPUTED_VALUE"""),2.506107E7)</f>
        <v>25061070</v>
      </c>
    </row>
    <row r="308">
      <c r="A308" s="2">
        <f>IFERROR(__xludf.DUMMYFUNCTION("""COMPUTED_VALUE"""),44796.66666666667)</f>
        <v>44796.66667</v>
      </c>
      <c r="B308" s="1">
        <f>IFERROR(__xludf.DUMMYFUNCTION("""COMPUTED_VALUE"""),276.44)</f>
        <v>276.44</v>
      </c>
      <c r="C308" s="1">
        <f>IFERROR(__xludf.DUMMYFUNCTION("""COMPUTED_VALUE"""),278.86)</f>
        <v>278.86</v>
      </c>
      <c r="D308" s="1">
        <f>IFERROR(__xludf.DUMMYFUNCTION("""COMPUTED_VALUE"""),275.4)</f>
        <v>275.4</v>
      </c>
      <c r="E308" s="1">
        <f>IFERROR(__xludf.DUMMYFUNCTION("""COMPUTED_VALUE"""),276.44)</f>
        <v>276.44</v>
      </c>
      <c r="F308" s="1">
        <f>IFERROR(__xludf.DUMMYFUNCTION("""COMPUTED_VALUE"""),1.7527409E7)</f>
        <v>17527409</v>
      </c>
    </row>
    <row r="309">
      <c r="A309" s="2">
        <f>IFERROR(__xludf.DUMMYFUNCTION("""COMPUTED_VALUE"""),44797.66666666667)</f>
        <v>44797.66667</v>
      </c>
      <c r="B309" s="1">
        <f>IFERROR(__xludf.DUMMYFUNCTION("""COMPUTED_VALUE"""),275.41)</f>
        <v>275.41</v>
      </c>
      <c r="C309" s="1">
        <f>IFERROR(__xludf.DUMMYFUNCTION("""COMPUTED_VALUE"""),277.23)</f>
        <v>277.23</v>
      </c>
      <c r="D309" s="1">
        <f>IFERROR(__xludf.DUMMYFUNCTION("""COMPUTED_VALUE"""),275.11)</f>
        <v>275.11</v>
      </c>
      <c r="E309" s="1">
        <f>IFERROR(__xludf.DUMMYFUNCTION("""COMPUTED_VALUE"""),275.79)</f>
        <v>275.79</v>
      </c>
      <c r="F309" s="1">
        <f>IFERROR(__xludf.DUMMYFUNCTION("""COMPUTED_VALUE"""),1.8137019E7)</f>
        <v>18137019</v>
      </c>
    </row>
    <row r="310">
      <c r="A310" s="2">
        <f>IFERROR(__xludf.DUMMYFUNCTION("""COMPUTED_VALUE"""),44798.66666666667)</f>
        <v>44798.66667</v>
      </c>
      <c r="B310" s="1">
        <f>IFERROR(__xludf.DUMMYFUNCTION("""COMPUTED_VALUE"""),277.33)</f>
        <v>277.33</v>
      </c>
      <c r="C310" s="1">
        <f>IFERROR(__xludf.DUMMYFUNCTION("""COMPUTED_VALUE"""),279.02)</f>
        <v>279.02</v>
      </c>
      <c r="D310" s="1">
        <f>IFERROR(__xludf.DUMMYFUNCTION("""COMPUTED_VALUE"""),274.52)</f>
        <v>274.52</v>
      </c>
      <c r="E310" s="1">
        <f>IFERROR(__xludf.DUMMYFUNCTION("""COMPUTED_VALUE"""),278.85)</f>
        <v>278.85</v>
      </c>
      <c r="F310" s="1">
        <f>IFERROR(__xludf.DUMMYFUNCTION("""COMPUTED_VALUE"""),1.6583407E7)</f>
        <v>16583407</v>
      </c>
    </row>
    <row r="311">
      <c r="A311" s="2">
        <f>IFERROR(__xludf.DUMMYFUNCTION("""COMPUTED_VALUE"""),44799.66666666667)</f>
        <v>44799.66667</v>
      </c>
      <c r="B311" s="1">
        <f>IFERROR(__xludf.DUMMYFUNCTION("""COMPUTED_VALUE"""),279.08)</f>
        <v>279.08</v>
      </c>
      <c r="C311" s="1">
        <f>IFERROR(__xludf.DUMMYFUNCTION("""COMPUTED_VALUE"""),280.34)</f>
        <v>280.34</v>
      </c>
      <c r="D311" s="1">
        <f>IFERROR(__xludf.DUMMYFUNCTION("""COMPUTED_VALUE"""),267.98)</f>
        <v>267.98</v>
      </c>
      <c r="E311" s="1">
        <f>IFERROR(__xludf.DUMMYFUNCTION("""COMPUTED_VALUE"""),268.09)</f>
        <v>268.09</v>
      </c>
      <c r="F311" s="1">
        <f>IFERROR(__xludf.DUMMYFUNCTION("""COMPUTED_VALUE"""),2.7549307E7)</f>
        <v>27549307</v>
      </c>
    </row>
    <row r="312">
      <c r="A312" s="2">
        <f>IFERROR(__xludf.DUMMYFUNCTION("""COMPUTED_VALUE"""),44802.66666666667)</f>
        <v>44802.66667</v>
      </c>
      <c r="B312" s="1">
        <f>IFERROR(__xludf.DUMMYFUNCTION("""COMPUTED_VALUE"""),265.85)</f>
        <v>265.85</v>
      </c>
      <c r="C312" s="1">
        <f>IFERROR(__xludf.DUMMYFUNCTION("""COMPUTED_VALUE"""),267.4)</f>
        <v>267.4</v>
      </c>
      <c r="D312" s="1">
        <f>IFERROR(__xludf.DUMMYFUNCTION("""COMPUTED_VALUE"""),263.85)</f>
        <v>263.85</v>
      </c>
      <c r="E312" s="1">
        <f>IFERROR(__xludf.DUMMYFUNCTION("""COMPUTED_VALUE"""),265.23)</f>
        <v>265.23</v>
      </c>
      <c r="F312" s="1">
        <f>IFERROR(__xludf.DUMMYFUNCTION("""COMPUTED_VALUE"""),2.0338544E7)</f>
        <v>20338544</v>
      </c>
    </row>
    <row r="313">
      <c r="A313" s="2">
        <f>IFERROR(__xludf.DUMMYFUNCTION("""COMPUTED_VALUE"""),44803.66666666667)</f>
        <v>44803.66667</v>
      </c>
      <c r="B313" s="1">
        <f>IFERROR(__xludf.DUMMYFUNCTION("""COMPUTED_VALUE"""),266.67)</f>
        <v>266.67</v>
      </c>
      <c r="C313" s="1">
        <f>IFERROR(__xludf.DUMMYFUNCTION("""COMPUTED_VALUE"""),267.05)</f>
        <v>267.05</v>
      </c>
      <c r="D313" s="1">
        <f>IFERROR(__xludf.DUMMYFUNCTION("""COMPUTED_VALUE"""),260.66)</f>
        <v>260.66</v>
      </c>
      <c r="E313" s="1">
        <f>IFERROR(__xludf.DUMMYFUNCTION("""COMPUTED_VALUE"""),262.97)</f>
        <v>262.97</v>
      </c>
      <c r="F313" s="1">
        <f>IFERROR(__xludf.DUMMYFUNCTION("""COMPUTED_VALUE"""),2.2767071E7)</f>
        <v>22767071</v>
      </c>
    </row>
    <row r="314">
      <c r="A314" s="2">
        <f>IFERROR(__xludf.DUMMYFUNCTION("""COMPUTED_VALUE"""),44804.66666666667)</f>
        <v>44804.66667</v>
      </c>
      <c r="B314" s="1">
        <f>IFERROR(__xludf.DUMMYFUNCTION("""COMPUTED_VALUE"""),265.39)</f>
        <v>265.39</v>
      </c>
      <c r="C314" s="1">
        <f>IFERROR(__xludf.DUMMYFUNCTION("""COMPUTED_VALUE"""),267.11)</f>
        <v>267.11</v>
      </c>
      <c r="D314" s="1">
        <f>IFERROR(__xludf.DUMMYFUNCTION("""COMPUTED_VALUE"""),261.33)</f>
        <v>261.33</v>
      </c>
      <c r="E314" s="1">
        <f>IFERROR(__xludf.DUMMYFUNCTION("""COMPUTED_VALUE"""),261.47)</f>
        <v>261.47</v>
      </c>
      <c r="F314" s="1">
        <f>IFERROR(__xludf.DUMMYFUNCTION("""COMPUTED_VALUE"""),2.4791834E7)</f>
        <v>24791834</v>
      </c>
    </row>
    <row r="315">
      <c r="A315" s="2">
        <f>IFERROR(__xludf.DUMMYFUNCTION("""COMPUTED_VALUE"""),44805.66666666667)</f>
        <v>44805.66667</v>
      </c>
      <c r="B315" s="1">
        <f>IFERROR(__xludf.DUMMYFUNCTION("""COMPUTED_VALUE"""),258.87)</f>
        <v>258.87</v>
      </c>
      <c r="C315" s="1">
        <f>IFERROR(__xludf.DUMMYFUNCTION("""COMPUTED_VALUE"""),260.89)</f>
        <v>260.89</v>
      </c>
      <c r="D315" s="1">
        <f>IFERROR(__xludf.DUMMYFUNCTION("""COMPUTED_VALUE"""),255.41)</f>
        <v>255.41</v>
      </c>
      <c r="E315" s="1">
        <f>IFERROR(__xludf.DUMMYFUNCTION("""COMPUTED_VALUE"""),260.4)</f>
        <v>260.4</v>
      </c>
      <c r="F315" s="1">
        <f>IFERROR(__xludf.DUMMYFUNCTION("""COMPUTED_VALUE"""),2.3263431E7)</f>
        <v>23263431</v>
      </c>
    </row>
    <row r="316">
      <c r="A316" s="2">
        <f>IFERROR(__xludf.DUMMYFUNCTION("""COMPUTED_VALUE"""),44806.66666666667)</f>
        <v>44806.66667</v>
      </c>
      <c r="B316" s="1">
        <f>IFERROR(__xludf.DUMMYFUNCTION("""COMPUTED_VALUE"""),261.7)</f>
        <v>261.7</v>
      </c>
      <c r="C316" s="1">
        <f>IFERROR(__xludf.DUMMYFUNCTION("""COMPUTED_VALUE"""),264.74)</f>
        <v>264.74</v>
      </c>
      <c r="D316" s="1">
        <f>IFERROR(__xludf.DUMMYFUNCTION("""COMPUTED_VALUE"""),254.47)</f>
        <v>254.47</v>
      </c>
      <c r="E316" s="1">
        <f>IFERROR(__xludf.DUMMYFUNCTION("""COMPUTED_VALUE"""),256.06)</f>
        <v>256.06</v>
      </c>
      <c r="F316" s="1">
        <f>IFERROR(__xludf.DUMMYFUNCTION("""COMPUTED_VALUE"""),2.285538E7)</f>
        <v>22855380</v>
      </c>
    </row>
    <row r="317">
      <c r="A317" s="2">
        <f>IFERROR(__xludf.DUMMYFUNCTION("""COMPUTED_VALUE"""),44810.66666666667)</f>
        <v>44810.66667</v>
      </c>
      <c r="B317" s="1">
        <f>IFERROR(__xludf.DUMMYFUNCTION("""COMPUTED_VALUE"""),256.2)</f>
        <v>256.2</v>
      </c>
      <c r="C317" s="1">
        <f>IFERROR(__xludf.DUMMYFUNCTION("""COMPUTED_VALUE"""),257.83)</f>
        <v>257.83</v>
      </c>
      <c r="D317" s="1">
        <f>IFERROR(__xludf.DUMMYFUNCTION("""COMPUTED_VALUE"""),251.94)</f>
        <v>251.94</v>
      </c>
      <c r="E317" s="1">
        <f>IFERROR(__xludf.DUMMYFUNCTION("""COMPUTED_VALUE"""),253.25)</f>
        <v>253.25</v>
      </c>
      <c r="F317" s="1">
        <f>IFERROR(__xludf.DUMMYFUNCTION("""COMPUTED_VALUE"""),2.1328242E7)</f>
        <v>21328242</v>
      </c>
    </row>
    <row r="318">
      <c r="A318" s="2">
        <f>IFERROR(__xludf.DUMMYFUNCTION("""COMPUTED_VALUE"""),44811.66666666667)</f>
        <v>44811.66667</v>
      </c>
      <c r="B318" s="1">
        <f>IFERROR(__xludf.DUMMYFUNCTION("""COMPUTED_VALUE"""),254.7)</f>
        <v>254.7</v>
      </c>
      <c r="C318" s="1">
        <f>IFERROR(__xludf.DUMMYFUNCTION("""COMPUTED_VALUE"""),258.83)</f>
        <v>258.83</v>
      </c>
      <c r="D318" s="1">
        <f>IFERROR(__xludf.DUMMYFUNCTION("""COMPUTED_VALUE"""),253.22)</f>
        <v>253.22</v>
      </c>
      <c r="E318" s="1">
        <f>IFERROR(__xludf.DUMMYFUNCTION("""COMPUTED_VALUE"""),258.09)</f>
        <v>258.09</v>
      </c>
      <c r="F318" s="1">
        <f>IFERROR(__xludf.DUMMYFUNCTION("""COMPUTED_VALUE"""),2.41267E7)</f>
        <v>24126700</v>
      </c>
    </row>
    <row r="319">
      <c r="A319" s="2">
        <f>IFERROR(__xludf.DUMMYFUNCTION("""COMPUTED_VALUE"""),44812.66666666667)</f>
        <v>44812.66667</v>
      </c>
      <c r="B319" s="1">
        <f>IFERROR(__xludf.DUMMYFUNCTION("""COMPUTED_VALUE"""),257.51)</f>
        <v>257.51</v>
      </c>
      <c r="C319" s="1">
        <f>IFERROR(__xludf.DUMMYFUNCTION("""COMPUTED_VALUE"""),260.43)</f>
        <v>260.43</v>
      </c>
      <c r="D319" s="1">
        <f>IFERROR(__xludf.DUMMYFUNCTION("""COMPUTED_VALUE"""),254.79)</f>
        <v>254.79</v>
      </c>
      <c r="E319" s="1">
        <f>IFERROR(__xludf.DUMMYFUNCTION("""COMPUTED_VALUE"""),258.52)</f>
        <v>258.52</v>
      </c>
      <c r="F319" s="1">
        <f>IFERROR(__xludf.DUMMYFUNCTION("""COMPUTED_VALUE"""),2.0319911E7)</f>
        <v>20319911</v>
      </c>
    </row>
    <row r="320">
      <c r="A320" s="2">
        <f>IFERROR(__xludf.DUMMYFUNCTION("""COMPUTED_VALUE"""),44813.66666666667)</f>
        <v>44813.66667</v>
      </c>
      <c r="B320" s="1">
        <f>IFERROR(__xludf.DUMMYFUNCTION("""COMPUTED_VALUE"""),260.5)</f>
        <v>260.5</v>
      </c>
      <c r="C320" s="1">
        <f>IFERROR(__xludf.DUMMYFUNCTION("""COMPUTED_VALUE"""),265.23)</f>
        <v>265.23</v>
      </c>
      <c r="D320" s="1">
        <f>IFERROR(__xludf.DUMMYFUNCTION("""COMPUTED_VALUE"""),260.29)</f>
        <v>260.29</v>
      </c>
      <c r="E320" s="1">
        <f>IFERROR(__xludf.DUMMYFUNCTION("""COMPUTED_VALUE"""),264.46)</f>
        <v>264.46</v>
      </c>
      <c r="F320" s="1">
        <f>IFERROR(__xludf.DUMMYFUNCTION("""COMPUTED_VALUE"""),2.209319E7)</f>
        <v>22093190</v>
      </c>
    </row>
    <row r="321">
      <c r="A321" s="2">
        <f>IFERROR(__xludf.DUMMYFUNCTION("""COMPUTED_VALUE"""),44816.66666666667)</f>
        <v>44816.66667</v>
      </c>
      <c r="B321" s="1">
        <f>IFERROR(__xludf.DUMMYFUNCTION("""COMPUTED_VALUE"""),265.78)</f>
        <v>265.78</v>
      </c>
      <c r="C321" s="1">
        <f>IFERROR(__xludf.DUMMYFUNCTION("""COMPUTED_VALUE"""),267.45)</f>
        <v>267.45</v>
      </c>
      <c r="D321" s="1">
        <f>IFERROR(__xludf.DUMMYFUNCTION("""COMPUTED_VALUE"""),265.16)</f>
        <v>265.16</v>
      </c>
      <c r="E321" s="1">
        <f>IFERROR(__xludf.DUMMYFUNCTION("""COMPUTED_VALUE"""),266.65)</f>
        <v>266.65</v>
      </c>
      <c r="F321" s="1">
        <f>IFERROR(__xludf.DUMMYFUNCTION("""COMPUTED_VALUE"""),1.874769E7)</f>
        <v>18747690</v>
      </c>
    </row>
    <row r="322">
      <c r="A322" s="2">
        <f>IFERROR(__xludf.DUMMYFUNCTION("""COMPUTED_VALUE"""),44817.66666666667)</f>
        <v>44817.66667</v>
      </c>
      <c r="B322" s="1">
        <f>IFERROR(__xludf.DUMMYFUNCTION("""COMPUTED_VALUE"""),258.84)</f>
        <v>258.84</v>
      </c>
      <c r="C322" s="1">
        <f>IFERROR(__xludf.DUMMYFUNCTION("""COMPUTED_VALUE"""),260.4)</f>
        <v>260.4</v>
      </c>
      <c r="D322" s="1">
        <f>IFERROR(__xludf.DUMMYFUNCTION("""COMPUTED_VALUE"""),251.59)</f>
        <v>251.59</v>
      </c>
      <c r="E322" s="1">
        <f>IFERROR(__xludf.DUMMYFUNCTION("""COMPUTED_VALUE"""),251.99)</f>
        <v>251.99</v>
      </c>
      <c r="F322" s="1">
        <f>IFERROR(__xludf.DUMMYFUNCTION("""COMPUTED_VALUE"""),3.3353318E7)</f>
        <v>33353318</v>
      </c>
    </row>
    <row r="323">
      <c r="A323" s="2">
        <f>IFERROR(__xludf.DUMMYFUNCTION("""COMPUTED_VALUE"""),44818.66666666667)</f>
        <v>44818.66667</v>
      </c>
      <c r="B323" s="1">
        <f>IFERROR(__xludf.DUMMYFUNCTION("""COMPUTED_VALUE"""),253.53)</f>
        <v>253.53</v>
      </c>
      <c r="C323" s="1">
        <f>IFERROR(__xludf.DUMMYFUNCTION("""COMPUTED_VALUE"""),254.23)</f>
        <v>254.23</v>
      </c>
      <c r="D323" s="1">
        <f>IFERROR(__xludf.DUMMYFUNCTION("""COMPUTED_VALUE"""),249.86)</f>
        <v>249.86</v>
      </c>
      <c r="E323" s="1">
        <f>IFERROR(__xludf.DUMMYFUNCTION("""COMPUTED_VALUE"""),252.22)</f>
        <v>252.22</v>
      </c>
      <c r="F323" s="1">
        <f>IFERROR(__xludf.DUMMYFUNCTION("""COMPUTED_VALUE"""),2.3912954E7)</f>
        <v>23912954</v>
      </c>
    </row>
    <row r="324">
      <c r="A324" s="2">
        <f>IFERROR(__xludf.DUMMYFUNCTION("""COMPUTED_VALUE"""),44819.66666666667)</f>
        <v>44819.66667</v>
      </c>
      <c r="B324" s="1">
        <f>IFERROR(__xludf.DUMMYFUNCTION("""COMPUTED_VALUE"""),249.77)</f>
        <v>249.77</v>
      </c>
      <c r="C324" s="1">
        <f>IFERROR(__xludf.DUMMYFUNCTION("""COMPUTED_VALUE"""),251.4)</f>
        <v>251.4</v>
      </c>
      <c r="D324" s="1">
        <f>IFERROR(__xludf.DUMMYFUNCTION("""COMPUTED_VALUE"""),244.02)</f>
        <v>244.02</v>
      </c>
      <c r="E324" s="1">
        <f>IFERROR(__xludf.DUMMYFUNCTION("""COMPUTED_VALUE"""),245.38)</f>
        <v>245.38</v>
      </c>
      <c r="F324" s="1">
        <f>IFERROR(__xludf.DUMMYFUNCTION("""COMPUTED_VALUE"""),3.1530948E7)</f>
        <v>31530948</v>
      </c>
    </row>
    <row r="325">
      <c r="A325" s="2">
        <f>IFERROR(__xludf.DUMMYFUNCTION("""COMPUTED_VALUE"""),44820.66666666667)</f>
        <v>44820.66667</v>
      </c>
      <c r="B325" s="1">
        <f>IFERROR(__xludf.DUMMYFUNCTION("""COMPUTED_VALUE"""),244.26)</f>
        <v>244.26</v>
      </c>
      <c r="C325" s="1">
        <f>IFERROR(__xludf.DUMMYFUNCTION("""COMPUTED_VALUE"""),245.3)</f>
        <v>245.3</v>
      </c>
      <c r="D325" s="1">
        <f>IFERROR(__xludf.DUMMYFUNCTION("""COMPUTED_VALUE"""),242.06)</f>
        <v>242.06</v>
      </c>
      <c r="E325" s="1">
        <f>IFERROR(__xludf.DUMMYFUNCTION("""COMPUTED_VALUE"""),244.74)</f>
        <v>244.74</v>
      </c>
      <c r="F325" s="1">
        <f>IFERROR(__xludf.DUMMYFUNCTION("""COMPUTED_VALUE"""),3.9791768E7)</f>
        <v>39791768</v>
      </c>
    </row>
    <row r="326">
      <c r="A326" s="2">
        <f>IFERROR(__xludf.DUMMYFUNCTION("""COMPUTED_VALUE"""),44823.66666666667)</f>
        <v>44823.66667</v>
      </c>
      <c r="B326" s="1">
        <f>IFERROR(__xludf.DUMMYFUNCTION("""COMPUTED_VALUE"""),242.47)</f>
        <v>242.47</v>
      </c>
      <c r="C326" s="1">
        <f>IFERROR(__xludf.DUMMYFUNCTION("""COMPUTED_VALUE"""),245.14)</f>
        <v>245.14</v>
      </c>
      <c r="D326" s="1">
        <f>IFERROR(__xludf.DUMMYFUNCTION("""COMPUTED_VALUE"""),240.85)</f>
        <v>240.85</v>
      </c>
      <c r="E326" s="1">
        <f>IFERROR(__xludf.DUMMYFUNCTION("""COMPUTED_VALUE"""),244.52)</f>
        <v>244.52</v>
      </c>
      <c r="F326" s="1">
        <f>IFERROR(__xludf.DUMMYFUNCTION("""COMPUTED_VALUE"""),2.6826931E7)</f>
        <v>26826931</v>
      </c>
    </row>
    <row r="327">
      <c r="A327" s="2">
        <f>IFERROR(__xludf.DUMMYFUNCTION("""COMPUTED_VALUE"""),44824.66666666667)</f>
        <v>44824.66667</v>
      </c>
      <c r="B327" s="1">
        <f>IFERROR(__xludf.DUMMYFUNCTION("""COMPUTED_VALUE"""),242.07)</f>
        <v>242.07</v>
      </c>
      <c r="C327" s="1">
        <f>IFERROR(__xludf.DUMMYFUNCTION("""COMPUTED_VALUE"""),243.51)</f>
        <v>243.51</v>
      </c>
      <c r="D327" s="1">
        <f>IFERROR(__xludf.DUMMYFUNCTION("""COMPUTED_VALUE"""),239.64)</f>
        <v>239.64</v>
      </c>
      <c r="E327" s="1">
        <f>IFERROR(__xludf.DUMMYFUNCTION("""COMPUTED_VALUE"""),242.45)</f>
        <v>242.45</v>
      </c>
      <c r="F327" s="1">
        <f>IFERROR(__xludf.DUMMYFUNCTION("""COMPUTED_VALUE"""),2.6660299E7)</f>
        <v>26660299</v>
      </c>
    </row>
    <row r="328">
      <c r="A328" s="2">
        <f>IFERROR(__xludf.DUMMYFUNCTION("""COMPUTED_VALUE"""),44825.66666666667)</f>
        <v>44825.66667</v>
      </c>
      <c r="B328" s="1">
        <f>IFERROR(__xludf.DUMMYFUNCTION("""COMPUTED_VALUE"""),244.27)</f>
        <v>244.27</v>
      </c>
      <c r="C328" s="1">
        <f>IFERROR(__xludf.DUMMYFUNCTION("""COMPUTED_VALUE"""),247.66)</f>
        <v>247.66</v>
      </c>
      <c r="D328" s="1">
        <f>IFERROR(__xludf.DUMMYFUNCTION("""COMPUTED_VALUE"""),238.9)</f>
        <v>238.9</v>
      </c>
      <c r="E328" s="1">
        <f>IFERROR(__xludf.DUMMYFUNCTION("""COMPUTED_VALUE"""),238.95)</f>
        <v>238.95</v>
      </c>
      <c r="F328" s="1">
        <f>IFERROR(__xludf.DUMMYFUNCTION("""COMPUTED_VALUE"""),2.8625557E7)</f>
        <v>28625557</v>
      </c>
    </row>
    <row r="329">
      <c r="A329" s="2">
        <f>IFERROR(__xludf.DUMMYFUNCTION("""COMPUTED_VALUE"""),44826.66666666667)</f>
        <v>44826.66667</v>
      </c>
      <c r="B329" s="1">
        <f>IFERROR(__xludf.DUMMYFUNCTION("""COMPUTED_VALUE"""),237.87)</f>
        <v>237.87</v>
      </c>
      <c r="C329" s="1">
        <f>IFERROR(__xludf.DUMMYFUNCTION("""COMPUTED_VALUE"""),243.86)</f>
        <v>243.86</v>
      </c>
      <c r="D329" s="1">
        <f>IFERROR(__xludf.DUMMYFUNCTION("""COMPUTED_VALUE"""),237.57)</f>
        <v>237.57</v>
      </c>
      <c r="E329" s="1">
        <f>IFERROR(__xludf.DUMMYFUNCTION("""COMPUTED_VALUE"""),240.98)</f>
        <v>240.98</v>
      </c>
      <c r="F329" s="1">
        <f>IFERROR(__xludf.DUMMYFUNCTION("""COMPUTED_VALUE"""),3.1061162E7)</f>
        <v>31061162</v>
      </c>
    </row>
    <row r="330">
      <c r="A330" s="2">
        <f>IFERROR(__xludf.DUMMYFUNCTION("""COMPUTED_VALUE"""),44827.66666666667)</f>
        <v>44827.66667</v>
      </c>
      <c r="B330" s="1">
        <f>IFERROR(__xludf.DUMMYFUNCTION("""COMPUTED_VALUE"""),239.54)</f>
        <v>239.54</v>
      </c>
      <c r="C330" s="1">
        <f>IFERROR(__xludf.DUMMYFUNCTION("""COMPUTED_VALUE"""),241.13)</f>
        <v>241.13</v>
      </c>
      <c r="D330" s="1">
        <f>IFERROR(__xludf.DUMMYFUNCTION("""COMPUTED_VALUE"""),235.2)</f>
        <v>235.2</v>
      </c>
      <c r="E330" s="1">
        <f>IFERROR(__xludf.DUMMYFUNCTION("""COMPUTED_VALUE"""),237.92)</f>
        <v>237.92</v>
      </c>
      <c r="F330" s="1">
        <f>IFERROR(__xludf.DUMMYFUNCTION("""COMPUTED_VALUE"""),3.4176048E7)</f>
        <v>34176048</v>
      </c>
    </row>
    <row r="331">
      <c r="A331" s="2">
        <f>IFERROR(__xludf.DUMMYFUNCTION("""COMPUTED_VALUE"""),44830.66666666667)</f>
        <v>44830.66667</v>
      </c>
      <c r="B331" s="1">
        <f>IFERROR(__xludf.DUMMYFUNCTION("""COMPUTED_VALUE"""),237.05)</f>
        <v>237.05</v>
      </c>
      <c r="C331" s="1">
        <f>IFERROR(__xludf.DUMMYFUNCTION("""COMPUTED_VALUE"""),241.45)</f>
        <v>241.45</v>
      </c>
      <c r="D331" s="1">
        <f>IFERROR(__xludf.DUMMYFUNCTION("""COMPUTED_VALUE"""),236.9)</f>
        <v>236.9</v>
      </c>
      <c r="E331" s="1">
        <f>IFERROR(__xludf.DUMMYFUNCTION("""COMPUTED_VALUE"""),237.45)</f>
        <v>237.45</v>
      </c>
      <c r="F331" s="1">
        <f>IFERROR(__xludf.DUMMYFUNCTION("""COMPUTED_VALUE"""),2.769419E7)</f>
        <v>27694190</v>
      </c>
    </row>
    <row r="332">
      <c r="A332" s="2">
        <f>IFERROR(__xludf.DUMMYFUNCTION("""COMPUTED_VALUE"""),44831.66666666667)</f>
        <v>44831.66667</v>
      </c>
      <c r="B332" s="1">
        <f>IFERROR(__xludf.DUMMYFUNCTION("""COMPUTED_VALUE"""),239.98)</f>
        <v>239.98</v>
      </c>
      <c r="C332" s="1">
        <f>IFERROR(__xludf.DUMMYFUNCTION("""COMPUTED_VALUE"""),241.8)</f>
        <v>241.8</v>
      </c>
      <c r="D332" s="1">
        <f>IFERROR(__xludf.DUMMYFUNCTION("""COMPUTED_VALUE"""),234.5)</f>
        <v>234.5</v>
      </c>
      <c r="E332" s="1">
        <f>IFERROR(__xludf.DUMMYFUNCTION("""COMPUTED_VALUE"""),236.41)</f>
        <v>236.41</v>
      </c>
      <c r="F332" s="1">
        <f>IFERROR(__xludf.DUMMYFUNCTION("""COMPUTED_VALUE"""),2.7018732E7)</f>
        <v>27018732</v>
      </c>
    </row>
    <row r="333">
      <c r="A333" s="2">
        <f>IFERROR(__xludf.DUMMYFUNCTION("""COMPUTED_VALUE"""),44832.66666666667)</f>
        <v>44832.66667</v>
      </c>
      <c r="B333" s="1">
        <f>IFERROR(__xludf.DUMMYFUNCTION("""COMPUTED_VALUE"""),236.81)</f>
        <v>236.81</v>
      </c>
      <c r="C333" s="1">
        <f>IFERROR(__xludf.DUMMYFUNCTION("""COMPUTED_VALUE"""),242.33)</f>
        <v>242.33</v>
      </c>
      <c r="D333" s="1">
        <f>IFERROR(__xludf.DUMMYFUNCTION("""COMPUTED_VALUE"""),234.73)</f>
        <v>234.73</v>
      </c>
      <c r="E333" s="1">
        <f>IFERROR(__xludf.DUMMYFUNCTION("""COMPUTED_VALUE"""),241.07)</f>
        <v>241.07</v>
      </c>
      <c r="F333" s="1">
        <f>IFERROR(__xludf.DUMMYFUNCTION("""COMPUTED_VALUE"""),2.9029679E7)</f>
        <v>29029679</v>
      </c>
    </row>
    <row r="334">
      <c r="A334" s="2">
        <f>IFERROR(__xludf.DUMMYFUNCTION("""COMPUTED_VALUE"""),44833.66666666667)</f>
        <v>44833.66667</v>
      </c>
      <c r="B334" s="1">
        <f>IFERROR(__xludf.DUMMYFUNCTION("""COMPUTED_VALUE"""),238.89)</f>
        <v>238.89</v>
      </c>
      <c r="C334" s="1">
        <f>IFERROR(__xludf.DUMMYFUNCTION("""COMPUTED_VALUE"""),239.95)</f>
        <v>239.95</v>
      </c>
      <c r="D334" s="1">
        <f>IFERROR(__xludf.DUMMYFUNCTION("""COMPUTED_VALUE"""),234.41)</f>
        <v>234.41</v>
      </c>
      <c r="E334" s="1">
        <f>IFERROR(__xludf.DUMMYFUNCTION("""COMPUTED_VALUE"""),237.5)</f>
        <v>237.5</v>
      </c>
      <c r="F334" s="1">
        <f>IFERROR(__xludf.DUMMYFUNCTION("""COMPUTED_VALUE"""),2.7484233E7)</f>
        <v>27484233</v>
      </c>
    </row>
    <row r="335">
      <c r="A335" s="2">
        <f>IFERROR(__xludf.DUMMYFUNCTION("""COMPUTED_VALUE"""),44834.66666666667)</f>
        <v>44834.66667</v>
      </c>
      <c r="B335" s="1">
        <f>IFERROR(__xludf.DUMMYFUNCTION("""COMPUTED_VALUE"""),238.29)</f>
        <v>238.29</v>
      </c>
      <c r="C335" s="1">
        <f>IFERROR(__xludf.DUMMYFUNCTION("""COMPUTED_VALUE"""),240.54)</f>
        <v>240.54</v>
      </c>
      <c r="D335" s="1">
        <f>IFERROR(__xludf.DUMMYFUNCTION("""COMPUTED_VALUE"""),232.73)</f>
        <v>232.73</v>
      </c>
      <c r="E335" s="1">
        <f>IFERROR(__xludf.DUMMYFUNCTION("""COMPUTED_VALUE"""),232.9)</f>
        <v>232.9</v>
      </c>
      <c r="F335" s="1">
        <f>IFERROR(__xludf.DUMMYFUNCTION("""COMPUTED_VALUE"""),3.5694832E7)</f>
        <v>35694832</v>
      </c>
    </row>
    <row r="336">
      <c r="A336" s="2">
        <f>IFERROR(__xludf.DUMMYFUNCTION("""COMPUTED_VALUE"""),44837.66666666667)</f>
        <v>44837.66667</v>
      </c>
      <c r="B336" s="1">
        <f>IFERROR(__xludf.DUMMYFUNCTION("""COMPUTED_VALUE"""),235.41)</f>
        <v>235.41</v>
      </c>
      <c r="C336" s="1">
        <f>IFERROR(__xludf.DUMMYFUNCTION("""COMPUTED_VALUE"""),241.61)</f>
        <v>241.61</v>
      </c>
      <c r="D336" s="1">
        <f>IFERROR(__xludf.DUMMYFUNCTION("""COMPUTED_VALUE"""),234.66)</f>
        <v>234.66</v>
      </c>
      <c r="E336" s="1">
        <f>IFERROR(__xludf.DUMMYFUNCTION("""COMPUTED_VALUE"""),240.74)</f>
        <v>240.74</v>
      </c>
      <c r="F336" s="1">
        <f>IFERROR(__xludf.DUMMYFUNCTION("""COMPUTED_VALUE"""),2.8880357E7)</f>
        <v>28880357</v>
      </c>
    </row>
    <row r="337">
      <c r="A337" s="2">
        <f>IFERROR(__xludf.DUMMYFUNCTION("""COMPUTED_VALUE"""),44838.66666666667)</f>
        <v>44838.66667</v>
      </c>
      <c r="B337" s="1">
        <f>IFERROR(__xludf.DUMMYFUNCTION("""COMPUTED_VALUE"""),245.09)</f>
        <v>245.09</v>
      </c>
      <c r="C337" s="1">
        <f>IFERROR(__xludf.DUMMYFUNCTION("""COMPUTED_VALUE"""),250.36)</f>
        <v>250.36</v>
      </c>
      <c r="D337" s="1">
        <f>IFERROR(__xludf.DUMMYFUNCTION("""COMPUTED_VALUE"""),244.98)</f>
        <v>244.98</v>
      </c>
      <c r="E337" s="1">
        <f>IFERROR(__xludf.DUMMYFUNCTION("""COMPUTED_VALUE"""),248.88)</f>
        <v>248.88</v>
      </c>
      <c r="F337" s="1">
        <f>IFERROR(__xludf.DUMMYFUNCTION("""COMPUTED_VALUE"""),3.4888416E7)</f>
        <v>34888416</v>
      </c>
    </row>
    <row r="338">
      <c r="A338" s="2">
        <f>IFERROR(__xludf.DUMMYFUNCTION("""COMPUTED_VALUE"""),44839.66666666667)</f>
        <v>44839.66667</v>
      </c>
      <c r="B338" s="1">
        <f>IFERROR(__xludf.DUMMYFUNCTION("""COMPUTED_VALUE"""),245.99)</f>
        <v>245.99</v>
      </c>
      <c r="C338" s="1">
        <f>IFERROR(__xludf.DUMMYFUNCTION("""COMPUTED_VALUE"""),250.58)</f>
        <v>250.58</v>
      </c>
      <c r="D338" s="1">
        <f>IFERROR(__xludf.DUMMYFUNCTION("""COMPUTED_VALUE"""),244.1)</f>
        <v>244.1</v>
      </c>
      <c r="E338" s="1">
        <f>IFERROR(__xludf.DUMMYFUNCTION("""COMPUTED_VALUE"""),249.2)</f>
        <v>249.2</v>
      </c>
      <c r="F338" s="1">
        <f>IFERROR(__xludf.DUMMYFUNCTION("""COMPUTED_VALUE"""),2.0347136E7)</f>
        <v>20347136</v>
      </c>
    </row>
    <row r="339">
      <c r="A339" s="2">
        <f>IFERROR(__xludf.DUMMYFUNCTION("""COMPUTED_VALUE"""),44840.66666666667)</f>
        <v>44840.66667</v>
      </c>
      <c r="B339" s="1">
        <f>IFERROR(__xludf.DUMMYFUNCTION("""COMPUTED_VALUE"""),247.93)</f>
        <v>247.93</v>
      </c>
      <c r="C339" s="1">
        <f>IFERROR(__xludf.DUMMYFUNCTION("""COMPUTED_VALUE"""),250.34)</f>
        <v>250.34</v>
      </c>
      <c r="D339" s="1">
        <f>IFERROR(__xludf.DUMMYFUNCTION("""COMPUTED_VALUE"""),246.08)</f>
        <v>246.08</v>
      </c>
      <c r="E339" s="1">
        <f>IFERROR(__xludf.DUMMYFUNCTION("""COMPUTED_VALUE"""),246.79)</f>
        <v>246.79</v>
      </c>
      <c r="F339" s="1">
        <f>IFERROR(__xludf.DUMMYFUNCTION("""COMPUTED_VALUE"""),2.0239886E7)</f>
        <v>20239886</v>
      </c>
    </row>
    <row r="340">
      <c r="A340" s="2">
        <f>IFERROR(__xludf.DUMMYFUNCTION("""COMPUTED_VALUE"""),44841.66666666667)</f>
        <v>44841.66667</v>
      </c>
      <c r="B340" s="1">
        <f>IFERROR(__xludf.DUMMYFUNCTION("""COMPUTED_VALUE"""),240.9)</f>
        <v>240.9</v>
      </c>
      <c r="C340" s="1">
        <f>IFERROR(__xludf.DUMMYFUNCTION("""COMPUTED_VALUE"""),241.32)</f>
        <v>241.32</v>
      </c>
      <c r="D340" s="1">
        <f>IFERROR(__xludf.DUMMYFUNCTION("""COMPUTED_VALUE"""),233.17)</f>
        <v>233.17</v>
      </c>
      <c r="E340" s="1">
        <f>IFERROR(__xludf.DUMMYFUNCTION("""COMPUTED_VALUE"""),234.24)</f>
        <v>234.24</v>
      </c>
      <c r="F340" s="1">
        <f>IFERROR(__xludf.DUMMYFUNCTION("""COMPUTED_VALUE"""),3.7769602E7)</f>
        <v>37769602</v>
      </c>
    </row>
    <row r="341">
      <c r="A341" s="2">
        <f>IFERROR(__xludf.DUMMYFUNCTION("""COMPUTED_VALUE"""),44844.66666666667)</f>
        <v>44844.66667</v>
      </c>
      <c r="B341" s="1">
        <f>IFERROR(__xludf.DUMMYFUNCTION("""COMPUTED_VALUE"""),233.05)</f>
        <v>233.05</v>
      </c>
      <c r="C341" s="1">
        <f>IFERROR(__xludf.DUMMYFUNCTION("""COMPUTED_VALUE"""),234.56)</f>
        <v>234.56</v>
      </c>
      <c r="D341" s="1">
        <f>IFERROR(__xludf.DUMMYFUNCTION("""COMPUTED_VALUE"""),226.73)</f>
        <v>226.73</v>
      </c>
      <c r="E341" s="1">
        <f>IFERROR(__xludf.DUMMYFUNCTION("""COMPUTED_VALUE"""),229.25)</f>
        <v>229.25</v>
      </c>
      <c r="F341" s="1">
        <f>IFERROR(__xludf.DUMMYFUNCTION("""COMPUTED_VALUE"""),2.9743608E7)</f>
        <v>29743608</v>
      </c>
    </row>
    <row r="342">
      <c r="A342" s="2">
        <f>IFERROR(__xludf.DUMMYFUNCTION("""COMPUTED_VALUE"""),44845.66666666667)</f>
        <v>44845.66667</v>
      </c>
      <c r="B342" s="1">
        <f>IFERROR(__xludf.DUMMYFUNCTION("""COMPUTED_VALUE"""),227.62)</f>
        <v>227.62</v>
      </c>
      <c r="C342" s="1">
        <f>IFERROR(__xludf.DUMMYFUNCTION("""COMPUTED_VALUE"""),229.06)</f>
        <v>229.06</v>
      </c>
      <c r="D342" s="1">
        <f>IFERROR(__xludf.DUMMYFUNCTION("""COMPUTED_VALUE"""),224.11)</f>
        <v>224.11</v>
      </c>
      <c r="E342" s="1">
        <f>IFERROR(__xludf.DUMMYFUNCTION("""COMPUTED_VALUE"""),225.41)</f>
        <v>225.41</v>
      </c>
      <c r="F342" s="1">
        <f>IFERROR(__xludf.DUMMYFUNCTION("""COMPUTED_VALUE"""),3.0473954E7)</f>
        <v>30473954</v>
      </c>
    </row>
    <row r="343">
      <c r="A343" s="2">
        <f>IFERROR(__xludf.DUMMYFUNCTION("""COMPUTED_VALUE"""),44846.66666666667)</f>
        <v>44846.66667</v>
      </c>
      <c r="B343" s="1">
        <f>IFERROR(__xludf.DUMMYFUNCTION("""COMPUTED_VALUE"""),225.4)</f>
        <v>225.4</v>
      </c>
      <c r="C343" s="1">
        <f>IFERROR(__xludf.DUMMYFUNCTION("""COMPUTED_VALUE"""),227.86)</f>
        <v>227.86</v>
      </c>
      <c r="D343" s="1">
        <f>IFERROR(__xludf.DUMMYFUNCTION("""COMPUTED_VALUE"""),223.96)</f>
        <v>223.96</v>
      </c>
      <c r="E343" s="1">
        <f>IFERROR(__xludf.DUMMYFUNCTION("""COMPUTED_VALUE"""),225.75)</f>
        <v>225.75</v>
      </c>
      <c r="F343" s="1">
        <f>IFERROR(__xludf.DUMMYFUNCTION("""COMPUTED_VALUE"""),2.1903937E7)</f>
        <v>21903937</v>
      </c>
    </row>
    <row r="344">
      <c r="A344" s="2">
        <f>IFERROR(__xludf.DUMMYFUNCTION("""COMPUTED_VALUE"""),44847.66666666667)</f>
        <v>44847.66667</v>
      </c>
      <c r="B344" s="1">
        <f>IFERROR(__xludf.DUMMYFUNCTION("""COMPUTED_VALUE"""),219.85)</f>
        <v>219.85</v>
      </c>
      <c r="C344" s="1">
        <f>IFERROR(__xludf.DUMMYFUNCTION("""COMPUTED_VALUE"""),236.1)</f>
        <v>236.1</v>
      </c>
      <c r="D344" s="1">
        <f>IFERROR(__xludf.DUMMYFUNCTION("""COMPUTED_VALUE"""),219.13)</f>
        <v>219.13</v>
      </c>
      <c r="E344" s="1">
        <f>IFERROR(__xludf.DUMMYFUNCTION("""COMPUTED_VALUE"""),234.24)</f>
        <v>234.24</v>
      </c>
      <c r="F344" s="1">
        <f>IFERROR(__xludf.DUMMYFUNCTION("""COMPUTED_VALUE"""),4.2551818E7)</f>
        <v>42551818</v>
      </c>
    </row>
    <row r="345">
      <c r="A345" s="2">
        <f>IFERROR(__xludf.DUMMYFUNCTION("""COMPUTED_VALUE"""),44848.66666666667)</f>
        <v>44848.66667</v>
      </c>
      <c r="B345" s="1">
        <f>IFERROR(__xludf.DUMMYFUNCTION("""COMPUTED_VALUE"""),235.54)</f>
        <v>235.54</v>
      </c>
      <c r="C345" s="1">
        <f>IFERROR(__xludf.DUMMYFUNCTION("""COMPUTED_VALUE"""),237.24)</f>
        <v>237.24</v>
      </c>
      <c r="D345" s="1">
        <f>IFERROR(__xludf.DUMMYFUNCTION("""COMPUTED_VALUE"""),228.34)</f>
        <v>228.34</v>
      </c>
      <c r="E345" s="1">
        <f>IFERROR(__xludf.DUMMYFUNCTION("""COMPUTED_VALUE"""),228.56)</f>
        <v>228.56</v>
      </c>
      <c r="F345" s="1">
        <f>IFERROR(__xludf.DUMMYFUNCTION("""COMPUTED_VALUE"""),3.0198588E7)</f>
        <v>30198588</v>
      </c>
    </row>
    <row r="346">
      <c r="A346" s="2">
        <f>IFERROR(__xludf.DUMMYFUNCTION("""COMPUTED_VALUE"""),44851.66666666667)</f>
        <v>44851.66667</v>
      </c>
      <c r="B346" s="1">
        <f>IFERROR(__xludf.DUMMYFUNCTION("""COMPUTED_VALUE"""),235.82)</f>
        <v>235.82</v>
      </c>
      <c r="C346" s="1">
        <f>IFERROR(__xludf.DUMMYFUNCTION("""COMPUTED_VALUE"""),238.96)</f>
        <v>238.96</v>
      </c>
      <c r="D346" s="1">
        <f>IFERROR(__xludf.DUMMYFUNCTION("""COMPUTED_VALUE"""),235.14)</f>
        <v>235.14</v>
      </c>
      <c r="E346" s="1">
        <f>IFERROR(__xludf.DUMMYFUNCTION("""COMPUTED_VALUE"""),237.53)</f>
        <v>237.53</v>
      </c>
      <c r="F346" s="1">
        <f>IFERROR(__xludf.DUMMYFUNCTION("""COMPUTED_VALUE"""),2.8142268E7)</f>
        <v>28142268</v>
      </c>
    </row>
    <row r="347">
      <c r="A347" s="2">
        <f>IFERROR(__xludf.DUMMYFUNCTION("""COMPUTED_VALUE"""),44852.66666666667)</f>
        <v>44852.66667</v>
      </c>
      <c r="B347" s="1">
        <f>IFERROR(__xludf.DUMMYFUNCTION("""COMPUTED_VALUE"""),243.24)</f>
        <v>243.24</v>
      </c>
      <c r="C347" s="1">
        <f>IFERROR(__xludf.DUMMYFUNCTION("""COMPUTED_VALUE"""),243.93)</f>
        <v>243.93</v>
      </c>
      <c r="D347" s="1">
        <f>IFERROR(__xludf.DUMMYFUNCTION("""COMPUTED_VALUE"""),235.37)</f>
        <v>235.37</v>
      </c>
      <c r="E347" s="1">
        <f>IFERROR(__xludf.DUMMYFUNCTION("""COMPUTED_VALUE"""),238.5)</f>
        <v>238.5</v>
      </c>
      <c r="F347" s="1">
        <f>IFERROR(__xludf.DUMMYFUNCTION("""COMPUTED_VALUE"""),2.6329591E7)</f>
        <v>26329591</v>
      </c>
    </row>
    <row r="348">
      <c r="A348" s="2">
        <f>IFERROR(__xludf.DUMMYFUNCTION("""COMPUTED_VALUE"""),44853.66666666667)</f>
        <v>44853.66667</v>
      </c>
      <c r="B348" s="1">
        <f>IFERROR(__xludf.DUMMYFUNCTION("""COMPUTED_VALUE"""),237.04)</f>
        <v>237.04</v>
      </c>
      <c r="C348" s="1">
        <f>IFERROR(__xludf.DUMMYFUNCTION("""COMPUTED_VALUE"""),239.61)</f>
        <v>239.61</v>
      </c>
      <c r="D348" s="1">
        <f>IFERROR(__xludf.DUMMYFUNCTION("""COMPUTED_VALUE"""),234.29)</f>
        <v>234.29</v>
      </c>
      <c r="E348" s="1">
        <f>IFERROR(__xludf.DUMMYFUNCTION("""COMPUTED_VALUE"""),236.48)</f>
        <v>236.48</v>
      </c>
      <c r="F348" s="1">
        <f>IFERROR(__xludf.DUMMYFUNCTION("""COMPUTED_VALUE"""),1.9985698E7)</f>
        <v>19985698</v>
      </c>
    </row>
    <row r="349">
      <c r="A349" s="2">
        <f>IFERROR(__xludf.DUMMYFUNCTION("""COMPUTED_VALUE"""),44854.66666666667)</f>
        <v>44854.66667</v>
      </c>
      <c r="B349" s="1">
        <f>IFERROR(__xludf.DUMMYFUNCTION("""COMPUTED_VALUE"""),235.77)</f>
        <v>235.77</v>
      </c>
      <c r="C349" s="1">
        <f>IFERROR(__xludf.DUMMYFUNCTION("""COMPUTED_VALUE"""),241.31)</f>
        <v>241.31</v>
      </c>
      <c r="D349" s="1">
        <f>IFERROR(__xludf.DUMMYFUNCTION("""COMPUTED_VALUE"""),234.87)</f>
        <v>234.87</v>
      </c>
      <c r="E349" s="1">
        <f>IFERROR(__xludf.DUMMYFUNCTION("""COMPUTED_VALUE"""),236.15)</f>
        <v>236.15</v>
      </c>
      <c r="F349" s="1">
        <f>IFERROR(__xludf.DUMMYFUNCTION("""COMPUTED_VALUE"""),2.1811015E7)</f>
        <v>21811015</v>
      </c>
    </row>
    <row r="350">
      <c r="A350" s="2">
        <f>IFERROR(__xludf.DUMMYFUNCTION("""COMPUTED_VALUE"""),44855.66666666667)</f>
        <v>44855.66667</v>
      </c>
      <c r="B350" s="1">
        <f>IFERROR(__xludf.DUMMYFUNCTION("""COMPUTED_VALUE"""),234.74)</f>
        <v>234.74</v>
      </c>
      <c r="C350" s="1">
        <f>IFERROR(__xludf.DUMMYFUNCTION("""COMPUTED_VALUE"""),243.0)</f>
        <v>243</v>
      </c>
      <c r="D350" s="1">
        <f>IFERROR(__xludf.DUMMYFUNCTION("""COMPUTED_VALUE"""),234.5)</f>
        <v>234.5</v>
      </c>
      <c r="E350" s="1">
        <f>IFERROR(__xludf.DUMMYFUNCTION("""COMPUTED_VALUE"""),242.12)</f>
        <v>242.12</v>
      </c>
      <c r="F350" s="1">
        <f>IFERROR(__xludf.DUMMYFUNCTION("""COMPUTED_VALUE"""),2.6299733E7)</f>
        <v>26299733</v>
      </c>
    </row>
    <row r="351">
      <c r="A351" s="2">
        <f>IFERROR(__xludf.DUMMYFUNCTION("""COMPUTED_VALUE"""),44858.66666666667)</f>
        <v>44858.66667</v>
      </c>
      <c r="B351" s="1">
        <f>IFERROR(__xludf.DUMMYFUNCTION("""COMPUTED_VALUE"""),243.76)</f>
        <v>243.76</v>
      </c>
      <c r="C351" s="1">
        <f>IFERROR(__xludf.DUMMYFUNCTION("""COMPUTED_VALUE"""),247.84)</f>
        <v>247.84</v>
      </c>
      <c r="D351" s="1">
        <f>IFERROR(__xludf.DUMMYFUNCTION("""COMPUTED_VALUE"""),241.3)</f>
        <v>241.3</v>
      </c>
      <c r="E351" s="1">
        <f>IFERROR(__xludf.DUMMYFUNCTION("""COMPUTED_VALUE"""),247.25)</f>
        <v>247.25</v>
      </c>
      <c r="F351" s="1">
        <f>IFERROR(__xludf.DUMMYFUNCTION("""COMPUTED_VALUE"""),2.4911212E7)</f>
        <v>24911212</v>
      </c>
    </row>
    <row r="352">
      <c r="A352" s="2">
        <f>IFERROR(__xludf.DUMMYFUNCTION("""COMPUTED_VALUE"""),44859.66666666667)</f>
        <v>44859.66667</v>
      </c>
      <c r="B352" s="1">
        <f>IFERROR(__xludf.DUMMYFUNCTION("""COMPUTED_VALUE"""),247.26)</f>
        <v>247.26</v>
      </c>
      <c r="C352" s="1">
        <f>IFERROR(__xludf.DUMMYFUNCTION("""COMPUTED_VALUE"""),251.04)</f>
        <v>251.04</v>
      </c>
      <c r="D352" s="1">
        <f>IFERROR(__xludf.DUMMYFUNCTION("""COMPUTED_VALUE"""),245.83)</f>
        <v>245.83</v>
      </c>
      <c r="E352" s="1">
        <f>IFERROR(__xludf.DUMMYFUNCTION("""COMPUTED_VALUE"""),250.66)</f>
        <v>250.66</v>
      </c>
      <c r="F352" s="1">
        <f>IFERROR(__xludf.DUMMYFUNCTION("""COMPUTED_VALUE"""),3.4775505E7)</f>
        <v>34775505</v>
      </c>
    </row>
    <row r="353">
      <c r="A353" s="2">
        <f>IFERROR(__xludf.DUMMYFUNCTION("""COMPUTED_VALUE"""),44860.66666666667)</f>
        <v>44860.66667</v>
      </c>
      <c r="B353" s="1">
        <f>IFERROR(__xludf.DUMMYFUNCTION("""COMPUTED_VALUE"""),231.17)</f>
        <v>231.17</v>
      </c>
      <c r="C353" s="1">
        <f>IFERROR(__xludf.DUMMYFUNCTION("""COMPUTED_VALUE"""),238.3)</f>
        <v>238.3</v>
      </c>
      <c r="D353" s="1">
        <f>IFERROR(__xludf.DUMMYFUNCTION("""COMPUTED_VALUE"""),230.06)</f>
        <v>230.06</v>
      </c>
      <c r="E353" s="1">
        <f>IFERROR(__xludf.DUMMYFUNCTION("""COMPUTED_VALUE"""),231.32)</f>
        <v>231.32</v>
      </c>
      <c r="F353" s="1">
        <f>IFERROR(__xludf.DUMMYFUNCTION("""COMPUTED_VALUE"""),8.2684846E7)</f>
        <v>82684846</v>
      </c>
    </row>
    <row r="354">
      <c r="A354" s="2">
        <f>IFERROR(__xludf.DUMMYFUNCTION("""COMPUTED_VALUE"""),44861.66666666667)</f>
        <v>44861.66667</v>
      </c>
      <c r="B354" s="1">
        <f>IFERROR(__xludf.DUMMYFUNCTION("""COMPUTED_VALUE"""),231.04)</f>
        <v>231.04</v>
      </c>
      <c r="C354" s="1">
        <f>IFERROR(__xludf.DUMMYFUNCTION("""COMPUTED_VALUE"""),233.69)</f>
        <v>233.69</v>
      </c>
      <c r="D354" s="1">
        <f>IFERROR(__xludf.DUMMYFUNCTION("""COMPUTED_VALUE"""),225.78)</f>
        <v>225.78</v>
      </c>
      <c r="E354" s="1">
        <f>IFERROR(__xludf.DUMMYFUNCTION("""COMPUTED_VALUE"""),226.75)</f>
        <v>226.75</v>
      </c>
      <c r="F354" s="1">
        <f>IFERROR(__xludf.DUMMYFUNCTION("""COMPUTED_VALUE"""),4.0424645E7)</f>
        <v>40424645</v>
      </c>
    </row>
    <row r="355">
      <c r="A355" s="2">
        <f>IFERROR(__xludf.DUMMYFUNCTION("""COMPUTED_VALUE"""),44862.66666666667)</f>
        <v>44862.66667</v>
      </c>
      <c r="B355" s="1">
        <f>IFERROR(__xludf.DUMMYFUNCTION("""COMPUTED_VALUE"""),226.24)</f>
        <v>226.24</v>
      </c>
      <c r="C355" s="1">
        <f>IFERROR(__xludf.DUMMYFUNCTION("""COMPUTED_VALUE"""),236.6)</f>
        <v>236.6</v>
      </c>
      <c r="D355" s="1">
        <f>IFERROR(__xludf.DUMMYFUNCTION("""COMPUTED_VALUE"""),226.05)</f>
        <v>226.05</v>
      </c>
      <c r="E355" s="1">
        <f>IFERROR(__xludf.DUMMYFUNCTION("""COMPUTED_VALUE"""),235.87)</f>
        <v>235.87</v>
      </c>
      <c r="F355" s="1">
        <f>IFERROR(__xludf.DUMMYFUNCTION("""COMPUTED_VALUE"""),4.0647724E7)</f>
        <v>40647724</v>
      </c>
    </row>
    <row r="356">
      <c r="A356" s="2">
        <f>IFERROR(__xludf.DUMMYFUNCTION("""COMPUTED_VALUE"""),44865.66666666667)</f>
        <v>44865.66667</v>
      </c>
      <c r="B356" s="1">
        <f>IFERROR(__xludf.DUMMYFUNCTION("""COMPUTED_VALUE"""),233.76)</f>
        <v>233.76</v>
      </c>
      <c r="C356" s="1">
        <f>IFERROR(__xludf.DUMMYFUNCTION("""COMPUTED_VALUE"""),234.92)</f>
        <v>234.92</v>
      </c>
      <c r="D356" s="1">
        <f>IFERROR(__xludf.DUMMYFUNCTION("""COMPUTED_VALUE"""),231.15)</f>
        <v>231.15</v>
      </c>
      <c r="E356" s="1">
        <f>IFERROR(__xludf.DUMMYFUNCTION("""COMPUTED_VALUE"""),232.13)</f>
        <v>232.13</v>
      </c>
      <c r="F356" s="1">
        <f>IFERROR(__xludf.DUMMYFUNCTION("""COMPUTED_VALUE"""),2.8357265E7)</f>
        <v>28357265</v>
      </c>
    </row>
    <row r="357">
      <c r="A357" s="2">
        <f>IFERROR(__xludf.DUMMYFUNCTION("""COMPUTED_VALUE"""),44866.66666666667)</f>
        <v>44866.66667</v>
      </c>
      <c r="B357" s="1">
        <f>IFERROR(__xludf.DUMMYFUNCTION("""COMPUTED_VALUE"""),234.6)</f>
        <v>234.6</v>
      </c>
      <c r="C357" s="1">
        <f>IFERROR(__xludf.DUMMYFUNCTION("""COMPUTED_VALUE"""),235.74)</f>
        <v>235.74</v>
      </c>
      <c r="D357" s="1">
        <f>IFERROR(__xludf.DUMMYFUNCTION("""COMPUTED_VALUE"""),227.33)</f>
        <v>227.33</v>
      </c>
      <c r="E357" s="1">
        <f>IFERROR(__xludf.DUMMYFUNCTION("""COMPUTED_VALUE"""),228.17)</f>
        <v>228.17</v>
      </c>
      <c r="F357" s="1">
        <f>IFERROR(__xludf.DUMMYFUNCTION("""COMPUTED_VALUE"""),3.0592271E7)</f>
        <v>30592271</v>
      </c>
    </row>
    <row r="358">
      <c r="A358" s="2">
        <f>IFERROR(__xludf.DUMMYFUNCTION("""COMPUTED_VALUE"""),44867.66666666667)</f>
        <v>44867.66667</v>
      </c>
      <c r="B358" s="1">
        <f>IFERROR(__xludf.DUMMYFUNCTION("""COMPUTED_VALUE"""),229.46)</f>
        <v>229.46</v>
      </c>
      <c r="C358" s="1">
        <f>IFERROR(__xludf.DUMMYFUNCTION("""COMPUTED_VALUE"""),231.3)</f>
        <v>231.3</v>
      </c>
      <c r="D358" s="1">
        <f>IFERROR(__xludf.DUMMYFUNCTION("""COMPUTED_VALUE"""),220.04)</f>
        <v>220.04</v>
      </c>
      <c r="E358" s="1">
        <f>IFERROR(__xludf.DUMMYFUNCTION("""COMPUTED_VALUE"""),220.1)</f>
        <v>220.1</v>
      </c>
      <c r="F358" s="1">
        <f>IFERROR(__xludf.DUMMYFUNCTION("""COMPUTED_VALUE"""),3.8407008E7)</f>
        <v>38407008</v>
      </c>
    </row>
    <row r="359">
      <c r="A359" s="2">
        <f>IFERROR(__xludf.DUMMYFUNCTION("""COMPUTED_VALUE"""),44868.66666666667)</f>
        <v>44868.66667</v>
      </c>
      <c r="B359" s="1">
        <f>IFERROR(__xludf.DUMMYFUNCTION("""COMPUTED_VALUE"""),220.09)</f>
        <v>220.09</v>
      </c>
      <c r="C359" s="1">
        <f>IFERROR(__xludf.DUMMYFUNCTION("""COMPUTED_VALUE"""),220.41)</f>
        <v>220.41</v>
      </c>
      <c r="D359" s="1">
        <f>IFERROR(__xludf.DUMMYFUNCTION("""COMPUTED_VALUE"""),213.98)</f>
        <v>213.98</v>
      </c>
      <c r="E359" s="1">
        <f>IFERROR(__xludf.DUMMYFUNCTION("""COMPUTED_VALUE"""),214.25)</f>
        <v>214.25</v>
      </c>
      <c r="F359" s="1">
        <f>IFERROR(__xludf.DUMMYFUNCTION("""COMPUTED_VALUE"""),3.6633922E7)</f>
        <v>36633922</v>
      </c>
    </row>
    <row r="360">
      <c r="A360" s="2">
        <f>IFERROR(__xludf.DUMMYFUNCTION("""COMPUTED_VALUE"""),44869.66666666667)</f>
        <v>44869.66667</v>
      </c>
      <c r="B360" s="1">
        <f>IFERROR(__xludf.DUMMYFUNCTION("""COMPUTED_VALUE"""),217.55)</f>
        <v>217.55</v>
      </c>
      <c r="C360" s="1">
        <f>IFERROR(__xludf.DUMMYFUNCTION("""COMPUTED_VALUE"""),221.59)</f>
        <v>221.59</v>
      </c>
      <c r="D360" s="1">
        <f>IFERROR(__xludf.DUMMYFUNCTION("""COMPUTED_VALUE"""),213.43)</f>
        <v>213.43</v>
      </c>
      <c r="E360" s="1">
        <f>IFERROR(__xludf.DUMMYFUNCTION("""COMPUTED_VALUE"""),221.39)</f>
        <v>221.39</v>
      </c>
      <c r="F360" s="1">
        <f>IFERROR(__xludf.DUMMYFUNCTION("""COMPUTED_VALUE"""),3.6789063E7)</f>
        <v>36789063</v>
      </c>
    </row>
    <row r="361">
      <c r="A361" s="2">
        <f>IFERROR(__xludf.DUMMYFUNCTION("""COMPUTED_VALUE"""),44872.66666666667)</f>
        <v>44872.66667</v>
      </c>
      <c r="B361" s="1">
        <f>IFERROR(__xludf.DUMMYFUNCTION("""COMPUTED_VALUE"""),221.99)</f>
        <v>221.99</v>
      </c>
      <c r="C361" s="1">
        <f>IFERROR(__xludf.DUMMYFUNCTION("""COMPUTED_VALUE"""),228.41)</f>
        <v>228.41</v>
      </c>
      <c r="D361" s="1">
        <f>IFERROR(__xludf.DUMMYFUNCTION("""COMPUTED_VALUE"""),221.28)</f>
        <v>221.28</v>
      </c>
      <c r="E361" s="1">
        <f>IFERROR(__xludf.DUMMYFUNCTION("""COMPUTED_VALUE"""),227.87)</f>
        <v>227.87</v>
      </c>
      <c r="F361" s="1">
        <f>IFERROR(__xludf.DUMMYFUNCTION("""COMPUTED_VALUE"""),3.3497979E7)</f>
        <v>33497979</v>
      </c>
    </row>
    <row r="362">
      <c r="A362" s="2">
        <f>IFERROR(__xludf.DUMMYFUNCTION("""COMPUTED_VALUE"""),44873.66666666667)</f>
        <v>44873.66667</v>
      </c>
      <c r="B362" s="1">
        <f>IFERROR(__xludf.DUMMYFUNCTION("""COMPUTED_VALUE"""),228.7)</f>
        <v>228.7</v>
      </c>
      <c r="C362" s="1">
        <f>IFERROR(__xludf.DUMMYFUNCTION("""COMPUTED_VALUE"""),231.65)</f>
        <v>231.65</v>
      </c>
      <c r="D362" s="1">
        <f>IFERROR(__xludf.DUMMYFUNCTION("""COMPUTED_VALUE"""),225.84)</f>
        <v>225.84</v>
      </c>
      <c r="E362" s="1">
        <f>IFERROR(__xludf.DUMMYFUNCTION("""COMPUTED_VALUE"""),228.87)</f>
        <v>228.87</v>
      </c>
      <c r="F362" s="1">
        <f>IFERROR(__xludf.DUMMYFUNCTION("""COMPUTED_VALUE"""),2.8192548E7)</f>
        <v>28192548</v>
      </c>
    </row>
    <row r="363">
      <c r="A363" s="2">
        <f>IFERROR(__xludf.DUMMYFUNCTION("""COMPUTED_VALUE"""),44874.66666666667)</f>
        <v>44874.66667</v>
      </c>
      <c r="B363" s="1">
        <f>IFERROR(__xludf.DUMMYFUNCTION("""COMPUTED_VALUE"""),227.37)</f>
        <v>227.37</v>
      </c>
      <c r="C363" s="1">
        <f>IFERROR(__xludf.DUMMYFUNCTION("""COMPUTED_VALUE"""),228.63)</f>
        <v>228.63</v>
      </c>
      <c r="D363" s="1">
        <f>IFERROR(__xludf.DUMMYFUNCTION("""COMPUTED_VALUE"""),224.33)</f>
        <v>224.33</v>
      </c>
      <c r="E363" s="1">
        <f>IFERROR(__xludf.DUMMYFUNCTION("""COMPUTED_VALUE"""),224.51)</f>
        <v>224.51</v>
      </c>
      <c r="F363" s="1">
        <f>IFERROR(__xludf.DUMMYFUNCTION("""COMPUTED_VALUE"""),2.785291E7)</f>
        <v>27852910</v>
      </c>
    </row>
    <row r="364">
      <c r="A364" s="2">
        <f>IFERROR(__xludf.DUMMYFUNCTION("""COMPUTED_VALUE"""),44875.66666666667)</f>
        <v>44875.66667</v>
      </c>
      <c r="B364" s="1">
        <f>IFERROR(__xludf.DUMMYFUNCTION("""COMPUTED_VALUE"""),235.43)</f>
        <v>235.43</v>
      </c>
      <c r="C364" s="1">
        <f>IFERROR(__xludf.DUMMYFUNCTION("""COMPUTED_VALUE"""),243.33)</f>
        <v>243.33</v>
      </c>
      <c r="D364" s="1">
        <f>IFERROR(__xludf.DUMMYFUNCTION("""COMPUTED_VALUE"""),235.0)</f>
        <v>235</v>
      </c>
      <c r="E364" s="1">
        <f>IFERROR(__xludf.DUMMYFUNCTION("""COMPUTED_VALUE"""),242.98)</f>
        <v>242.98</v>
      </c>
      <c r="F364" s="1">
        <f>IFERROR(__xludf.DUMMYFUNCTION("""COMPUTED_VALUE"""),4.6268021E7)</f>
        <v>46268021</v>
      </c>
    </row>
    <row r="365">
      <c r="A365" s="2">
        <f>IFERROR(__xludf.DUMMYFUNCTION("""COMPUTED_VALUE"""),44876.66666666667)</f>
        <v>44876.66667</v>
      </c>
      <c r="B365" s="1">
        <f>IFERROR(__xludf.DUMMYFUNCTION("""COMPUTED_VALUE"""),242.99)</f>
        <v>242.99</v>
      </c>
      <c r="C365" s="1">
        <f>IFERROR(__xludf.DUMMYFUNCTION("""COMPUTED_VALUE"""),247.99)</f>
        <v>247.99</v>
      </c>
      <c r="D365" s="1">
        <f>IFERROR(__xludf.DUMMYFUNCTION("""COMPUTED_VALUE"""),241.93)</f>
        <v>241.93</v>
      </c>
      <c r="E365" s="1">
        <f>IFERROR(__xludf.DUMMYFUNCTION("""COMPUTED_VALUE"""),247.11)</f>
        <v>247.11</v>
      </c>
      <c r="F365" s="1">
        <f>IFERROR(__xludf.DUMMYFUNCTION("""COMPUTED_VALUE"""),3.4620246E7)</f>
        <v>34620246</v>
      </c>
    </row>
    <row r="366">
      <c r="A366" s="2">
        <f>IFERROR(__xludf.DUMMYFUNCTION("""COMPUTED_VALUE"""),44879.66666666667)</f>
        <v>44879.66667</v>
      </c>
      <c r="B366" s="1">
        <f>IFERROR(__xludf.DUMMYFUNCTION("""COMPUTED_VALUE"""),241.99)</f>
        <v>241.99</v>
      </c>
      <c r="C366" s="1">
        <f>IFERROR(__xludf.DUMMYFUNCTION("""COMPUTED_VALUE"""),243.91)</f>
        <v>243.91</v>
      </c>
      <c r="D366" s="1">
        <f>IFERROR(__xludf.DUMMYFUNCTION("""COMPUTED_VALUE"""),239.21)</f>
        <v>239.21</v>
      </c>
      <c r="E366" s="1">
        <f>IFERROR(__xludf.DUMMYFUNCTION("""COMPUTED_VALUE"""),241.55)</f>
        <v>241.55</v>
      </c>
      <c r="F366" s="1">
        <f>IFERROR(__xludf.DUMMYFUNCTION("""COMPUTED_VALUE"""),3.112334E7)</f>
        <v>31123340</v>
      </c>
    </row>
    <row r="367">
      <c r="A367" s="2">
        <f>IFERROR(__xludf.DUMMYFUNCTION("""COMPUTED_VALUE"""),44880.66666666667)</f>
        <v>44880.66667</v>
      </c>
      <c r="B367" s="1">
        <f>IFERROR(__xludf.DUMMYFUNCTION("""COMPUTED_VALUE"""),245.66)</f>
        <v>245.66</v>
      </c>
      <c r="C367" s="1">
        <f>IFERROR(__xludf.DUMMYFUNCTION("""COMPUTED_VALUE"""),247.0)</f>
        <v>247</v>
      </c>
      <c r="D367" s="1">
        <f>IFERROR(__xludf.DUMMYFUNCTION("""COMPUTED_VALUE"""),240.03)</f>
        <v>240.03</v>
      </c>
      <c r="E367" s="1">
        <f>IFERROR(__xludf.DUMMYFUNCTION("""COMPUTED_VALUE"""),241.97)</f>
        <v>241.97</v>
      </c>
      <c r="F367" s="1">
        <f>IFERROR(__xludf.DUMMYFUNCTION("""COMPUTED_VALUE"""),3.1390117E7)</f>
        <v>31390117</v>
      </c>
    </row>
    <row r="368">
      <c r="A368" s="2">
        <f>IFERROR(__xludf.DUMMYFUNCTION("""COMPUTED_VALUE"""),44881.66666666667)</f>
        <v>44881.66667</v>
      </c>
      <c r="B368" s="1">
        <f>IFERROR(__xludf.DUMMYFUNCTION("""COMPUTED_VALUE"""),242.79)</f>
        <v>242.79</v>
      </c>
      <c r="C368" s="1">
        <f>IFERROR(__xludf.DUMMYFUNCTION("""COMPUTED_VALUE"""),243.8)</f>
        <v>243.8</v>
      </c>
      <c r="D368" s="1">
        <f>IFERROR(__xludf.DUMMYFUNCTION("""COMPUTED_VALUE"""),240.42)</f>
        <v>240.42</v>
      </c>
      <c r="E368" s="1">
        <f>IFERROR(__xludf.DUMMYFUNCTION("""COMPUTED_VALUE"""),241.73)</f>
        <v>241.73</v>
      </c>
      <c r="F368" s="1">
        <f>IFERROR(__xludf.DUMMYFUNCTION("""COMPUTED_VALUE"""),2.4093272E7)</f>
        <v>24093272</v>
      </c>
    </row>
    <row r="369">
      <c r="A369" s="2">
        <f>IFERROR(__xludf.DUMMYFUNCTION("""COMPUTED_VALUE"""),44882.66666666667)</f>
        <v>44882.66667</v>
      </c>
      <c r="B369" s="1">
        <f>IFERROR(__xludf.DUMMYFUNCTION("""COMPUTED_VALUE"""),237.78)</f>
        <v>237.78</v>
      </c>
      <c r="C369" s="1">
        <f>IFERROR(__xludf.DUMMYFUNCTION("""COMPUTED_VALUE"""),243.25)</f>
        <v>243.25</v>
      </c>
      <c r="D369" s="1">
        <f>IFERROR(__xludf.DUMMYFUNCTION("""COMPUTED_VALUE"""),237.63)</f>
        <v>237.63</v>
      </c>
      <c r="E369" s="1">
        <f>IFERROR(__xludf.DUMMYFUNCTION("""COMPUTED_VALUE"""),241.68)</f>
        <v>241.68</v>
      </c>
      <c r="F369" s="1">
        <f>IFERROR(__xludf.DUMMYFUNCTION("""COMPUTED_VALUE"""),2.3123544E7)</f>
        <v>23123544</v>
      </c>
    </row>
    <row r="370">
      <c r="A370" s="2">
        <f>IFERROR(__xludf.DUMMYFUNCTION("""COMPUTED_VALUE"""),44883.66666666667)</f>
        <v>44883.66667</v>
      </c>
      <c r="B370" s="1">
        <f>IFERROR(__xludf.DUMMYFUNCTION("""COMPUTED_VALUE"""),243.51)</f>
        <v>243.51</v>
      </c>
      <c r="C370" s="1">
        <f>IFERROR(__xludf.DUMMYFUNCTION("""COMPUTED_VALUE"""),243.74)</f>
        <v>243.74</v>
      </c>
      <c r="D370" s="1">
        <f>IFERROR(__xludf.DUMMYFUNCTION("""COMPUTED_VALUE"""),239.03)</f>
        <v>239.03</v>
      </c>
      <c r="E370" s="1">
        <f>IFERROR(__xludf.DUMMYFUNCTION("""COMPUTED_VALUE"""),241.22)</f>
        <v>241.22</v>
      </c>
      <c r="F370" s="1">
        <f>IFERROR(__xludf.DUMMYFUNCTION("""COMPUTED_VALUE"""),2.7613523E7)</f>
        <v>27613523</v>
      </c>
    </row>
    <row r="371">
      <c r="A371" s="2">
        <f>IFERROR(__xludf.DUMMYFUNCTION("""COMPUTED_VALUE"""),44886.66666666667)</f>
        <v>44886.66667</v>
      </c>
      <c r="B371" s="1">
        <f>IFERROR(__xludf.DUMMYFUNCTION("""COMPUTED_VALUE"""),241.43)</f>
        <v>241.43</v>
      </c>
      <c r="C371" s="1">
        <f>IFERROR(__xludf.DUMMYFUNCTION("""COMPUTED_VALUE"""),244.67)</f>
        <v>244.67</v>
      </c>
      <c r="D371" s="1">
        <f>IFERROR(__xludf.DUMMYFUNCTION("""COMPUTED_VALUE"""),241.19)</f>
        <v>241.19</v>
      </c>
      <c r="E371" s="1">
        <f>IFERROR(__xludf.DUMMYFUNCTION("""COMPUTED_VALUE"""),242.05)</f>
        <v>242.05</v>
      </c>
      <c r="F371" s="1">
        <f>IFERROR(__xludf.DUMMYFUNCTION("""COMPUTED_VALUE"""),2.63947E7)</f>
        <v>26394700</v>
      </c>
    </row>
    <row r="372">
      <c r="A372" s="2">
        <f>IFERROR(__xludf.DUMMYFUNCTION("""COMPUTED_VALUE"""),44887.66666666667)</f>
        <v>44887.66667</v>
      </c>
      <c r="B372" s="1">
        <f>IFERROR(__xludf.DUMMYFUNCTION("""COMPUTED_VALUE"""),243.59)</f>
        <v>243.59</v>
      </c>
      <c r="C372" s="1">
        <f>IFERROR(__xludf.DUMMYFUNCTION("""COMPUTED_VALUE"""),245.31)</f>
        <v>245.31</v>
      </c>
      <c r="D372" s="1">
        <f>IFERROR(__xludf.DUMMYFUNCTION("""COMPUTED_VALUE"""),240.71)</f>
        <v>240.71</v>
      </c>
      <c r="E372" s="1">
        <f>IFERROR(__xludf.DUMMYFUNCTION("""COMPUTED_VALUE"""),245.03)</f>
        <v>245.03</v>
      </c>
      <c r="F372" s="1">
        <f>IFERROR(__xludf.DUMMYFUNCTION("""COMPUTED_VALUE"""),1.9665699E7)</f>
        <v>19665699</v>
      </c>
    </row>
    <row r="373">
      <c r="A373" s="2">
        <f>IFERROR(__xludf.DUMMYFUNCTION("""COMPUTED_VALUE"""),44888.66666666667)</f>
        <v>44888.66667</v>
      </c>
      <c r="B373" s="1">
        <f>IFERROR(__xludf.DUMMYFUNCTION("""COMPUTED_VALUE"""),245.11)</f>
        <v>245.11</v>
      </c>
      <c r="C373" s="1">
        <f>IFERROR(__xludf.DUMMYFUNCTION("""COMPUTED_VALUE"""),248.28)</f>
        <v>248.28</v>
      </c>
      <c r="D373" s="1">
        <f>IFERROR(__xludf.DUMMYFUNCTION("""COMPUTED_VALUE"""),244.27)</f>
        <v>244.27</v>
      </c>
      <c r="E373" s="1">
        <f>IFERROR(__xludf.DUMMYFUNCTION("""COMPUTED_VALUE"""),247.58)</f>
        <v>247.58</v>
      </c>
      <c r="F373" s="1">
        <f>IFERROR(__xludf.DUMMYFUNCTION("""COMPUTED_VALUE"""),1.9508462E7)</f>
        <v>19508462</v>
      </c>
    </row>
    <row r="374">
      <c r="A374" s="2">
        <f>IFERROR(__xludf.DUMMYFUNCTION("""COMPUTED_VALUE"""),44890.54513888889)</f>
        <v>44890.54514</v>
      </c>
      <c r="B374" s="1">
        <f>IFERROR(__xludf.DUMMYFUNCTION("""COMPUTED_VALUE"""),247.31)</f>
        <v>247.31</v>
      </c>
      <c r="C374" s="1">
        <f>IFERROR(__xludf.DUMMYFUNCTION("""COMPUTED_VALUE"""),248.7)</f>
        <v>248.7</v>
      </c>
      <c r="D374" s="1">
        <f>IFERROR(__xludf.DUMMYFUNCTION("""COMPUTED_VALUE"""),246.73)</f>
        <v>246.73</v>
      </c>
      <c r="E374" s="1">
        <f>IFERROR(__xludf.DUMMYFUNCTION("""COMPUTED_VALUE"""),247.49)</f>
        <v>247.49</v>
      </c>
      <c r="F374" s="1">
        <f>IFERROR(__xludf.DUMMYFUNCTION("""COMPUTED_VALUE"""),9200772.0)</f>
        <v>9200772</v>
      </c>
    </row>
    <row r="375">
      <c r="A375" s="2">
        <f>IFERROR(__xludf.DUMMYFUNCTION("""COMPUTED_VALUE"""),44893.66666666667)</f>
        <v>44893.66667</v>
      </c>
      <c r="B375" s="1">
        <f>IFERROR(__xludf.DUMMYFUNCTION("""COMPUTED_VALUE"""),246.08)</f>
        <v>246.08</v>
      </c>
      <c r="C375" s="1">
        <f>IFERROR(__xludf.DUMMYFUNCTION("""COMPUTED_VALUE"""),246.65)</f>
        <v>246.65</v>
      </c>
      <c r="D375" s="1">
        <f>IFERROR(__xludf.DUMMYFUNCTION("""COMPUTED_VALUE"""),240.8)</f>
        <v>240.8</v>
      </c>
      <c r="E375" s="1">
        <f>IFERROR(__xludf.DUMMYFUNCTION("""COMPUTED_VALUE"""),241.76)</f>
        <v>241.76</v>
      </c>
      <c r="F375" s="1">
        <f>IFERROR(__xludf.DUMMYFUNCTION("""COMPUTED_VALUE"""),2.4810271E7)</f>
        <v>24810271</v>
      </c>
    </row>
    <row r="376">
      <c r="A376" s="2">
        <f>IFERROR(__xludf.DUMMYFUNCTION("""COMPUTED_VALUE"""),44894.66666666667)</f>
        <v>44894.66667</v>
      </c>
      <c r="B376" s="1">
        <f>IFERROR(__xludf.DUMMYFUNCTION("""COMPUTED_VALUE"""),241.4)</f>
        <v>241.4</v>
      </c>
      <c r="C376" s="1">
        <f>IFERROR(__xludf.DUMMYFUNCTION("""COMPUTED_VALUE"""),242.79)</f>
        <v>242.79</v>
      </c>
      <c r="D376" s="1">
        <f>IFERROR(__xludf.DUMMYFUNCTION("""COMPUTED_VALUE"""),238.21)</f>
        <v>238.21</v>
      </c>
      <c r="E376" s="1">
        <f>IFERROR(__xludf.DUMMYFUNCTION("""COMPUTED_VALUE"""),240.33)</f>
        <v>240.33</v>
      </c>
      <c r="F376" s="1">
        <f>IFERROR(__xludf.DUMMYFUNCTION("""COMPUTED_VALUE"""),1.7956313E7)</f>
        <v>17956313</v>
      </c>
    </row>
    <row r="377">
      <c r="A377" s="2">
        <f>IFERROR(__xludf.DUMMYFUNCTION("""COMPUTED_VALUE"""),44895.66666666667)</f>
        <v>44895.66667</v>
      </c>
      <c r="B377" s="1">
        <f>IFERROR(__xludf.DUMMYFUNCTION("""COMPUTED_VALUE"""),240.57)</f>
        <v>240.57</v>
      </c>
      <c r="C377" s="1">
        <f>IFERROR(__xludf.DUMMYFUNCTION("""COMPUTED_VALUE"""),255.33)</f>
        <v>255.33</v>
      </c>
      <c r="D377" s="1">
        <f>IFERROR(__xludf.DUMMYFUNCTION("""COMPUTED_VALUE"""),239.86)</f>
        <v>239.86</v>
      </c>
      <c r="E377" s="1">
        <f>IFERROR(__xludf.DUMMYFUNCTION("""COMPUTED_VALUE"""),255.14)</f>
        <v>255.14</v>
      </c>
      <c r="F377" s="1">
        <f>IFERROR(__xludf.DUMMYFUNCTION("""COMPUTED_VALUE"""),4.7594239E7)</f>
        <v>47594239</v>
      </c>
    </row>
    <row r="378">
      <c r="A378" s="2">
        <f>IFERROR(__xludf.DUMMYFUNCTION("""COMPUTED_VALUE"""),44896.66666666667)</f>
        <v>44896.66667</v>
      </c>
      <c r="B378" s="1">
        <f>IFERROR(__xludf.DUMMYFUNCTION("""COMPUTED_VALUE"""),253.87)</f>
        <v>253.87</v>
      </c>
      <c r="C378" s="1">
        <f>IFERROR(__xludf.DUMMYFUNCTION("""COMPUTED_VALUE"""),256.12)</f>
        <v>256.12</v>
      </c>
      <c r="D378" s="1">
        <f>IFERROR(__xludf.DUMMYFUNCTION("""COMPUTED_VALUE"""),250.92)</f>
        <v>250.92</v>
      </c>
      <c r="E378" s="1">
        <f>IFERROR(__xludf.DUMMYFUNCTION("""COMPUTED_VALUE"""),254.69)</f>
        <v>254.69</v>
      </c>
      <c r="F378" s="1">
        <f>IFERROR(__xludf.DUMMYFUNCTION("""COMPUTED_VALUE"""),2.6041524E7)</f>
        <v>26041524</v>
      </c>
    </row>
    <row r="379">
      <c r="A379" s="2">
        <f>IFERROR(__xludf.DUMMYFUNCTION("""COMPUTED_VALUE"""),44897.66666666667)</f>
        <v>44897.66667</v>
      </c>
      <c r="B379" s="1">
        <f>IFERROR(__xludf.DUMMYFUNCTION("""COMPUTED_VALUE"""),249.82)</f>
        <v>249.82</v>
      </c>
      <c r="C379" s="1">
        <f>IFERROR(__xludf.DUMMYFUNCTION("""COMPUTED_VALUE"""),256.06)</f>
        <v>256.06</v>
      </c>
      <c r="D379" s="1">
        <f>IFERROR(__xludf.DUMMYFUNCTION("""COMPUTED_VALUE"""),249.69)</f>
        <v>249.69</v>
      </c>
      <c r="E379" s="1">
        <f>IFERROR(__xludf.DUMMYFUNCTION("""COMPUTED_VALUE"""),255.02)</f>
        <v>255.02</v>
      </c>
      <c r="F379" s="1">
        <f>IFERROR(__xludf.DUMMYFUNCTION("""COMPUTED_VALUE"""),2.152852E7)</f>
        <v>21528520</v>
      </c>
    </row>
    <row r="380">
      <c r="A380" s="2">
        <f>IFERROR(__xludf.DUMMYFUNCTION("""COMPUTED_VALUE"""),44900.66666666667)</f>
        <v>44900.66667</v>
      </c>
      <c r="B380" s="1">
        <f>IFERROR(__xludf.DUMMYFUNCTION("""COMPUTED_VALUE"""),252.01)</f>
        <v>252.01</v>
      </c>
      <c r="C380" s="1">
        <f>IFERROR(__xludf.DUMMYFUNCTION("""COMPUTED_VALUE"""),253.82)</f>
        <v>253.82</v>
      </c>
      <c r="D380" s="1">
        <f>IFERROR(__xludf.DUMMYFUNCTION("""COMPUTED_VALUE"""),248.06)</f>
        <v>248.06</v>
      </c>
      <c r="E380" s="1">
        <f>IFERROR(__xludf.DUMMYFUNCTION("""COMPUTED_VALUE"""),250.2)</f>
        <v>250.2</v>
      </c>
      <c r="F380" s="1">
        <f>IFERROR(__xludf.DUMMYFUNCTION("""COMPUTED_VALUE"""),2.3435294E7)</f>
        <v>23435294</v>
      </c>
    </row>
    <row r="381">
      <c r="A381" s="2">
        <f>IFERROR(__xludf.DUMMYFUNCTION("""COMPUTED_VALUE"""),44901.66666666667)</f>
        <v>44901.66667</v>
      </c>
      <c r="B381" s="1">
        <f>IFERROR(__xludf.DUMMYFUNCTION("""COMPUTED_VALUE"""),250.82)</f>
        <v>250.82</v>
      </c>
      <c r="C381" s="1">
        <f>IFERROR(__xludf.DUMMYFUNCTION("""COMPUTED_VALUE"""),251.86)</f>
        <v>251.86</v>
      </c>
      <c r="D381" s="1">
        <f>IFERROR(__xludf.DUMMYFUNCTION("""COMPUTED_VALUE"""),243.78)</f>
        <v>243.78</v>
      </c>
      <c r="E381" s="1">
        <f>IFERROR(__xludf.DUMMYFUNCTION("""COMPUTED_VALUE"""),245.12)</f>
        <v>245.12</v>
      </c>
      <c r="F381" s="1">
        <f>IFERROR(__xludf.DUMMYFUNCTION("""COMPUTED_VALUE"""),2.2463727E7)</f>
        <v>22463727</v>
      </c>
    </row>
    <row r="382">
      <c r="A382" s="2">
        <f>IFERROR(__xludf.DUMMYFUNCTION("""COMPUTED_VALUE"""),44902.66666666667)</f>
        <v>44902.66667</v>
      </c>
      <c r="B382" s="1">
        <f>IFERROR(__xludf.DUMMYFUNCTION("""COMPUTED_VALUE"""),244.83)</f>
        <v>244.83</v>
      </c>
      <c r="C382" s="1">
        <f>IFERROR(__xludf.DUMMYFUNCTION("""COMPUTED_VALUE"""),246.16)</f>
        <v>246.16</v>
      </c>
      <c r="D382" s="1">
        <f>IFERROR(__xludf.DUMMYFUNCTION("""COMPUTED_VALUE"""),242.21)</f>
        <v>242.21</v>
      </c>
      <c r="E382" s="1">
        <f>IFERROR(__xludf.DUMMYFUNCTION("""COMPUTED_VALUE"""),244.37)</f>
        <v>244.37</v>
      </c>
      <c r="F382" s="1">
        <f>IFERROR(__xludf.DUMMYFUNCTION("""COMPUTED_VALUE"""),2.0481522E7)</f>
        <v>20481522</v>
      </c>
    </row>
    <row r="383">
      <c r="A383" s="2">
        <f>IFERROR(__xludf.DUMMYFUNCTION("""COMPUTED_VALUE"""),44903.66666666667)</f>
        <v>44903.66667</v>
      </c>
      <c r="B383" s="1">
        <f>IFERROR(__xludf.DUMMYFUNCTION("""COMPUTED_VALUE"""),244.84)</f>
        <v>244.84</v>
      </c>
      <c r="C383" s="1">
        <f>IFERROR(__xludf.DUMMYFUNCTION("""COMPUTED_VALUE"""),248.74)</f>
        <v>248.74</v>
      </c>
      <c r="D383" s="1">
        <f>IFERROR(__xludf.DUMMYFUNCTION("""COMPUTED_VALUE"""),243.06)</f>
        <v>243.06</v>
      </c>
      <c r="E383" s="1">
        <f>IFERROR(__xludf.DUMMYFUNCTION("""COMPUTED_VALUE"""),247.4)</f>
        <v>247.4</v>
      </c>
      <c r="F383" s="1">
        <f>IFERROR(__xludf.DUMMYFUNCTION("""COMPUTED_VALUE"""),2.2611757E7)</f>
        <v>22611757</v>
      </c>
    </row>
    <row r="384">
      <c r="A384" s="2">
        <f>IFERROR(__xludf.DUMMYFUNCTION("""COMPUTED_VALUE"""),44904.66666666667)</f>
        <v>44904.66667</v>
      </c>
      <c r="B384" s="1">
        <f>IFERROR(__xludf.DUMMYFUNCTION("""COMPUTED_VALUE"""),244.7)</f>
        <v>244.7</v>
      </c>
      <c r="C384" s="1">
        <f>IFERROR(__xludf.DUMMYFUNCTION("""COMPUTED_VALUE"""),248.31)</f>
        <v>248.31</v>
      </c>
      <c r="D384" s="1">
        <f>IFERROR(__xludf.DUMMYFUNCTION("""COMPUTED_VALUE"""),244.16)</f>
        <v>244.16</v>
      </c>
      <c r="E384" s="1">
        <f>IFERROR(__xludf.DUMMYFUNCTION("""COMPUTED_VALUE"""),245.42)</f>
        <v>245.42</v>
      </c>
      <c r="F384" s="1">
        <f>IFERROR(__xludf.DUMMYFUNCTION("""COMPUTED_VALUE"""),2.0609743E7)</f>
        <v>20609743</v>
      </c>
    </row>
    <row r="385">
      <c r="A385" s="2">
        <f>IFERROR(__xludf.DUMMYFUNCTION("""COMPUTED_VALUE"""),44907.66666666667)</f>
        <v>44907.66667</v>
      </c>
      <c r="B385" s="1">
        <f>IFERROR(__xludf.DUMMYFUNCTION("""COMPUTED_VALUE"""),247.45)</f>
        <v>247.45</v>
      </c>
      <c r="C385" s="1">
        <f>IFERROR(__xludf.DUMMYFUNCTION("""COMPUTED_VALUE"""),252.54)</f>
        <v>252.54</v>
      </c>
      <c r="D385" s="1">
        <f>IFERROR(__xludf.DUMMYFUNCTION("""COMPUTED_VALUE"""),247.17)</f>
        <v>247.17</v>
      </c>
      <c r="E385" s="1">
        <f>IFERROR(__xludf.DUMMYFUNCTION("""COMPUTED_VALUE"""),252.51)</f>
        <v>252.51</v>
      </c>
      <c r="F385" s="1">
        <f>IFERROR(__xludf.DUMMYFUNCTION("""COMPUTED_VALUE"""),3.0665069E7)</f>
        <v>30665069</v>
      </c>
    </row>
    <row r="386">
      <c r="A386" s="2">
        <f>IFERROR(__xludf.DUMMYFUNCTION("""COMPUTED_VALUE"""),44908.66666666667)</f>
        <v>44908.66667</v>
      </c>
      <c r="B386" s="1">
        <f>IFERROR(__xludf.DUMMYFUNCTION("""COMPUTED_VALUE"""),261.69)</f>
        <v>261.69</v>
      </c>
      <c r="C386" s="1">
        <f>IFERROR(__xludf.DUMMYFUNCTION("""COMPUTED_VALUE"""),263.92)</f>
        <v>263.92</v>
      </c>
      <c r="D386" s="1">
        <f>IFERROR(__xludf.DUMMYFUNCTION("""COMPUTED_VALUE"""),253.07)</f>
        <v>253.07</v>
      </c>
      <c r="E386" s="1">
        <f>IFERROR(__xludf.DUMMYFUNCTION("""COMPUTED_VALUE"""),256.92)</f>
        <v>256.92</v>
      </c>
      <c r="F386" s="1">
        <f>IFERROR(__xludf.DUMMYFUNCTION("""COMPUTED_VALUE"""),4.2196884E7)</f>
        <v>42196884</v>
      </c>
    </row>
    <row r="387">
      <c r="A387" s="2">
        <f>IFERROR(__xludf.DUMMYFUNCTION("""COMPUTED_VALUE"""),44909.66666666667)</f>
        <v>44909.66667</v>
      </c>
      <c r="B387" s="1">
        <f>IFERROR(__xludf.DUMMYFUNCTION("""COMPUTED_VALUE"""),257.13)</f>
        <v>257.13</v>
      </c>
      <c r="C387" s="1">
        <f>IFERROR(__xludf.DUMMYFUNCTION("""COMPUTED_VALUE"""),262.59)</f>
        <v>262.59</v>
      </c>
      <c r="D387" s="1">
        <f>IFERROR(__xludf.DUMMYFUNCTION("""COMPUTED_VALUE"""),254.31)</f>
        <v>254.31</v>
      </c>
      <c r="E387" s="1">
        <f>IFERROR(__xludf.DUMMYFUNCTION("""COMPUTED_VALUE"""),257.22)</f>
        <v>257.22</v>
      </c>
      <c r="F387" s="1">
        <f>IFERROR(__xludf.DUMMYFUNCTION("""COMPUTED_VALUE"""),3.5410933E7)</f>
        <v>35410933</v>
      </c>
    </row>
    <row r="388">
      <c r="A388" s="2">
        <f>IFERROR(__xludf.DUMMYFUNCTION("""COMPUTED_VALUE"""),44910.66666666667)</f>
        <v>44910.66667</v>
      </c>
      <c r="B388" s="1">
        <f>IFERROR(__xludf.DUMMYFUNCTION("""COMPUTED_VALUE"""),253.72)</f>
        <v>253.72</v>
      </c>
      <c r="C388" s="1">
        <f>IFERROR(__xludf.DUMMYFUNCTION("""COMPUTED_VALUE"""),254.2)</f>
        <v>254.2</v>
      </c>
      <c r="D388" s="1">
        <f>IFERROR(__xludf.DUMMYFUNCTION("""COMPUTED_VALUE"""),247.34)</f>
        <v>247.34</v>
      </c>
      <c r="E388" s="1">
        <f>IFERROR(__xludf.DUMMYFUNCTION("""COMPUTED_VALUE"""),249.01)</f>
        <v>249.01</v>
      </c>
      <c r="F388" s="1">
        <f>IFERROR(__xludf.DUMMYFUNCTION("""COMPUTED_VALUE"""),3.5568093E7)</f>
        <v>35568093</v>
      </c>
    </row>
    <row r="389">
      <c r="A389" s="2">
        <f>IFERROR(__xludf.DUMMYFUNCTION("""COMPUTED_VALUE"""),44911.66666666667)</f>
        <v>44911.66667</v>
      </c>
      <c r="B389" s="1">
        <f>IFERROR(__xludf.DUMMYFUNCTION("""COMPUTED_VALUE"""),248.55)</f>
        <v>248.55</v>
      </c>
      <c r="C389" s="1">
        <f>IFERROR(__xludf.DUMMYFUNCTION("""COMPUTED_VALUE"""),249.84)</f>
        <v>249.84</v>
      </c>
      <c r="D389" s="1">
        <f>IFERROR(__xludf.DUMMYFUNCTION("""COMPUTED_VALUE"""),243.51)</f>
        <v>243.51</v>
      </c>
      <c r="E389" s="1">
        <f>IFERROR(__xludf.DUMMYFUNCTION("""COMPUTED_VALUE"""),244.69)</f>
        <v>244.69</v>
      </c>
      <c r="F389" s="1">
        <f>IFERROR(__xludf.DUMMYFUNCTION("""COMPUTED_VALUE"""),8.6101994E7)</f>
        <v>86101994</v>
      </c>
    </row>
    <row r="390">
      <c r="A390" s="2">
        <f>IFERROR(__xludf.DUMMYFUNCTION("""COMPUTED_VALUE"""),44914.66666666667)</f>
        <v>44914.66667</v>
      </c>
      <c r="B390" s="1">
        <f>IFERROR(__xludf.DUMMYFUNCTION("""COMPUTED_VALUE"""),244.86)</f>
        <v>244.86</v>
      </c>
      <c r="C390" s="1">
        <f>IFERROR(__xludf.DUMMYFUNCTION("""COMPUTED_VALUE"""),245.21)</f>
        <v>245.21</v>
      </c>
      <c r="D390" s="1">
        <f>IFERROR(__xludf.DUMMYFUNCTION("""COMPUTED_VALUE"""),238.71)</f>
        <v>238.71</v>
      </c>
      <c r="E390" s="1">
        <f>IFERROR(__xludf.DUMMYFUNCTION("""COMPUTED_VALUE"""),240.45)</f>
        <v>240.45</v>
      </c>
      <c r="F390" s="1">
        <f>IFERROR(__xludf.DUMMYFUNCTION("""COMPUTED_VALUE"""),2.9696436E7)</f>
        <v>29696436</v>
      </c>
    </row>
    <row r="391">
      <c r="A391" s="2">
        <f>IFERROR(__xludf.DUMMYFUNCTION("""COMPUTED_VALUE"""),44915.66666666667)</f>
        <v>44915.66667</v>
      </c>
      <c r="B391" s="1">
        <f>IFERROR(__xludf.DUMMYFUNCTION("""COMPUTED_VALUE"""),239.4)</f>
        <v>239.4</v>
      </c>
      <c r="C391" s="1">
        <f>IFERROR(__xludf.DUMMYFUNCTION("""COMPUTED_VALUE"""),242.91)</f>
        <v>242.91</v>
      </c>
      <c r="D391" s="1">
        <f>IFERROR(__xludf.DUMMYFUNCTION("""COMPUTED_VALUE"""),238.42)</f>
        <v>238.42</v>
      </c>
      <c r="E391" s="1">
        <f>IFERROR(__xludf.DUMMYFUNCTION("""COMPUTED_VALUE"""),241.8)</f>
        <v>241.8</v>
      </c>
      <c r="F391" s="1">
        <f>IFERROR(__xludf.DUMMYFUNCTION("""COMPUTED_VALUE"""),2.5150802E7)</f>
        <v>25150802</v>
      </c>
    </row>
    <row r="392">
      <c r="A392" s="2">
        <f>IFERROR(__xludf.DUMMYFUNCTION("""COMPUTED_VALUE"""),44916.66666666667)</f>
        <v>44916.66667</v>
      </c>
      <c r="B392" s="1">
        <f>IFERROR(__xludf.DUMMYFUNCTION("""COMPUTED_VALUE"""),241.69)</f>
        <v>241.69</v>
      </c>
      <c r="C392" s="1">
        <f>IFERROR(__xludf.DUMMYFUNCTION("""COMPUTED_VALUE"""),245.62)</f>
        <v>245.62</v>
      </c>
      <c r="D392" s="1">
        <f>IFERROR(__xludf.DUMMYFUNCTION("""COMPUTED_VALUE"""),240.11)</f>
        <v>240.11</v>
      </c>
      <c r="E392" s="1">
        <f>IFERROR(__xludf.DUMMYFUNCTION("""COMPUTED_VALUE"""),244.43)</f>
        <v>244.43</v>
      </c>
      <c r="F392" s="1">
        <f>IFERROR(__xludf.DUMMYFUNCTION("""COMPUTED_VALUE"""),2.3690607E7)</f>
        <v>23690607</v>
      </c>
    </row>
    <row r="393">
      <c r="A393" s="2">
        <f>IFERROR(__xludf.DUMMYFUNCTION("""COMPUTED_VALUE"""),44917.66666666667)</f>
        <v>44917.66667</v>
      </c>
      <c r="B393" s="1">
        <f>IFERROR(__xludf.DUMMYFUNCTION("""COMPUTED_VALUE"""),241.26)</f>
        <v>241.26</v>
      </c>
      <c r="C393" s="1">
        <f>IFERROR(__xludf.DUMMYFUNCTION("""COMPUTED_VALUE"""),241.99)</f>
        <v>241.99</v>
      </c>
      <c r="D393" s="1">
        <f>IFERROR(__xludf.DUMMYFUNCTION("""COMPUTED_VALUE"""),233.87)</f>
        <v>233.87</v>
      </c>
      <c r="E393" s="1">
        <f>IFERROR(__xludf.DUMMYFUNCTION("""COMPUTED_VALUE"""),238.19)</f>
        <v>238.19</v>
      </c>
      <c r="F393" s="1">
        <f>IFERROR(__xludf.DUMMYFUNCTION("""COMPUTED_VALUE"""),2.8651664E7)</f>
        <v>28651664</v>
      </c>
    </row>
    <row r="394">
      <c r="A394" s="2">
        <f>IFERROR(__xludf.DUMMYFUNCTION("""COMPUTED_VALUE"""),44918.66666666667)</f>
        <v>44918.66667</v>
      </c>
      <c r="B394" s="1">
        <f>IFERROR(__xludf.DUMMYFUNCTION("""COMPUTED_VALUE"""),236.11)</f>
        <v>236.11</v>
      </c>
      <c r="C394" s="1">
        <f>IFERROR(__xludf.DUMMYFUNCTION("""COMPUTED_VALUE"""),238.87)</f>
        <v>238.87</v>
      </c>
      <c r="D394" s="1">
        <f>IFERROR(__xludf.DUMMYFUNCTION("""COMPUTED_VALUE"""),233.94)</f>
        <v>233.94</v>
      </c>
      <c r="E394" s="1">
        <f>IFERROR(__xludf.DUMMYFUNCTION("""COMPUTED_VALUE"""),238.73)</f>
        <v>238.73</v>
      </c>
      <c r="F394" s="1">
        <f>IFERROR(__xludf.DUMMYFUNCTION("""COMPUTED_VALUE"""),2.1206982E7)</f>
        <v>21206982</v>
      </c>
    </row>
    <row r="395">
      <c r="A395" s="2">
        <f>IFERROR(__xludf.DUMMYFUNCTION("""COMPUTED_VALUE"""),44922.66666666667)</f>
        <v>44922.66667</v>
      </c>
      <c r="B395" s="1">
        <f>IFERROR(__xludf.DUMMYFUNCTION("""COMPUTED_VALUE"""),238.7)</f>
        <v>238.7</v>
      </c>
      <c r="C395" s="1">
        <f>IFERROR(__xludf.DUMMYFUNCTION("""COMPUTED_VALUE"""),238.93)</f>
        <v>238.93</v>
      </c>
      <c r="D395" s="1">
        <f>IFERROR(__xludf.DUMMYFUNCTION("""COMPUTED_VALUE"""),235.83)</f>
        <v>235.83</v>
      </c>
      <c r="E395" s="1">
        <f>IFERROR(__xludf.DUMMYFUNCTION("""COMPUTED_VALUE"""),236.96)</f>
        <v>236.96</v>
      </c>
      <c r="F395" s="1">
        <f>IFERROR(__xludf.DUMMYFUNCTION("""COMPUTED_VALUE"""),1.6688648E7)</f>
        <v>16688648</v>
      </c>
    </row>
    <row r="396">
      <c r="A396" s="2">
        <f>IFERROR(__xludf.DUMMYFUNCTION("""COMPUTED_VALUE"""),44923.66666666667)</f>
        <v>44923.66667</v>
      </c>
      <c r="B396" s="1">
        <f>IFERROR(__xludf.DUMMYFUNCTION("""COMPUTED_VALUE"""),236.89)</f>
        <v>236.89</v>
      </c>
      <c r="C396" s="1">
        <f>IFERROR(__xludf.DUMMYFUNCTION("""COMPUTED_VALUE"""),239.72)</f>
        <v>239.72</v>
      </c>
      <c r="D396" s="1">
        <f>IFERROR(__xludf.DUMMYFUNCTION("""COMPUTED_VALUE"""),234.17)</f>
        <v>234.17</v>
      </c>
      <c r="E396" s="1">
        <f>IFERROR(__xludf.DUMMYFUNCTION("""COMPUTED_VALUE"""),234.53)</f>
        <v>234.53</v>
      </c>
      <c r="F396" s="1">
        <f>IFERROR(__xludf.DUMMYFUNCTION("""COMPUTED_VALUE"""),1.7457104E7)</f>
        <v>17457104</v>
      </c>
    </row>
    <row r="397">
      <c r="A397" s="2">
        <f>IFERROR(__xludf.DUMMYFUNCTION("""COMPUTED_VALUE"""),44924.66666666667)</f>
        <v>44924.66667</v>
      </c>
      <c r="B397" s="1">
        <f>IFERROR(__xludf.DUMMYFUNCTION("""COMPUTED_VALUE"""),235.65)</f>
        <v>235.65</v>
      </c>
      <c r="C397" s="1">
        <f>IFERROR(__xludf.DUMMYFUNCTION("""COMPUTED_VALUE"""),241.92)</f>
        <v>241.92</v>
      </c>
      <c r="D397" s="1">
        <f>IFERROR(__xludf.DUMMYFUNCTION("""COMPUTED_VALUE"""),235.65)</f>
        <v>235.65</v>
      </c>
      <c r="E397" s="1">
        <f>IFERROR(__xludf.DUMMYFUNCTION("""COMPUTED_VALUE"""),241.01)</f>
        <v>241.01</v>
      </c>
      <c r="F397" s="1">
        <f>IFERROR(__xludf.DUMMYFUNCTION("""COMPUTED_VALUE"""),1.9770693E7)</f>
        <v>19770693</v>
      </c>
    </row>
    <row r="398">
      <c r="A398" s="2">
        <f>IFERROR(__xludf.DUMMYFUNCTION("""COMPUTED_VALUE"""),44925.66666666667)</f>
        <v>44925.66667</v>
      </c>
      <c r="B398" s="1">
        <f>IFERROR(__xludf.DUMMYFUNCTION("""COMPUTED_VALUE"""),238.21)</f>
        <v>238.21</v>
      </c>
      <c r="C398" s="1">
        <f>IFERROR(__xludf.DUMMYFUNCTION("""COMPUTED_VALUE"""),239.96)</f>
        <v>239.96</v>
      </c>
      <c r="D398" s="1">
        <f>IFERROR(__xludf.DUMMYFUNCTION("""COMPUTED_VALUE"""),236.66)</f>
        <v>236.66</v>
      </c>
      <c r="E398" s="1">
        <f>IFERROR(__xludf.DUMMYFUNCTION("""COMPUTED_VALUE"""),239.82)</f>
        <v>239.82</v>
      </c>
      <c r="F398" s="1">
        <f>IFERROR(__xludf.DUMMYFUNCTION("""COMPUTED_VALUE"""),2.1938472E7)</f>
        <v>21938472</v>
      </c>
    </row>
    <row r="399">
      <c r="A399" s="2">
        <f>IFERROR(__xludf.DUMMYFUNCTION("""COMPUTED_VALUE"""),44929.66666666667)</f>
        <v>44929.66667</v>
      </c>
      <c r="B399" s="1">
        <f>IFERROR(__xludf.DUMMYFUNCTION("""COMPUTED_VALUE"""),243.08)</f>
        <v>243.08</v>
      </c>
      <c r="C399" s="1">
        <f>IFERROR(__xludf.DUMMYFUNCTION("""COMPUTED_VALUE"""),245.75)</f>
        <v>245.75</v>
      </c>
      <c r="D399" s="1">
        <f>IFERROR(__xludf.DUMMYFUNCTION("""COMPUTED_VALUE"""),237.4)</f>
        <v>237.4</v>
      </c>
      <c r="E399" s="1">
        <f>IFERROR(__xludf.DUMMYFUNCTION("""COMPUTED_VALUE"""),239.58)</f>
        <v>239.58</v>
      </c>
      <c r="F399" s="1">
        <f>IFERROR(__xludf.DUMMYFUNCTION("""COMPUTED_VALUE"""),2.5740036E7)</f>
        <v>25740036</v>
      </c>
    </row>
    <row r="400">
      <c r="A400" s="2">
        <f>IFERROR(__xludf.DUMMYFUNCTION("""COMPUTED_VALUE"""),44930.66666666667)</f>
        <v>44930.66667</v>
      </c>
      <c r="B400" s="1">
        <f>IFERROR(__xludf.DUMMYFUNCTION("""COMPUTED_VALUE"""),232.28)</f>
        <v>232.28</v>
      </c>
      <c r="C400" s="1">
        <f>IFERROR(__xludf.DUMMYFUNCTION("""COMPUTED_VALUE"""),232.87)</f>
        <v>232.87</v>
      </c>
      <c r="D400" s="1">
        <f>IFERROR(__xludf.DUMMYFUNCTION("""COMPUTED_VALUE"""),225.96)</f>
        <v>225.96</v>
      </c>
      <c r="E400" s="1">
        <f>IFERROR(__xludf.DUMMYFUNCTION("""COMPUTED_VALUE"""),229.1)</f>
        <v>229.1</v>
      </c>
      <c r="F400" s="1">
        <f>IFERROR(__xludf.DUMMYFUNCTION("""COMPUTED_VALUE"""),5.0623394E7)</f>
        <v>50623394</v>
      </c>
    </row>
    <row r="401">
      <c r="A401" s="2">
        <f>IFERROR(__xludf.DUMMYFUNCTION("""COMPUTED_VALUE"""),44931.66666666667)</f>
        <v>44931.66667</v>
      </c>
      <c r="B401" s="1">
        <f>IFERROR(__xludf.DUMMYFUNCTION("""COMPUTED_VALUE"""),227.2)</f>
        <v>227.2</v>
      </c>
      <c r="C401" s="1">
        <f>IFERROR(__xludf.DUMMYFUNCTION("""COMPUTED_VALUE"""),227.55)</f>
        <v>227.55</v>
      </c>
      <c r="D401" s="1">
        <f>IFERROR(__xludf.DUMMYFUNCTION("""COMPUTED_VALUE"""),221.76)</f>
        <v>221.76</v>
      </c>
      <c r="E401" s="1">
        <f>IFERROR(__xludf.DUMMYFUNCTION("""COMPUTED_VALUE"""),222.31)</f>
        <v>222.31</v>
      </c>
      <c r="F401" s="1">
        <f>IFERROR(__xludf.DUMMYFUNCTION("""COMPUTED_VALUE"""),3.9585623E7)</f>
        <v>39585623</v>
      </c>
    </row>
    <row r="402">
      <c r="A402" s="2">
        <f>IFERROR(__xludf.DUMMYFUNCTION("""COMPUTED_VALUE"""),44932.66666666667)</f>
        <v>44932.66667</v>
      </c>
      <c r="B402" s="1">
        <f>IFERROR(__xludf.DUMMYFUNCTION("""COMPUTED_VALUE"""),223.0)</f>
        <v>223</v>
      </c>
      <c r="C402" s="1">
        <f>IFERROR(__xludf.DUMMYFUNCTION("""COMPUTED_VALUE"""),225.76)</f>
        <v>225.76</v>
      </c>
      <c r="D402" s="1">
        <f>IFERROR(__xludf.DUMMYFUNCTION("""COMPUTED_VALUE"""),219.35)</f>
        <v>219.35</v>
      </c>
      <c r="E402" s="1">
        <f>IFERROR(__xludf.DUMMYFUNCTION("""COMPUTED_VALUE"""),224.93)</f>
        <v>224.93</v>
      </c>
      <c r="F402" s="1">
        <f>IFERROR(__xludf.DUMMYFUNCTION("""COMPUTED_VALUE"""),4.3613574E7)</f>
        <v>43613574</v>
      </c>
    </row>
    <row r="403">
      <c r="A403" s="2">
        <f>IFERROR(__xludf.DUMMYFUNCTION("""COMPUTED_VALUE"""),44935.66666666667)</f>
        <v>44935.66667</v>
      </c>
      <c r="B403" s="1">
        <f>IFERROR(__xludf.DUMMYFUNCTION("""COMPUTED_VALUE"""),226.45)</f>
        <v>226.45</v>
      </c>
      <c r="C403" s="1">
        <f>IFERROR(__xludf.DUMMYFUNCTION("""COMPUTED_VALUE"""),231.24)</f>
        <v>231.24</v>
      </c>
      <c r="D403" s="1">
        <f>IFERROR(__xludf.DUMMYFUNCTION("""COMPUTED_VALUE"""),226.41)</f>
        <v>226.41</v>
      </c>
      <c r="E403" s="1">
        <f>IFERROR(__xludf.DUMMYFUNCTION("""COMPUTED_VALUE"""),227.12)</f>
        <v>227.12</v>
      </c>
      <c r="F403" s="1">
        <f>IFERROR(__xludf.DUMMYFUNCTION("""COMPUTED_VALUE"""),2.7369784E7)</f>
        <v>27369784</v>
      </c>
    </row>
    <row r="404">
      <c r="A404" s="2">
        <f>IFERROR(__xludf.DUMMYFUNCTION("""COMPUTED_VALUE"""),44936.66666666667)</f>
        <v>44936.66667</v>
      </c>
      <c r="B404" s="1">
        <f>IFERROR(__xludf.DUMMYFUNCTION("""COMPUTED_VALUE"""),227.76)</f>
        <v>227.76</v>
      </c>
      <c r="C404" s="1">
        <f>IFERROR(__xludf.DUMMYFUNCTION("""COMPUTED_VALUE"""),231.31)</f>
        <v>231.31</v>
      </c>
      <c r="D404" s="1">
        <f>IFERROR(__xludf.DUMMYFUNCTION("""COMPUTED_VALUE"""),227.33)</f>
        <v>227.33</v>
      </c>
      <c r="E404" s="1">
        <f>IFERROR(__xludf.DUMMYFUNCTION("""COMPUTED_VALUE"""),228.85)</f>
        <v>228.85</v>
      </c>
      <c r="F404" s="1">
        <f>IFERROR(__xludf.DUMMYFUNCTION("""COMPUTED_VALUE"""),2.7033881E7)</f>
        <v>27033881</v>
      </c>
    </row>
    <row r="405">
      <c r="A405" s="2">
        <f>IFERROR(__xludf.DUMMYFUNCTION("""COMPUTED_VALUE"""),44937.66666666667)</f>
        <v>44937.66667</v>
      </c>
      <c r="B405" s="1">
        <f>IFERROR(__xludf.DUMMYFUNCTION("""COMPUTED_VALUE"""),231.29)</f>
        <v>231.29</v>
      </c>
      <c r="C405" s="1">
        <f>IFERROR(__xludf.DUMMYFUNCTION("""COMPUTED_VALUE"""),235.95)</f>
        <v>235.95</v>
      </c>
      <c r="D405" s="1">
        <f>IFERROR(__xludf.DUMMYFUNCTION("""COMPUTED_VALUE"""),231.11)</f>
        <v>231.11</v>
      </c>
      <c r="E405" s="1">
        <f>IFERROR(__xludf.DUMMYFUNCTION("""COMPUTED_VALUE"""),235.77)</f>
        <v>235.77</v>
      </c>
      <c r="F405" s="1">
        <f>IFERROR(__xludf.DUMMYFUNCTION("""COMPUTED_VALUE"""),2.8669331E7)</f>
        <v>28669331</v>
      </c>
    </row>
    <row r="406">
      <c r="A406" s="2">
        <f>IFERROR(__xludf.DUMMYFUNCTION("""COMPUTED_VALUE"""),44938.66666666667)</f>
        <v>44938.66667</v>
      </c>
      <c r="B406" s="1">
        <f>IFERROR(__xludf.DUMMYFUNCTION("""COMPUTED_VALUE"""),235.26)</f>
        <v>235.26</v>
      </c>
      <c r="C406" s="1">
        <f>IFERROR(__xludf.DUMMYFUNCTION("""COMPUTED_VALUE"""),239.9)</f>
        <v>239.9</v>
      </c>
      <c r="D406" s="1">
        <f>IFERROR(__xludf.DUMMYFUNCTION("""COMPUTED_VALUE"""),233.56)</f>
        <v>233.56</v>
      </c>
      <c r="E406" s="1">
        <f>IFERROR(__xludf.DUMMYFUNCTION("""COMPUTED_VALUE"""),238.51)</f>
        <v>238.51</v>
      </c>
      <c r="F406" s="1">
        <f>IFERROR(__xludf.DUMMYFUNCTION("""COMPUTED_VALUE"""),2.7269486E7)</f>
        <v>27269486</v>
      </c>
    </row>
    <row r="407">
      <c r="A407" s="2">
        <f>IFERROR(__xludf.DUMMYFUNCTION("""COMPUTED_VALUE"""),44939.66666666667)</f>
        <v>44939.66667</v>
      </c>
      <c r="B407" s="1">
        <f>IFERROR(__xludf.DUMMYFUNCTION("""COMPUTED_VALUE"""),237.0)</f>
        <v>237</v>
      </c>
      <c r="C407" s="1">
        <f>IFERROR(__xludf.DUMMYFUNCTION("""COMPUTED_VALUE"""),239.37)</f>
        <v>239.37</v>
      </c>
      <c r="D407" s="1">
        <f>IFERROR(__xludf.DUMMYFUNCTION("""COMPUTED_VALUE"""),234.92)</f>
        <v>234.92</v>
      </c>
      <c r="E407" s="1">
        <f>IFERROR(__xludf.DUMMYFUNCTION("""COMPUTED_VALUE"""),239.23)</f>
        <v>239.23</v>
      </c>
      <c r="F407" s="1">
        <f>IFERROR(__xludf.DUMMYFUNCTION("""COMPUTED_VALUE"""),2.1333265E7)</f>
        <v>21333265</v>
      </c>
    </row>
    <row r="408">
      <c r="A408" s="2">
        <f>IFERROR(__xludf.DUMMYFUNCTION("""COMPUTED_VALUE"""),44943.66666666667)</f>
        <v>44943.66667</v>
      </c>
      <c r="B408" s="1">
        <f>IFERROR(__xludf.DUMMYFUNCTION("""COMPUTED_VALUE"""),237.97)</f>
        <v>237.97</v>
      </c>
      <c r="C408" s="1">
        <f>IFERROR(__xludf.DUMMYFUNCTION("""COMPUTED_VALUE"""),240.91)</f>
        <v>240.91</v>
      </c>
      <c r="D408" s="1">
        <f>IFERROR(__xludf.DUMMYFUNCTION("""COMPUTED_VALUE"""),237.09)</f>
        <v>237.09</v>
      </c>
      <c r="E408" s="1">
        <f>IFERROR(__xludf.DUMMYFUNCTION("""COMPUTED_VALUE"""),240.35)</f>
        <v>240.35</v>
      </c>
      <c r="F408" s="1">
        <f>IFERROR(__xludf.DUMMYFUNCTION("""COMPUTED_VALUE"""),2.9831257E7)</f>
        <v>29831257</v>
      </c>
    </row>
    <row r="409">
      <c r="A409" s="2">
        <f>IFERROR(__xludf.DUMMYFUNCTION("""COMPUTED_VALUE"""),44944.66666666667)</f>
        <v>44944.66667</v>
      </c>
      <c r="B409" s="1">
        <f>IFERROR(__xludf.DUMMYFUNCTION("""COMPUTED_VALUE"""),241.57)</f>
        <v>241.57</v>
      </c>
      <c r="C409" s="1">
        <f>IFERROR(__xludf.DUMMYFUNCTION("""COMPUTED_VALUE"""),242.38)</f>
        <v>242.38</v>
      </c>
      <c r="D409" s="1">
        <f>IFERROR(__xludf.DUMMYFUNCTION("""COMPUTED_VALUE"""),235.52)</f>
        <v>235.52</v>
      </c>
      <c r="E409" s="1">
        <f>IFERROR(__xludf.DUMMYFUNCTION("""COMPUTED_VALUE"""),235.81)</f>
        <v>235.81</v>
      </c>
      <c r="F409" s="1">
        <f>IFERROR(__xludf.DUMMYFUNCTION("""COMPUTED_VALUE"""),3.0028692E7)</f>
        <v>30028692</v>
      </c>
    </row>
    <row r="410">
      <c r="A410" s="2">
        <f>IFERROR(__xludf.DUMMYFUNCTION("""COMPUTED_VALUE"""),44945.66666666667)</f>
        <v>44945.66667</v>
      </c>
      <c r="B410" s="1">
        <f>IFERROR(__xludf.DUMMYFUNCTION("""COMPUTED_VALUE"""),233.78)</f>
        <v>233.78</v>
      </c>
      <c r="C410" s="1">
        <f>IFERROR(__xludf.DUMMYFUNCTION("""COMPUTED_VALUE"""),235.52)</f>
        <v>235.52</v>
      </c>
      <c r="D410" s="1">
        <f>IFERROR(__xludf.DUMMYFUNCTION("""COMPUTED_VALUE"""),230.68)</f>
        <v>230.68</v>
      </c>
      <c r="E410" s="1">
        <f>IFERROR(__xludf.DUMMYFUNCTION("""COMPUTED_VALUE"""),231.93)</f>
        <v>231.93</v>
      </c>
      <c r="F410" s="1">
        <f>IFERROR(__xludf.DUMMYFUNCTION("""COMPUTED_VALUE"""),2.8623033E7)</f>
        <v>28623033</v>
      </c>
    </row>
    <row r="411">
      <c r="A411" s="2">
        <f>IFERROR(__xludf.DUMMYFUNCTION("""COMPUTED_VALUE"""),44946.66666666667)</f>
        <v>44946.66667</v>
      </c>
      <c r="B411" s="1">
        <f>IFERROR(__xludf.DUMMYFUNCTION("""COMPUTED_VALUE"""),234.86)</f>
        <v>234.86</v>
      </c>
      <c r="C411" s="1">
        <f>IFERROR(__xludf.DUMMYFUNCTION("""COMPUTED_VALUE"""),240.74)</f>
        <v>240.74</v>
      </c>
      <c r="D411" s="1">
        <f>IFERROR(__xludf.DUMMYFUNCTION("""COMPUTED_VALUE"""),234.51)</f>
        <v>234.51</v>
      </c>
      <c r="E411" s="1">
        <f>IFERROR(__xludf.DUMMYFUNCTION("""COMPUTED_VALUE"""),240.22)</f>
        <v>240.22</v>
      </c>
      <c r="F411" s="1">
        <f>IFERROR(__xludf.DUMMYFUNCTION("""COMPUTED_VALUE"""),3.5389809E7)</f>
        <v>35389809</v>
      </c>
    </row>
    <row r="412">
      <c r="A412" s="2">
        <f>IFERROR(__xludf.DUMMYFUNCTION("""COMPUTED_VALUE"""),44949.66666666667)</f>
        <v>44949.66667</v>
      </c>
      <c r="B412" s="1">
        <f>IFERROR(__xludf.DUMMYFUNCTION("""COMPUTED_VALUE"""),241.1)</f>
        <v>241.1</v>
      </c>
      <c r="C412" s="1">
        <f>IFERROR(__xludf.DUMMYFUNCTION("""COMPUTED_VALUE"""),245.17)</f>
        <v>245.17</v>
      </c>
      <c r="D412" s="1">
        <f>IFERROR(__xludf.DUMMYFUNCTION("""COMPUTED_VALUE"""),239.65)</f>
        <v>239.65</v>
      </c>
      <c r="E412" s="1">
        <f>IFERROR(__xludf.DUMMYFUNCTION("""COMPUTED_VALUE"""),242.58)</f>
        <v>242.58</v>
      </c>
      <c r="F412" s="1">
        <f>IFERROR(__xludf.DUMMYFUNCTION("""COMPUTED_VALUE"""),3.1933951E7)</f>
        <v>31933951</v>
      </c>
    </row>
    <row r="413">
      <c r="A413" s="2">
        <f>IFERROR(__xludf.DUMMYFUNCTION("""COMPUTED_VALUE"""),44950.66666666667)</f>
        <v>44950.66667</v>
      </c>
      <c r="B413" s="1">
        <f>IFERROR(__xludf.DUMMYFUNCTION("""COMPUTED_VALUE"""),242.5)</f>
        <v>242.5</v>
      </c>
      <c r="C413" s="1">
        <f>IFERROR(__xludf.DUMMYFUNCTION("""COMPUTED_VALUE"""),243.95)</f>
        <v>243.95</v>
      </c>
      <c r="D413" s="1">
        <f>IFERROR(__xludf.DUMMYFUNCTION("""COMPUTED_VALUE"""),240.44)</f>
        <v>240.44</v>
      </c>
      <c r="E413" s="1">
        <f>IFERROR(__xludf.DUMMYFUNCTION("""COMPUTED_VALUE"""),242.04)</f>
        <v>242.04</v>
      </c>
      <c r="F413" s="1">
        <f>IFERROR(__xludf.DUMMYFUNCTION("""COMPUTED_VALUE"""),4.0234444E7)</f>
        <v>40234444</v>
      </c>
    </row>
    <row r="414">
      <c r="A414" s="2">
        <f>IFERROR(__xludf.DUMMYFUNCTION("""COMPUTED_VALUE"""),44951.66666666667)</f>
        <v>44951.66667</v>
      </c>
      <c r="B414" s="1">
        <f>IFERROR(__xludf.DUMMYFUNCTION("""COMPUTED_VALUE"""),234.48)</f>
        <v>234.48</v>
      </c>
      <c r="C414" s="1">
        <f>IFERROR(__xludf.DUMMYFUNCTION("""COMPUTED_VALUE"""),243.3)</f>
        <v>243.3</v>
      </c>
      <c r="D414" s="1">
        <f>IFERROR(__xludf.DUMMYFUNCTION("""COMPUTED_VALUE"""),230.9)</f>
        <v>230.9</v>
      </c>
      <c r="E414" s="1">
        <f>IFERROR(__xludf.DUMMYFUNCTION("""COMPUTED_VALUE"""),240.61)</f>
        <v>240.61</v>
      </c>
      <c r="F414" s="1">
        <f>IFERROR(__xludf.DUMMYFUNCTION("""COMPUTED_VALUE"""),6.6526641E7)</f>
        <v>66526641</v>
      </c>
    </row>
    <row r="415">
      <c r="A415" s="2">
        <f>IFERROR(__xludf.DUMMYFUNCTION("""COMPUTED_VALUE"""),44952.66666666667)</f>
        <v>44952.66667</v>
      </c>
      <c r="B415" s="1">
        <f>IFERROR(__xludf.DUMMYFUNCTION("""COMPUTED_VALUE"""),243.65)</f>
        <v>243.65</v>
      </c>
      <c r="C415" s="1">
        <f>IFERROR(__xludf.DUMMYFUNCTION("""COMPUTED_VALUE"""),248.31)</f>
        <v>248.31</v>
      </c>
      <c r="D415" s="1">
        <f>IFERROR(__xludf.DUMMYFUNCTION("""COMPUTED_VALUE"""),242.0)</f>
        <v>242</v>
      </c>
      <c r="E415" s="1">
        <f>IFERROR(__xludf.DUMMYFUNCTION("""COMPUTED_VALUE"""),248.0)</f>
        <v>248</v>
      </c>
      <c r="F415" s="1">
        <f>IFERROR(__xludf.DUMMYFUNCTION("""COMPUTED_VALUE"""),3.3454491E7)</f>
        <v>33454491</v>
      </c>
    </row>
    <row r="416">
      <c r="A416" s="2">
        <f>IFERROR(__xludf.DUMMYFUNCTION("""COMPUTED_VALUE"""),44953.66666666667)</f>
        <v>44953.66667</v>
      </c>
      <c r="B416" s="1">
        <f>IFERROR(__xludf.DUMMYFUNCTION("""COMPUTED_VALUE"""),248.99)</f>
        <v>248.99</v>
      </c>
      <c r="C416" s="1">
        <f>IFERROR(__xludf.DUMMYFUNCTION("""COMPUTED_VALUE"""),249.83)</f>
        <v>249.83</v>
      </c>
      <c r="D416" s="1">
        <f>IFERROR(__xludf.DUMMYFUNCTION("""COMPUTED_VALUE"""),246.83)</f>
        <v>246.83</v>
      </c>
      <c r="E416" s="1">
        <f>IFERROR(__xludf.DUMMYFUNCTION("""COMPUTED_VALUE"""),248.16)</f>
        <v>248.16</v>
      </c>
      <c r="F416" s="1">
        <f>IFERROR(__xludf.DUMMYFUNCTION("""COMPUTED_VALUE"""),2.6498939E7)</f>
        <v>26498939</v>
      </c>
    </row>
    <row r="417">
      <c r="A417" s="2">
        <f>IFERROR(__xludf.DUMMYFUNCTION("""COMPUTED_VALUE"""),44956.66666666667)</f>
        <v>44956.66667</v>
      </c>
      <c r="B417" s="1">
        <f>IFERROR(__xludf.DUMMYFUNCTION("""COMPUTED_VALUE"""),244.51)</f>
        <v>244.51</v>
      </c>
      <c r="C417" s="1">
        <f>IFERROR(__xludf.DUMMYFUNCTION("""COMPUTED_VALUE"""),245.6)</f>
        <v>245.6</v>
      </c>
      <c r="D417" s="1">
        <f>IFERROR(__xludf.DUMMYFUNCTION("""COMPUTED_VALUE"""),242.2)</f>
        <v>242.2</v>
      </c>
      <c r="E417" s="1">
        <f>IFERROR(__xludf.DUMMYFUNCTION("""COMPUTED_VALUE"""),242.71)</f>
        <v>242.71</v>
      </c>
      <c r="F417" s="1">
        <f>IFERROR(__xludf.DUMMYFUNCTION("""COMPUTED_VALUE"""),2.5867365E7)</f>
        <v>25867365</v>
      </c>
    </row>
    <row r="418">
      <c r="A418" s="2">
        <f>IFERROR(__xludf.DUMMYFUNCTION("""COMPUTED_VALUE"""),44957.66666666667)</f>
        <v>44957.66667</v>
      </c>
      <c r="B418" s="1">
        <f>IFERROR(__xludf.DUMMYFUNCTION("""COMPUTED_VALUE"""),243.45)</f>
        <v>243.45</v>
      </c>
      <c r="C418" s="1">
        <f>IFERROR(__xludf.DUMMYFUNCTION("""COMPUTED_VALUE"""),247.95)</f>
        <v>247.95</v>
      </c>
      <c r="D418" s="1">
        <f>IFERROR(__xludf.DUMMYFUNCTION("""COMPUTED_VALUE"""),242.95)</f>
        <v>242.95</v>
      </c>
      <c r="E418" s="1">
        <f>IFERROR(__xludf.DUMMYFUNCTION("""COMPUTED_VALUE"""),247.81)</f>
        <v>247.81</v>
      </c>
      <c r="F418" s="1">
        <f>IFERROR(__xludf.DUMMYFUNCTION("""COMPUTED_VALUE"""),2.6541072E7)</f>
        <v>26541072</v>
      </c>
    </row>
    <row r="419">
      <c r="A419" s="2">
        <f>IFERROR(__xludf.DUMMYFUNCTION("""COMPUTED_VALUE"""),44958.66666666667)</f>
        <v>44958.66667</v>
      </c>
      <c r="B419" s="1">
        <f>IFERROR(__xludf.DUMMYFUNCTION("""COMPUTED_VALUE"""),248.0)</f>
        <v>248</v>
      </c>
      <c r="C419" s="1">
        <f>IFERROR(__xludf.DUMMYFUNCTION("""COMPUTED_VALUE"""),255.18)</f>
        <v>255.18</v>
      </c>
      <c r="D419" s="1">
        <f>IFERROR(__xludf.DUMMYFUNCTION("""COMPUTED_VALUE"""),245.47)</f>
        <v>245.47</v>
      </c>
      <c r="E419" s="1">
        <f>IFERROR(__xludf.DUMMYFUNCTION("""COMPUTED_VALUE"""),252.75)</f>
        <v>252.75</v>
      </c>
      <c r="F419" s="1">
        <f>IFERROR(__xludf.DUMMYFUNCTION("""COMPUTED_VALUE"""),3.1259912E7)</f>
        <v>31259912</v>
      </c>
    </row>
    <row r="420">
      <c r="A420" s="2">
        <f>IFERROR(__xludf.DUMMYFUNCTION("""COMPUTED_VALUE"""),44959.66666666667)</f>
        <v>44959.66667</v>
      </c>
      <c r="B420" s="1">
        <f>IFERROR(__xludf.DUMMYFUNCTION("""COMPUTED_VALUE"""),258.82)</f>
        <v>258.82</v>
      </c>
      <c r="C420" s="1">
        <f>IFERROR(__xludf.DUMMYFUNCTION("""COMPUTED_VALUE"""),264.69)</f>
        <v>264.69</v>
      </c>
      <c r="D420" s="1">
        <f>IFERROR(__xludf.DUMMYFUNCTION("""COMPUTED_VALUE"""),257.25)</f>
        <v>257.25</v>
      </c>
      <c r="E420" s="1">
        <f>IFERROR(__xludf.DUMMYFUNCTION("""COMPUTED_VALUE"""),264.6)</f>
        <v>264.6</v>
      </c>
      <c r="F420" s="1">
        <f>IFERROR(__xludf.DUMMYFUNCTION("""COMPUTED_VALUE"""),3.9940437E7)</f>
        <v>39940437</v>
      </c>
    </row>
    <row r="421">
      <c r="A421" s="2">
        <f>IFERROR(__xludf.DUMMYFUNCTION("""COMPUTED_VALUE"""),44960.66666666667)</f>
        <v>44960.66667</v>
      </c>
      <c r="B421" s="1">
        <f>IFERROR(__xludf.DUMMYFUNCTION("""COMPUTED_VALUE"""),259.54)</f>
        <v>259.54</v>
      </c>
      <c r="C421" s="1">
        <f>IFERROR(__xludf.DUMMYFUNCTION("""COMPUTED_VALUE"""),264.2)</f>
        <v>264.2</v>
      </c>
      <c r="D421" s="1">
        <f>IFERROR(__xludf.DUMMYFUNCTION("""COMPUTED_VALUE"""),257.1)</f>
        <v>257.1</v>
      </c>
      <c r="E421" s="1">
        <f>IFERROR(__xludf.DUMMYFUNCTION("""COMPUTED_VALUE"""),258.35)</f>
        <v>258.35</v>
      </c>
      <c r="F421" s="1">
        <f>IFERROR(__xludf.DUMMYFUNCTION("""COMPUTED_VALUE"""),2.9077256E7)</f>
        <v>29077256</v>
      </c>
    </row>
    <row r="422">
      <c r="A422" s="2">
        <f>IFERROR(__xludf.DUMMYFUNCTION("""COMPUTED_VALUE"""),44963.66666666667)</f>
        <v>44963.66667</v>
      </c>
      <c r="B422" s="1">
        <f>IFERROR(__xludf.DUMMYFUNCTION("""COMPUTED_VALUE"""),257.44)</f>
        <v>257.44</v>
      </c>
      <c r="C422" s="1">
        <f>IFERROR(__xludf.DUMMYFUNCTION("""COMPUTED_VALUE"""),258.3)</f>
        <v>258.3</v>
      </c>
      <c r="D422" s="1">
        <f>IFERROR(__xludf.DUMMYFUNCTION("""COMPUTED_VALUE"""),254.78)</f>
        <v>254.78</v>
      </c>
      <c r="E422" s="1">
        <f>IFERROR(__xludf.DUMMYFUNCTION("""COMPUTED_VALUE"""),256.77)</f>
        <v>256.77</v>
      </c>
      <c r="F422" s="1">
        <f>IFERROR(__xludf.DUMMYFUNCTION("""COMPUTED_VALUE"""),2.2517997E7)</f>
        <v>22517997</v>
      </c>
    </row>
    <row r="423">
      <c r="A423" s="2">
        <f>IFERROR(__xludf.DUMMYFUNCTION("""COMPUTED_VALUE"""),44964.66666666667)</f>
        <v>44964.66667</v>
      </c>
      <c r="B423" s="1">
        <f>IFERROR(__xludf.DUMMYFUNCTION("""COMPUTED_VALUE"""),260.53)</f>
        <v>260.53</v>
      </c>
      <c r="C423" s="1">
        <f>IFERROR(__xludf.DUMMYFUNCTION("""COMPUTED_VALUE"""),268.77)</f>
        <v>268.77</v>
      </c>
      <c r="D423" s="1">
        <f>IFERROR(__xludf.DUMMYFUNCTION("""COMPUTED_VALUE"""),260.08)</f>
        <v>260.08</v>
      </c>
      <c r="E423" s="1">
        <f>IFERROR(__xludf.DUMMYFUNCTION("""COMPUTED_VALUE"""),267.56)</f>
        <v>267.56</v>
      </c>
      <c r="F423" s="1">
        <f>IFERROR(__xludf.DUMMYFUNCTION("""COMPUTED_VALUE"""),5.0841365E7)</f>
        <v>50841365</v>
      </c>
    </row>
    <row r="424">
      <c r="A424" s="2">
        <f>IFERROR(__xludf.DUMMYFUNCTION("""COMPUTED_VALUE"""),44965.66666666667)</f>
        <v>44965.66667</v>
      </c>
      <c r="B424" s="1">
        <f>IFERROR(__xludf.DUMMYFUNCTION("""COMPUTED_VALUE"""),273.2)</f>
        <v>273.2</v>
      </c>
      <c r="C424" s="1">
        <f>IFERROR(__xludf.DUMMYFUNCTION("""COMPUTED_VALUE"""),276.76)</f>
        <v>276.76</v>
      </c>
      <c r="D424" s="1">
        <f>IFERROR(__xludf.DUMMYFUNCTION("""COMPUTED_VALUE"""),266.21)</f>
        <v>266.21</v>
      </c>
      <c r="E424" s="1">
        <f>IFERROR(__xludf.DUMMYFUNCTION("""COMPUTED_VALUE"""),266.73)</f>
        <v>266.73</v>
      </c>
      <c r="F424" s="1">
        <f>IFERROR(__xludf.DUMMYFUNCTION("""COMPUTED_VALUE"""),5.4686049E7)</f>
        <v>54686049</v>
      </c>
    </row>
    <row r="425">
      <c r="A425" s="2">
        <f>IFERROR(__xludf.DUMMYFUNCTION("""COMPUTED_VALUE"""),44966.66666666667)</f>
        <v>44966.66667</v>
      </c>
      <c r="B425" s="1">
        <f>IFERROR(__xludf.DUMMYFUNCTION("""COMPUTED_VALUE"""),273.8)</f>
        <v>273.8</v>
      </c>
      <c r="C425" s="1">
        <f>IFERROR(__xludf.DUMMYFUNCTION("""COMPUTED_VALUE"""),273.98)</f>
        <v>273.98</v>
      </c>
      <c r="D425" s="1">
        <f>IFERROR(__xludf.DUMMYFUNCTION("""COMPUTED_VALUE"""),262.8)</f>
        <v>262.8</v>
      </c>
      <c r="E425" s="1">
        <f>IFERROR(__xludf.DUMMYFUNCTION("""COMPUTED_VALUE"""),263.62)</f>
        <v>263.62</v>
      </c>
      <c r="F425" s="1">
        <f>IFERROR(__xludf.DUMMYFUNCTION("""COMPUTED_VALUE"""),4.2375102E7)</f>
        <v>42375102</v>
      </c>
    </row>
    <row r="426">
      <c r="A426" s="2">
        <f>IFERROR(__xludf.DUMMYFUNCTION("""COMPUTED_VALUE"""),44967.66666666667)</f>
        <v>44967.66667</v>
      </c>
      <c r="B426" s="1">
        <f>IFERROR(__xludf.DUMMYFUNCTION("""COMPUTED_VALUE"""),261.53)</f>
        <v>261.53</v>
      </c>
      <c r="C426" s="1">
        <f>IFERROR(__xludf.DUMMYFUNCTION("""COMPUTED_VALUE"""),264.09)</f>
        <v>264.09</v>
      </c>
      <c r="D426" s="1">
        <f>IFERROR(__xludf.DUMMYFUNCTION("""COMPUTED_VALUE"""),260.66)</f>
        <v>260.66</v>
      </c>
      <c r="E426" s="1">
        <f>IFERROR(__xludf.DUMMYFUNCTION("""COMPUTED_VALUE"""),263.1)</f>
        <v>263.1</v>
      </c>
      <c r="F426" s="1">
        <f>IFERROR(__xludf.DUMMYFUNCTION("""COMPUTED_VALUE"""),2.5818489E7)</f>
        <v>25818489</v>
      </c>
    </row>
    <row r="427">
      <c r="A427" s="2">
        <f>IFERROR(__xludf.DUMMYFUNCTION("""COMPUTED_VALUE"""),44970.66666666667)</f>
        <v>44970.66667</v>
      </c>
      <c r="B427" s="1">
        <f>IFERROR(__xludf.DUMMYFUNCTION("""COMPUTED_VALUE"""),267.64)</f>
        <v>267.64</v>
      </c>
      <c r="C427" s="1">
        <f>IFERROR(__xludf.DUMMYFUNCTION("""COMPUTED_VALUE"""),274.6)</f>
        <v>274.6</v>
      </c>
      <c r="D427" s="1">
        <f>IFERROR(__xludf.DUMMYFUNCTION("""COMPUTED_VALUE"""),267.15)</f>
        <v>267.15</v>
      </c>
      <c r="E427" s="1">
        <f>IFERROR(__xludf.DUMMYFUNCTION("""COMPUTED_VALUE"""),271.32)</f>
        <v>271.32</v>
      </c>
      <c r="F427" s="1">
        <f>IFERROR(__xludf.DUMMYFUNCTION("""COMPUTED_VALUE"""),4.4630921E7)</f>
        <v>44630921</v>
      </c>
    </row>
    <row r="428">
      <c r="A428" s="2">
        <f>IFERROR(__xludf.DUMMYFUNCTION("""COMPUTED_VALUE"""),44971.66666666667)</f>
        <v>44971.66667</v>
      </c>
      <c r="B428" s="1">
        <f>IFERROR(__xludf.DUMMYFUNCTION("""COMPUTED_VALUE"""),272.67)</f>
        <v>272.67</v>
      </c>
      <c r="C428" s="1">
        <f>IFERROR(__xludf.DUMMYFUNCTION("""COMPUTED_VALUE"""),274.97)</f>
        <v>274.97</v>
      </c>
      <c r="D428" s="1">
        <f>IFERROR(__xludf.DUMMYFUNCTION("""COMPUTED_VALUE"""),269.28)</f>
        <v>269.28</v>
      </c>
      <c r="E428" s="1">
        <f>IFERROR(__xludf.DUMMYFUNCTION("""COMPUTED_VALUE"""),272.17)</f>
        <v>272.17</v>
      </c>
      <c r="F428" s="1">
        <f>IFERROR(__xludf.DUMMYFUNCTION("""COMPUTED_VALUE"""),3.7047924E7)</f>
        <v>37047924</v>
      </c>
    </row>
    <row r="429">
      <c r="A429" s="2">
        <f>IFERROR(__xludf.DUMMYFUNCTION("""COMPUTED_VALUE"""),44972.66666666667)</f>
        <v>44972.66667</v>
      </c>
      <c r="B429" s="1">
        <f>IFERROR(__xludf.DUMMYFUNCTION("""COMPUTED_VALUE"""),268.32)</f>
        <v>268.32</v>
      </c>
      <c r="C429" s="1">
        <f>IFERROR(__xludf.DUMMYFUNCTION("""COMPUTED_VALUE"""),270.73)</f>
        <v>270.73</v>
      </c>
      <c r="D429" s="1">
        <f>IFERROR(__xludf.DUMMYFUNCTION("""COMPUTED_VALUE"""),266.18)</f>
        <v>266.18</v>
      </c>
      <c r="E429" s="1">
        <f>IFERROR(__xludf.DUMMYFUNCTION("""COMPUTED_VALUE"""),269.32)</f>
        <v>269.32</v>
      </c>
      <c r="F429" s="1">
        <f>IFERROR(__xludf.DUMMYFUNCTION("""COMPUTED_VALUE"""),2.8962163E7)</f>
        <v>28962163</v>
      </c>
    </row>
    <row r="430">
      <c r="A430" s="2">
        <f>IFERROR(__xludf.DUMMYFUNCTION("""COMPUTED_VALUE"""),44973.66666666667)</f>
        <v>44973.66667</v>
      </c>
      <c r="B430" s="1">
        <f>IFERROR(__xludf.DUMMYFUNCTION("""COMPUTED_VALUE"""),264.02)</f>
        <v>264.02</v>
      </c>
      <c r="C430" s="1">
        <f>IFERROR(__xludf.DUMMYFUNCTION("""COMPUTED_VALUE"""),266.74)</f>
        <v>266.74</v>
      </c>
      <c r="D430" s="1">
        <f>IFERROR(__xludf.DUMMYFUNCTION("""COMPUTED_VALUE"""),261.9)</f>
        <v>261.9</v>
      </c>
      <c r="E430" s="1">
        <f>IFERROR(__xludf.DUMMYFUNCTION("""COMPUTED_VALUE"""),262.15)</f>
        <v>262.15</v>
      </c>
      <c r="F430" s="1">
        <f>IFERROR(__xludf.DUMMYFUNCTION("""COMPUTED_VALUE"""),2.9603616E7)</f>
        <v>29603616</v>
      </c>
    </row>
    <row r="431">
      <c r="A431" s="2">
        <f>IFERROR(__xludf.DUMMYFUNCTION("""COMPUTED_VALUE"""),44974.66666666667)</f>
        <v>44974.66667</v>
      </c>
      <c r="B431" s="1">
        <f>IFERROR(__xludf.DUMMYFUNCTION("""COMPUTED_VALUE"""),259.39)</f>
        <v>259.39</v>
      </c>
      <c r="C431" s="1">
        <f>IFERROR(__xludf.DUMMYFUNCTION("""COMPUTED_VALUE"""),260.09)</f>
        <v>260.09</v>
      </c>
      <c r="D431" s="1">
        <f>IFERROR(__xludf.DUMMYFUNCTION("""COMPUTED_VALUE"""),256.0)</f>
        <v>256</v>
      </c>
      <c r="E431" s="1">
        <f>IFERROR(__xludf.DUMMYFUNCTION("""COMPUTED_VALUE"""),258.06)</f>
        <v>258.06</v>
      </c>
      <c r="F431" s="1">
        <f>IFERROR(__xludf.DUMMYFUNCTION("""COMPUTED_VALUE"""),3.0000055E7)</f>
        <v>30000055</v>
      </c>
    </row>
    <row r="432">
      <c r="A432" s="2">
        <f>IFERROR(__xludf.DUMMYFUNCTION("""COMPUTED_VALUE"""),44978.66666666667)</f>
        <v>44978.66667</v>
      </c>
      <c r="B432" s="1">
        <f>IFERROR(__xludf.DUMMYFUNCTION("""COMPUTED_VALUE"""),254.48)</f>
        <v>254.48</v>
      </c>
      <c r="C432" s="1">
        <f>IFERROR(__xludf.DUMMYFUNCTION("""COMPUTED_VALUE"""),255.49)</f>
        <v>255.49</v>
      </c>
      <c r="D432" s="1">
        <f>IFERROR(__xludf.DUMMYFUNCTION("""COMPUTED_VALUE"""),251.59)</f>
        <v>251.59</v>
      </c>
      <c r="E432" s="1">
        <f>IFERROR(__xludf.DUMMYFUNCTION("""COMPUTED_VALUE"""),252.67)</f>
        <v>252.67</v>
      </c>
      <c r="F432" s="1">
        <f>IFERROR(__xludf.DUMMYFUNCTION("""COMPUTED_VALUE"""),2.8397444E7)</f>
        <v>28397444</v>
      </c>
    </row>
    <row r="433">
      <c r="A433" s="2">
        <f>IFERROR(__xludf.DUMMYFUNCTION("""COMPUTED_VALUE"""),44979.66666666667)</f>
        <v>44979.66667</v>
      </c>
      <c r="B433" s="1">
        <f>IFERROR(__xludf.DUMMYFUNCTION("""COMPUTED_VALUE"""),254.09)</f>
        <v>254.09</v>
      </c>
      <c r="C433" s="1">
        <f>IFERROR(__xludf.DUMMYFUNCTION("""COMPUTED_VALUE"""),254.34)</f>
        <v>254.34</v>
      </c>
      <c r="D433" s="1">
        <f>IFERROR(__xludf.DUMMYFUNCTION("""COMPUTED_VALUE"""),250.34)</f>
        <v>250.34</v>
      </c>
      <c r="E433" s="1">
        <f>IFERROR(__xludf.DUMMYFUNCTION("""COMPUTED_VALUE"""),251.51)</f>
        <v>251.51</v>
      </c>
      <c r="F433" s="1">
        <f>IFERROR(__xludf.DUMMYFUNCTION("""COMPUTED_VALUE"""),2.2491056E7)</f>
        <v>22491056</v>
      </c>
    </row>
    <row r="434">
      <c r="A434" s="2">
        <f>IFERROR(__xludf.DUMMYFUNCTION("""COMPUTED_VALUE"""),44980.66666666667)</f>
        <v>44980.66667</v>
      </c>
      <c r="B434" s="1">
        <f>IFERROR(__xludf.DUMMYFUNCTION("""COMPUTED_VALUE"""),255.56)</f>
        <v>255.56</v>
      </c>
      <c r="C434" s="1">
        <f>IFERROR(__xludf.DUMMYFUNCTION("""COMPUTED_VALUE"""),256.84)</f>
        <v>256.84</v>
      </c>
      <c r="D434" s="1">
        <f>IFERROR(__xludf.DUMMYFUNCTION("""COMPUTED_VALUE"""),250.48)</f>
        <v>250.48</v>
      </c>
      <c r="E434" s="1">
        <f>IFERROR(__xludf.DUMMYFUNCTION("""COMPUTED_VALUE"""),254.77)</f>
        <v>254.77</v>
      </c>
      <c r="F434" s="1">
        <f>IFERROR(__xludf.DUMMYFUNCTION("""COMPUTED_VALUE"""),2.9219095E7)</f>
        <v>29219095</v>
      </c>
    </row>
    <row r="435">
      <c r="A435" s="2">
        <f>IFERROR(__xludf.DUMMYFUNCTION("""COMPUTED_VALUE"""),44981.66666666667)</f>
        <v>44981.66667</v>
      </c>
      <c r="B435" s="1">
        <f>IFERROR(__xludf.DUMMYFUNCTION("""COMPUTED_VALUE"""),249.96)</f>
        <v>249.96</v>
      </c>
      <c r="C435" s="1">
        <f>IFERROR(__xludf.DUMMYFUNCTION("""COMPUTED_VALUE"""),251.0)</f>
        <v>251</v>
      </c>
      <c r="D435" s="1">
        <f>IFERROR(__xludf.DUMMYFUNCTION("""COMPUTED_VALUE"""),248.1)</f>
        <v>248.1</v>
      </c>
      <c r="E435" s="1">
        <f>IFERROR(__xludf.DUMMYFUNCTION("""COMPUTED_VALUE"""),249.22)</f>
        <v>249.22</v>
      </c>
      <c r="F435" s="1">
        <f>IFERROR(__xludf.DUMMYFUNCTION("""COMPUTED_VALUE"""),2.4990905E7)</f>
        <v>24990905</v>
      </c>
    </row>
    <row r="436">
      <c r="A436" s="2">
        <f>IFERROR(__xludf.DUMMYFUNCTION("""COMPUTED_VALUE"""),44984.66666666667)</f>
        <v>44984.66667</v>
      </c>
      <c r="B436" s="1">
        <f>IFERROR(__xludf.DUMMYFUNCTION("""COMPUTED_VALUE"""),252.46)</f>
        <v>252.46</v>
      </c>
      <c r="C436" s="1">
        <f>IFERROR(__xludf.DUMMYFUNCTION("""COMPUTED_VALUE"""),252.82)</f>
        <v>252.82</v>
      </c>
      <c r="D436" s="1">
        <f>IFERROR(__xludf.DUMMYFUNCTION("""COMPUTED_VALUE"""),249.39)</f>
        <v>249.39</v>
      </c>
      <c r="E436" s="1">
        <f>IFERROR(__xludf.DUMMYFUNCTION("""COMPUTED_VALUE"""),250.16)</f>
        <v>250.16</v>
      </c>
      <c r="F436" s="1">
        <f>IFERROR(__xludf.DUMMYFUNCTION("""COMPUTED_VALUE"""),2.1190042E7)</f>
        <v>21190042</v>
      </c>
    </row>
    <row r="437">
      <c r="A437" s="2">
        <f>IFERROR(__xludf.DUMMYFUNCTION("""COMPUTED_VALUE"""),44985.66666666667)</f>
        <v>44985.66667</v>
      </c>
      <c r="B437" s="1">
        <f>IFERROR(__xludf.DUMMYFUNCTION("""COMPUTED_VALUE"""),249.07)</f>
        <v>249.07</v>
      </c>
      <c r="C437" s="1">
        <f>IFERROR(__xludf.DUMMYFUNCTION("""COMPUTED_VALUE"""),251.49)</f>
        <v>251.49</v>
      </c>
      <c r="D437" s="1">
        <f>IFERROR(__xludf.DUMMYFUNCTION("""COMPUTED_VALUE"""),248.73)</f>
        <v>248.73</v>
      </c>
      <c r="E437" s="1">
        <f>IFERROR(__xludf.DUMMYFUNCTION("""COMPUTED_VALUE"""),249.42)</f>
        <v>249.42</v>
      </c>
      <c r="F437" s="1">
        <f>IFERROR(__xludf.DUMMYFUNCTION("""COMPUTED_VALUE"""),2.249095E7)</f>
        <v>22490950</v>
      </c>
    </row>
    <row r="438">
      <c r="A438" s="2">
        <f>IFERROR(__xludf.DUMMYFUNCTION("""COMPUTED_VALUE"""),44986.66666666667)</f>
        <v>44986.66667</v>
      </c>
      <c r="B438" s="1">
        <f>IFERROR(__xludf.DUMMYFUNCTION("""COMPUTED_VALUE"""),250.76)</f>
        <v>250.76</v>
      </c>
      <c r="C438" s="1">
        <f>IFERROR(__xludf.DUMMYFUNCTION("""COMPUTED_VALUE"""),250.93)</f>
        <v>250.93</v>
      </c>
      <c r="D438" s="1">
        <f>IFERROR(__xludf.DUMMYFUNCTION("""COMPUTED_VALUE"""),245.79)</f>
        <v>245.79</v>
      </c>
      <c r="E438" s="1">
        <f>IFERROR(__xludf.DUMMYFUNCTION("""COMPUTED_VALUE"""),246.27)</f>
        <v>246.27</v>
      </c>
      <c r="F438" s="1">
        <f>IFERROR(__xludf.DUMMYFUNCTION("""COMPUTED_VALUE"""),2.7565259E7)</f>
        <v>27565259</v>
      </c>
    </row>
    <row r="439">
      <c r="A439" s="2">
        <f>IFERROR(__xludf.DUMMYFUNCTION("""COMPUTED_VALUE"""),44987.66666666667)</f>
        <v>44987.66667</v>
      </c>
      <c r="B439" s="1">
        <f>IFERROR(__xludf.DUMMYFUNCTION("""COMPUTED_VALUE"""),246.55)</f>
        <v>246.55</v>
      </c>
      <c r="C439" s="1">
        <f>IFERROR(__xludf.DUMMYFUNCTION("""COMPUTED_VALUE"""),251.4)</f>
        <v>251.4</v>
      </c>
      <c r="D439" s="1">
        <f>IFERROR(__xludf.DUMMYFUNCTION("""COMPUTED_VALUE"""),245.61)</f>
        <v>245.61</v>
      </c>
      <c r="E439" s="1">
        <f>IFERROR(__xludf.DUMMYFUNCTION("""COMPUTED_VALUE"""),251.11)</f>
        <v>251.11</v>
      </c>
      <c r="F439" s="1">
        <f>IFERROR(__xludf.DUMMYFUNCTION("""COMPUTED_VALUE"""),2.4833646E7)</f>
        <v>24833646</v>
      </c>
    </row>
    <row r="440">
      <c r="A440" s="2">
        <f>IFERROR(__xludf.DUMMYFUNCTION("""COMPUTED_VALUE"""),44988.66666666667)</f>
        <v>44988.66667</v>
      </c>
      <c r="B440" s="1">
        <f>IFERROR(__xludf.DUMMYFUNCTION("""COMPUTED_VALUE"""),252.19)</f>
        <v>252.19</v>
      </c>
      <c r="C440" s="1">
        <f>IFERROR(__xludf.DUMMYFUNCTION("""COMPUTED_VALUE"""),255.62)</f>
        <v>255.62</v>
      </c>
      <c r="D440" s="1">
        <f>IFERROR(__xludf.DUMMYFUNCTION("""COMPUTED_VALUE"""),251.39)</f>
        <v>251.39</v>
      </c>
      <c r="E440" s="1">
        <f>IFERROR(__xludf.DUMMYFUNCTION("""COMPUTED_VALUE"""),255.29)</f>
        <v>255.29</v>
      </c>
      <c r="F440" s="1">
        <f>IFERROR(__xludf.DUMMYFUNCTION("""COMPUTED_VALUE"""),3.0760136E7)</f>
        <v>30760136</v>
      </c>
    </row>
    <row r="441">
      <c r="A441" s="2">
        <f>IFERROR(__xludf.DUMMYFUNCTION("""COMPUTED_VALUE"""),44991.66666666667)</f>
        <v>44991.66667</v>
      </c>
      <c r="B441" s="1">
        <f>IFERROR(__xludf.DUMMYFUNCTION("""COMPUTED_VALUE"""),256.43)</f>
        <v>256.43</v>
      </c>
      <c r="C441" s="1">
        <f>IFERROR(__xludf.DUMMYFUNCTION("""COMPUTED_VALUE"""),260.12)</f>
        <v>260.12</v>
      </c>
      <c r="D441" s="1">
        <f>IFERROR(__xludf.DUMMYFUNCTION("""COMPUTED_VALUE"""),255.98)</f>
        <v>255.98</v>
      </c>
      <c r="E441" s="1">
        <f>IFERROR(__xludf.DUMMYFUNCTION("""COMPUTED_VALUE"""),256.87)</f>
        <v>256.87</v>
      </c>
      <c r="F441" s="1">
        <f>IFERROR(__xludf.DUMMYFUNCTION("""COMPUTED_VALUE"""),2.4109849E7)</f>
        <v>24109849</v>
      </c>
    </row>
    <row r="442">
      <c r="A442" s="2">
        <f>IFERROR(__xludf.DUMMYFUNCTION("""COMPUTED_VALUE"""),44992.66666666667)</f>
        <v>44992.66667</v>
      </c>
      <c r="B442" s="1">
        <f>IFERROR(__xludf.DUMMYFUNCTION("""COMPUTED_VALUE"""),256.3)</f>
        <v>256.3</v>
      </c>
      <c r="C442" s="1">
        <f>IFERROR(__xludf.DUMMYFUNCTION("""COMPUTED_VALUE"""),257.69)</f>
        <v>257.69</v>
      </c>
      <c r="D442" s="1">
        <f>IFERROR(__xludf.DUMMYFUNCTION("""COMPUTED_VALUE"""),253.39)</f>
        <v>253.39</v>
      </c>
      <c r="E442" s="1">
        <f>IFERROR(__xludf.DUMMYFUNCTION("""COMPUTED_VALUE"""),254.15)</f>
        <v>254.15</v>
      </c>
      <c r="F442" s="1">
        <f>IFERROR(__xludf.DUMMYFUNCTION("""COMPUTED_VALUE"""),2.1473179E7)</f>
        <v>21473179</v>
      </c>
    </row>
    <row r="443">
      <c r="A443" s="2">
        <f>IFERROR(__xludf.DUMMYFUNCTION("""COMPUTED_VALUE"""),44993.66666666667)</f>
        <v>44993.66667</v>
      </c>
      <c r="B443" s="1">
        <f>IFERROR(__xludf.DUMMYFUNCTION("""COMPUTED_VALUE"""),254.04)</f>
        <v>254.04</v>
      </c>
      <c r="C443" s="1">
        <f>IFERROR(__xludf.DUMMYFUNCTION("""COMPUTED_VALUE"""),254.54)</f>
        <v>254.54</v>
      </c>
      <c r="D443" s="1">
        <f>IFERROR(__xludf.DUMMYFUNCTION("""COMPUTED_VALUE"""),250.81)</f>
        <v>250.81</v>
      </c>
      <c r="E443" s="1">
        <f>IFERROR(__xludf.DUMMYFUNCTION("""COMPUTED_VALUE"""),253.7)</f>
        <v>253.7</v>
      </c>
      <c r="F443" s="1">
        <f>IFERROR(__xludf.DUMMYFUNCTION("""COMPUTED_VALUE"""),1.7340217E7)</f>
        <v>17340217</v>
      </c>
    </row>
    <row r="444">
      <c r="A444" s="2">
        <f>IFERROR(__xludf.DUMMYFUNCTION("""COMPUTED_VALUE"""),44994.66666666667)</f>
        <v>44994.66667</v>
      </c>
      <c r="B444" s="1">
        <f>IFERROR(__xludf.DUMMYFUNCTION("""COMPUTED_VALUE"""),255.82)</f>
        <v>255.82</v>
      </c>
      <c r="C444" s="1">
        <f>IFERROR(__xludf.DUMMYFUNCTION("""COMPUTED_VALUE"""),259.56)</f>
        <v>259.56</v>
      </c>
      <c r="D444" s="1">
        <f>IFERROR(__xludf.DUMMYFUNCTION("""COMPUTED_VALUE"""),251.58)</f>
        <v>251.58</v>
      </c>
      <c r="E444" s="1">
        <f>IFERROR(__xludf.DUMMYFUNCTION("""COMPUTED_VALUE"""),252.32)</f>
        <v>252.32</v>
      </c>
      <c r="F444" s="1">
        <f>IFERROR(__xludf.DUMMYFUNCTION("""COMPUTED_VALUE"""),2.6653387E7)</f>
        <v>26653387</v>
      </c>
    </row>
    <row r="445">
      <c r="A445" s="2">
        <f>IFERROR(__xludf.DUMMYFUNCTION("""COMPUTED_VALUE"""),44995.66666666667)</f>
        <v>44995.66667</v>
      </c>
      <c r="B445" s="1">
        <f>IFERROR(__xludf.DUMMYFUNCTION("""COMPUTED_VALUE"""),251.08)</f>
        <v>251.08</v>
      </c>
      <c r="C445" s="1">
        <f>IFERROR(__xludf.DUMMYFUNCTION("""COMPUTED_VALUE"""),252.79)</f>
        <v>252.79</v>
      </c>
      <c r="D445" s="1">
        <f>IFERROR(__xludf.DUMMYFUNCTION("""COMPUTED_VALUE"""),247.6)</f>
        <v>247.6</v>
      </c>
      <c r="E445" s="1">
        <f>IFERROR(__xludf.DUMMYFUNCTION("""COMPUTED_VALUE"""),248.59)</f>
        <v>248.59</v>
      </c>
      <c r="F445" s="1">
        <f>IFERROR(__xludf.DUMMYFUNCTION("""COMPUTED_VALUE"""),2.833393E7)</f>
        <v>28333930</v>
      </c>
    </row>
    <row r="446">
      <c r="A446" s="2">
        <f>IFERROR(__xludf.DUMMYFUNCTION("""COMPUTED_VALUE"""),44998.66666666667)</f>
        <v>44998.66667</v>
      </c>
      <c r="B446" s="1">
        <f>IFERROR(__xludf.DUMMYFUNCTION("""COMPUTED_VALUE"""),247.4)</f>
        <v>247.4</v>
      </c>
      <c r="C446" s="1">
        <f>IFERROR(__xludf.DUMMYFUNCTION("""COMPUTED_VALUE"""),257.91)</f>
        <v>257.91</v>
      </c>
      <c r="D446" s="1">
        <f>IFERROR(__xludf.DUMMYFUNCTION("""COMPUTED_VALUE"""),245.73)</f>
        <v>245.73</v>
      </c>
      <c r="E446" s="1">
        <f>IFERROR(__xludf.DUMMYFUNCTION("""COMPUTED_VALUE"""),253.92)</f>
        <v>253.92</v>
      </c>
      <c r="F446" s="1">
        <f>IFERROR(__xludf.DUMMYFUNCTION("""COMPUTED_VALUE"""),3.3339721E7)</f>
        <v>33339721</v>
      </c>
    </row>
    <row r="447">
      <c r="A447" s="2">
        <f>IFERROR(__xludf.DUMMYFUNCTION("""COMPUTED_VALUE"""),44999.66666666667)</f>
        <v>44999.66667</v>
      </c>
      <c r="B447" s="1">
        <f>IFERROR(__xludf.DUMMYFUNCTION("""COMPUTED_VALUE"""),256.75)</f>
        <v>256.75</v>
      </c>
      <c r="C447" s="1">
        <f>IFERROR(__xludf.DUMMYFUNCTION("""COMPUTED_VALUE"""),261.07)</f>
        <v>261.07</v>
      </c>
      <c r="D447" s="1">
        <f>IFERROR(__xludf.DUMMYFUNCTION("""COMPUTED_VALUE"""),255.86)</f>
        <v>255.86</v>
      </c>
      <c r="E447" s="1">
        <f>IFERROR(__xludf.DUMMYFUNCTION("""COMPUTED_VALUE"""),260.79)</f>
        <v>260.79</v>
      </c>
      <c r="F447" s="1">
        <f>IFERROR(__xludf.DUMMYFUNCTION("""COMPUTED_VALUE"""),3.3620293E7)</f>
        <v>33620293</v>
      </c>
    </row>
    <row r="448">
      <c r="A448" s="2">
        <f>IFERROR(__xludf.DUMMYFUNCTION("""COMPUTED_VALUE"""),45000.66666666667)</f>
        <v>45000.66667</v>
      </c>
      <c r="B448" s="1">
        <f>IFERROR(__xludf.DUMMYFUNCTION("""COMPUTED_VALUE"""),259.98)</f>
        <v>259.98</v>
      </c>
      <c r="C448" s="1">
        <f>IFERROR(__xludf.DUMMYFUNCTION("""COMPUTED_VALUE"""),266.48)</f>
        <v>266.48</v>
      </c>
      <c r="D448" s="1">
        <f>IFERROR(__xludf.DUMMYFUNCTION("""COMPUTED_VALUE"""),259.21)</f>
        <v>259.21</v>
      </c>
      <c r="E448" s="1">
        <f>IFERROR(__xludf.DUMMYFUNCTION("""COMPUTED_VALUE"""),265.44)</f>
        <v>265.44</v>
      </c>
      <c r="F448" s="1">
        <f>IFERROR(__xludf.DUMMYFUNCTION("""COMPUTED_VALUE"""),4.6028047E7)</f>
        <v>46028047</v>
      </c>
    </row>
    <row r="449">
      <c r="A449" s="2">
        <f>IFERROR(__xludf.DUMMYFUNCTION("""COMPUTED_VALUE"""),45001.66666666667)</f>
        <v>45001.66667</v>
      </c>
      <c r="B449" s="1">
        <f>IFERROR(__xludf.DUMMYFUNCTION("""COMPUTED_VALUE"""),265.21)</f>
        <v>265.21</v>
      </c>
      <c r="C449" s="1">
        <f>IFERROR(__xludf.DUMMYFUNCTION("""COMPUTED_VALUE"""),276.56)</f>
        <v>276.56</v>
      </c>
      <c r="D449" s="1">
        <f>IFERROR(__xludf.DUMMYFUNCTION("""COMPUTED_VALUE"""),263.28)</f>
        <v>263.28</v>
      </c>
      <c r="E449" s="1">
        <f>IFERROR(__xludf.DUMMYFUNCTION("""COMPUTED_VALUE"""),276.2)</f>
        <v>276.2</v>
      </c>
      <c r="F449" s="1">
        <f>IFERROR(__xludf.DUMMYFUNCTION("""COMPUTED_VALUE"""),5.483214E7)</f>
        <v>54832140</v>
      </c>
    </row>
    <row r="450">
      <c r="A450" s="2">
        <f>IFERROR(__xludf.DUMMYFUNCTION("""COMPUTED_VALUE"""),45002.66666666667)</f>
        <v>45002.66667</v>
      </c>
      <c r="B450" s="1">
        <f>IFERROR(__xludf.DUMMYFUNCTION("""COMPUTED_VALUE"""),278.26)</f>
        <v>278.26</v>
      </c>
      <c r="C450" s="1">
        <f>IFERROR(__xludf.DUMMYFUNCTION("""COMPUTED_VALUE"""),283.33)</f>
        <v>283.33</v>
      </c>
      <c r="D450" s="1">
        <f>IFERROR(__xludf.DUMMYFUNCTION("""COMPUTED_VALUE"""),276.32)</f>
        <v>276.32</v>
      </c>
      <c r="E450" s="1">
        <f>IFERROR(__xludf.DUMMYFUNCTION("""COMPUTED_VALUE"""),279.43)</f>
        <v>279.43</v>
      </c>
      <c r="F450" s="1">
        <f>IFERROR(__xludf.DUMMYFUNCTION("""COMPUTED_VALUE"""),6.9527371E7)</f>
        <v>69527371</v>
      </c>
    </row>
    <row r="451">
      <c r="A451" s="2">
        <f>IFERROR(__xludf.DUMMYFUNCTION("""COMPUTED_VALUE"""),45005.66666666667)</f>
        <v>45005.66667</v>
      </c>
      <c r="B451" s="1">
        <f>IFERROR(__xludf.DUMMYFUNCTION("""COMPUTED_VALUE"""),276.98)</f>
        <v>276.98</v>
      </c>
      <c r="C451" s="1">
        <f>IFERROR(__xludf.DUMMYFUNCTION("""COMPUTED_VALUE"""),277.48)</f>
        <v>277.48</v>
      </c>
      <c r="D451" s="1">
        <f>IFERROR(__xludf.DUMMYFUNCTION("""COMPUTED_VALUE"""),269.85)</f>
        <v>269.85</v>
      </c>
      <c r="E451" s="1">
        <f>IFERROR(__xludf.DUMMYFUNCTION("""COMPUTED_VALUE"""),272.23)</f>
        <v>272.23</v>
      </c>
      <c r="F451" s="1">
        <f>IFERROR(__xludf.DUMMYFUNCTION("""COMPUTED_VALUE"""),4.3466649E7)</f>
        <v>43466649</v>
      </c>
    </row>
    <row r="452">
      <c r="A452" s="2">
        <f>IFERROR(__xludf.DUMMYFUNCTION("""COMPUTED_VALUE"""),45006.66666666667)</f>
        <v>45006.66667</v>
      </c>
      <c r="B452" s="1">
        <f>IFERROR(__xludf.DUMMYFUNCTION("""COMPUTED_VALUE"""),274.88)</f>
        <v>274.88</v>
      </c>
      <c r="C452" s="1">
        <f>IFERROR(__xludf.DUMMYFUNCTION("""COMPUTED_VALUE"""),275.0)</f>
        <v>275</v>
      </c>
      <c r="D452" s="1">
        <f>IFERROR(__xludf.DUMMYFUNCTION("""COMPUTED_VALUE"""),269.52)</f>
        <v>269.52</v>
      </c>
      <c r="E452" s="1">
        <f>IFERROR(__xludf.DUMMYFUNCTION("""COMPUTED_VALUE"""),273.78)</f>
        <v>273.78</v>
      </c>
      <c r="F452" s="1">
        <f>IFERROR(__xludf.DUMMYFUNCTION("""COMPUTED_VALUE"""),3.4558704E7)</f>
        <v>34558704</v>
      </c>
    </row>
    <row r="453">
      <c r="A453" s="2">
        <f>IFERROR(__xludf.DUMMYFUNCTION("""COMPUTED_VALUE"""),45007.66666666667)</f>
        <v>45007.66667</v>
      </c>
      <c r="B453" s="1">
        <f>IFERROR(__xludf.DUMMYFUNCTION("""COMPUTED_VALUE"""),273.4)</f>
        <v>273.4</v>
      </c>
      <c r="C453" s="1">
        <f>IFERROR(__xludf.DUMMYFUNCTION("""COMPUTED_VALUE"""),281.04)</f>
        <v>281.04</v>
      </c>
      <c r="D453" s="1">
        <f>IFERROR(__xludf.DUMMYFUNCTION("""COMPUTED_VALUE"""),272.18)</f>
        <v>272.18</v>
      </c>
      <c r="E453" s="1">
        <f>IFERROR(__xludf.DUMMYFUNCTION("""COMPUTED_VALUE"""),272.29)</f>
        <v>272.29</v>
      </c>
      <c r="F453" s="1">
        <f>IFERROR(__xludf.DUMMYFUNCTION("""COMPUTED_VALUE"""),3.487333E7)</f>
        <v>34873330</v>
      </c>
    </row>
    <row r="454">
      <c r="A454" s="2">
        <f>IFERROR(__xludf.DUMMYFUNCTION("""COMPUTED_VALUE"""),45008.66666666667)</f>
        <v>45008.66667</v>
      </c>
      <c r="B454" s="1">
        <f>IFERROR(__xludf.DUMMYFUNCTION("""COMPUTED_VALUE"""),277.94)</f>
        <v>277.94</v>
      </c>
      <c r="C454" s="1">
        <f>IFERROR(__xludf.DUMMYFUNCTION("""COMPUTED_VALUE"""),281.06)</f>
        <v>281.06</v>
      </c>
      <c r="D454" s="1">
        <f>IFERROR(__xludf.DUMMYFUNCTION("""COMPUTED_VALUE"""),275.2)</f>
        <v>275.2</v>
      </c>
      <c r="E454" s="1">
        <f>IFERROR(__xludf.DUMMYFUNCTION("""COMPUTED_VALUE"""),277.66)</f>
        <v>277.66</v>
      </c>
      <c r="F454" s="1">
        <f>IFERROR(__xludf.DUMMYFUNCTION("""COMPUTED_VALUE"""),3.6610879E7)</f>
        <v>36610879</v>
      </c>
    </row>
    <row r="455">
      <c r="A455" s="2">
        <f>IFERROR(__xludf.DUMMYFUNCTION("""COMPUTED_VALUE"""),45009.66666666667)</f>
        <v>45009.66667</v>
      </c>
      <c r="B455" s="1">
        <f>IFERROR(__xludf.DUMMYFUNCTION("""COMPUTED_VALUE"""),277.24)</f>
        <v>277.24</v>
      </c>
      <c r="C455" s="1">
        <f>IFERROR(__xludf.DUMMYFUNCTION("""COMPUTED_VALUE"""),280.63)</f>
        <v>280.63</v>
      </c>
      <c r="D455" s="1">
        <f>IFERROR(__xludf.DUMMYFUNCTION("""COMPUTED_VALUE"""),275.28)</f>
        <v>275.28</v>
      </c>
      <c r="E455" s="1">
        <f>IFERROR(__xludf.DUMMYFUNCTION("""COMPUTED_VALUE"""),280.57)</f>
        <v>280.57</v>
      </c>
      <c r="F455" s="1">
        <f>IFERROR(__xludf.DUMMYFUNCTION("""COMPUTED_VALUE"""),2.8199962E7)</f>
        <v>28199962</v>
      </c>
    </row>
    <row r="456">
      <c r="A456" s="2">
        <f>IFERROR(__xludf.DUMMYFUNCTION("""COMPUTED_VALUE"""),45012.66666666667)</f>
        <v>45012.66667</v>
      </c>
      <c r="B456" s="1">
        <f>IFERROR(__xludf.DUMMYFUNCTION("""COMPUTED_VALUE"""),280.5)</f>
        <v>280.5</v>
      </c>
      <c r="C456" s="1">
        <f>IFERROR(__xludf.DUMMYFUNCTION("""COMPUTED_VALUE"""),281.46)</f>
        <v>281.46</v>
      </c>
      <c r="D456" s="1">
        <f>IFERROR(__xludf.DUMMYFUNCTION("""COMPUTED_VALUE"""),275.52)</f>
        <v>275.52</v>
      </c>
      <c r="E456" s="1">
        <f>IFERROR(__xludf.DUMMYFUNCTION("""COMPUTED_VALUE"""),276.38)</f>
        <v>276.38</v>
      </c>
      <c r="F456" s="1">
        <f>IFERROR(__xludf.DUMMYFUNCTION("""COMPUTED_VALUE"""),2.6840212E7)</f>
        <v>26840212</v>
      </c>
    </row>
    <row r="457">
      <c r="A457" s="2">
        <f>IFERROR(__xludf.DUMMYFUNCTION("""COMPUTED_VALUE"""),45013.66666666667)</f>
        <v>45013.66667</v>
      </c>
      <c r="B457" s="1">
        <f>IFERROR(__xludf.DUMMYFUNCTION("""COMPUTED_VALUE"""),275.79)</f>
        <v>275.79</v>
      </c>
      <c r="C457" s="1">
        <f>IFERROR(__xludf.DUMMYFUNCTION("""COMPUTED_VALUE"""),276.14)</f>
        <v>276.14</v>
      </c>
      <c r="D457" s="1">
        <f>IFERROR(__xludf.DUMMYFUNCTION("""COMPUTED_VALUE"""),272.05)</f>
        <v>272.05</v>
      </c>
      <c r="E457" s="1">
        <f>IFERROR(__xludf.DUMMYFUNCTION("""COMPUTED_VALUE"""),275.23)</f>
        <v>275.23</v>
      </c>
      <c r="F457" s="1">
        <f>IFERROR(__xludf.DUMMYFUNCTION("""COMPUTED_VALUE"""),2.1878647E7)</f>
        <v>21878647</v>
      </c>
    </row>
    <row r="458">
      <c r="A458" s="2">
        <f>IFERROR(__xludf.DUMMYFUNCTION("""COMPUTED_VALUE"""),45014.66666666667)</f>
        <v>45014.66667</v>
      </c>
      <c r="B458" s="1">
        <f>IFERROR(__xludf.DUMMYFUNCTION("""COMPUTED_VALUE"""),278.96)</f>
        <v>278.96</v>
      </c>
      <c r="C458" s="1">
        <f>IFERROR(__xludf.DUMMYFUNCTION("""COMPUTED_VALUE"""),281.14)</f>
        <v>281.14</v>
      </c>
      <c r="D458" s="1">
        <f>IFERROR(__xludf.DUMMYFUNCTION("""COMPUTED_VALUE"""),278.41)</f>
        <v>278.41</v>
      </c>
      <c r="E458" s="1">
        <f>IFERROR(__xludf.DUMMYFUNCTION("""COMPUTED_VALUE"""),280.51)</f>
        <v>280.51</v>
      </c>
      <c r="F458" s="1">
        <f>IFERROR(__xludf.DUMMYFUNCTION("""COMPUTED_VALUE"""),2.5087032E7)</f>
        <v>25087032</v>
      </c>
    </row>
    <row r="459">
      <c r="A459" s="2">
        <f>IFERROR(__xludf.DUMMYFUNCTION("""COMPUTED_VALUE"""),45015.66666666667)</f>
        <v>45015.66667</v>
      </c>
      <c r="B459" s="1">
        <f>IFERROR(__xludf.DUMMYFUNCTION("""COMPUTED_VALUE"""),284.23)</f>
        <v>284.23</v>
      </c>
      <c r="C459" s="1">
        <f>IFERROR(__xludf.DUMMYFUNCTION("""COMPUTED_VALUE"""),284.46)</f>
        <v>284.46</v>
      </c>
      <c r="D459" s="1">
        <f>IFERROR(__xludf.DUMMYFUNCTION("""COMPUTED_VALUE"""),281.48)</f>
        <v>281.48</v>
      </c>
      <c r="E459" s="1">
        <f>IFERROR(__xludf.DUMMYFUNCTION("""COMPUTED_VALUE"""),284.05)</f>
        <v>284.05</v>
      </c>
      <c r="F459" s="1">
        <f>IFERROR(__xludf.DUMMYFUNCTION("""COMPUTED_VALUE"""),2.505341E7)</f>
        <v>25053410</v>
      </c>
    </row>
    <row r="460">
      <c r="A460" s="2">
        <f>IFERROR(__xludf.DUMMYFUNCTION("""COMPUTED_VALUE"""),45016.66666666667)</f>
        <v>45016.66667</v>
      </c>
      <c r="B460" s="1">
        <f>IFERROR(__xludf.DUMMYFUNCTION("""COMPUTED_VALUE"""),283.73)</f>
        <v>283.73</v>
      </c>
      <c r="C460" s="1">
        <f>IFERROR(__xludf.DUMMYFUNCTION("""COMPUTED_VALUE"""),289.27)</f>
        <v>289.27</v>
      </c>
      <c r="D460" s="1">
        <f>IFERROR(__xludf.DUMMYFUNCTION("""COMPUTED_VALUE"""),283.0)</f>
        <v>283</v>
      </c>
      <c r="E460" s="1">
        <f>IFERROR(__xludf.DUMMYFUNCTION("""COMPUTED_VALUE"""),288.3)</f>
        <v>288.3</v>
      </c>
      <c r="F460" s="1">
        <f>IFERROR(__xludf.DUMMYFUNCTION("""COMPUTED_VALUE"""),3.2765976E7)</f>
        <v>32765976</v>
      </c>
    </row>
    <row r="461">
      <c r="A461" s="2">
        <f>IFERROR(__xludf.DUMMYFUNCTION("""COMPUTED_VALUE"""),45019.66666666667)</f>
        <v>45019.66667</v>
      </c>
      <c r="B461" s="1">
        <f>IFERROR(__xludf.DUMMYFUNCTION("""COMPUTED_VALUE"""),286.52)</f>
        <v>286.52</v>
      </c>
      <c r="C461" s="1">
        <f>IFERROR(__xludf.DUMMYFUNCTION("""COMPUTED_VALUE"""),288.27)</f>
        <v>288.27</v>
      </c>
      <c r="D461" s="1">
        <f>IFERROR(__xludf.DUMMYFUNCTION("""COMPUTED_VALUE"""),283.95)</f>
        <v>283.95</v>
      </c>
      <c r="E461" s="1">
        <f>IFERROR(__xludf.DUMMYFUNCTION("""COMPUTED_VALUE"""),287.23)</f>
        <v>287.23</v>
      </c>
      <c r="F461" s="1">
        <f>IFERROR(__xludf.DUMMYFUNCTION("""COMPUTED_VALUE"""),2.4883342E7)</f>
        <v>24883342</v>
      </c>
    </row>
    <row r="462">
      <c r="A462" s="2">
        <f>IFERROR(__xludf.DUMMYFUNCTION("""COMPUTED_VALUE"""),45020.66666666667)</f>
        <v>45020.66667</v>
      </c>
      <c r="B462" s="1">
        <f>IFERROR(__xludf.DUMMYFUNCTION("""COMPUTED_VALUE"""),287.23)</f>
        <v>287.23</v>
      </c>
      <c r="C462" s="1">
        <f>IFERROR(__xludf.DUMMYFUNCTION("""COMPUTED_VALUE"""),290.45)</f>
        <v>290.45</v>
      </c>
      <c r="D462" s="1">
        <f>IFERROR(__xludf.DUMMYFUNCTION("""COMPUTED_VALUE"""),285.67)</f>
        <v>285.67</v>
      </c>
      <c r="E462" s="1">
        <f>IFERROR(__xludf.DUMMYFUNCTION("""COMPUTED_VALUE"""),287.18)</f>
        <v>287.18</v>
      </c>
      <c r="F462" s="1">
        <f>IFERROR(__xludf.DUMMYFUNCTION("""COMPUTED_VALUE"""),2.5824299E7)</f>
        <v>25824299</v>
      </c>
    </row>
    <row r="463">
      <c r="A463" s="2">
        <f>IFERROR(__xludf.DUMMYFUNCTION("""COMPUTED_VALUE"""),45021.66666666667)</f>
        <v>45021.66667</v>
      </c>
      <c r="B463" s="1">
        <f>IFERROR(__xludf.DUMMYFUNCTION("""COMPUTED_VALUE"""),285.85)</f>
        <v>285.85</v>
      </c>
      <c r="C463" s="1">
        <f>IFERROR(__xludf.DUMMYFUNCTION("""COMPUTED_VALUE"""),287.15)</f>
        <v>287.15</v>
      </c>
      <c r="D463" s="1">
        <f>IFERROR(__xludf.DUMMYFUNCTION("""COMPUTED_VALUE"""),282.92)</f>
        <v>282.92</v>
      </c>
      <c r="E463" s="1">
        <f>IFERROR(__xludf.DUMMYFUNCTION("""COMPUTED_VALUE"""),284.34)</f>
        <v>284.34</v>
      </c>
      <c r="F463" s="1">
        <f>IFERROR(__xludf.DUMMYFUNCTION("""COMPUTED_VALUE"""),2.206477E7)</f>
        <v>22064770</v>
      </c>
    </row>
    <row r="464">
      <c r="A464" s="2">
        <f>IFERROR(__xludf.DUMMYFUNCTION("""COMPUTED_VALUE"""),45022.66666666667)</f>
        <v>45022.66667</v>
      </c>
      <c r="B464" s="1">
        <f>IFERROR(__xludf.DUMMYFUNCTION("""COMPUTED_VALUE"""),283.21)</f>
        <v>283.21</v>
      </c>
      <c r="C464" s="1">
        <f>IFERROR(__xludf.DUMMYFUNCTION("""COMPUTED_VALUE"""),292.08)</f>
        <v>292.08</v>
      </c>
      <c r="D464" s="1">
        <f>IFERROR(__xludf.DUMMYFUNCTION("""COMPUTED_VALUE"""),282.03)</f>
        <v>282.03</v>
      </c>
      <c r="E464" s="1">
        <f>IFERROR(__xludf.DUMMYFUNCTION("""COMPUTED_VALUE"""),291.6)</f>
        <v>291.6</v>
      </c>
      <c r="F464" s="1">
        <f>IFERROR(__xludf.DUMMYFUNCTION("""COMPUTED_VALUE"""),2.9770334E7)</f>
        <v>29770334</v>
      </c>
    </row>
    <row r="465">
      <c r="A465" s="2">
        <f>IFERROR(__xludf.DUMMYFUNCTION("""COMPUTED_VALUE"""),45026.66666666667)</f>
        <v>45026.66667</v>
      </c>
      <c r="B465" s="1">
        <f>IFERROR(__xludf.DUMMYFUNCTION("""COMPUTED_VALUE"""),289.21)</f>
        <v>289.21</v>
      </c>
      <c r="C465" s="1">
        <f>IFERROR(__xludf.DUMMYFUNCTION("""COMPUTED_VALUE"""),289.6)</f>
        <v>289.6</v>
      </c>
      <c r="D465" s="1">
        <f>IFERROR(__xludf.DUMMYFUNCTION("""COMPUTED_VALUE"""),284.71)</f>
        <v>284.71</v>
      </c>
      <c r="E465" s="1">
        <f>IFERROR(__xludf.DUMMYFUNCTION("""COMPUTED_VALUE"""),289.39)</f>
        <v>289.39</v>
      </c>
      <c r="F465" s="1">
        <f>IFERROR(__xludf.DUMMYFUNCTION("""COMPUTED_VALUE"""),2.3102994E7)</f>
        <v>23102994</v>
      </c>
    </row>
    <row r="466">
      <c r="A466" s="2">
        <f>IFERROR(__xludf.DUMMYFUNCTION("""COMPUTED_VALUE"""),45027.66666666667)</f>
        <v>45027.66667</v>
      </c>
      <c r="B466" s="1">
        <f>IFERROR(__xludf.DUMMYFUNCTION("""COMPUTED_VALUE"""),285.75)</f>
        <v>285.75</v>
      </c>
      <c r="C466" s="1">
        <f>IFERROR(__xludf.DUMMYFUNCTION("""COMPUTED_VALUE"""),285.98)</f>
        <v>285.98</v>
      </c>
      <c r="D466" s="1">
        <f>IFERROR(__xludf.DUMMYFUNCTION("""COMPUTED_VALUE"""),281.64)</f>
        <v>281.64</v>
      </c>
      <c r="E466" s="1">
        <f>IFERROR(__xludf.DUMMYFUNCTION("""COMPUTED_VALUE"""),282.83)</f>
        <v>282.83</v>
      </c>
      <c r="F466" s="1">
        <f>IFERROR(__xludf.DUMMYFUNCTION("""COMPUTED_VALUE"""),2.7276589E7)</f>
        <v>27276589</v>
      </c>
    </row>
    <row r="467">
      <c r="A467" s="2">
        <f>IFERROR(__xludf.DUMMYFUNCTION("""COMPUTED_VALUE"""),45028.66666666667)</f>
        <v>45028.66667</v>
      </c>
      <c r="B467" s="1">
        <f>IFERROR(__xludf.DUMMYFUNCTION("""COMPUTED_VALUE"""),284.79)</f>
        <v>284.79</v>
      </c>
      <c r="C467" s="1">
        <f>IFERROR(__xludf.DUMMYFUNCTION("""COMPUTED_VALUE"""),287.01)</f>
        <v>287.01</v>
      </c>
      <c r="D467" s="1">
        <f>IFERROR(__xludf.DUMMYFUNCTION("""COMPUTED_VALUE"""),281.96)</f>
        <v>281.96</v>
      </c>
      <c r="E467" s="1">
        <f>IFERROR(__xludf.DUMMYFUNCTION("""COMPUTED_VALUE"""),283.49)</f>
        <v>283.49</v>
      </c>
      <c r="F467" s="1">
        <f>IFERROR(__xludf.DUMMYFUNCTION("""COMPUTED_VALUE"""),2.7403432E7)</f>
        <v>27403432</v>
      </c>
    </row>
    <row r="468">
      <c r="A468" s="2">
        <f>IFERROR(__xludf.DUMMYFUNCTION("""COMPUTED_VALUE"""),45029.66666666667)</f>
        <v>45029.66667</v>
      </c>
      <c r="B468" s="1">
        <f>IFERROR(__xludf.DUMMYFUNCTION("""COMPUTED_VALUE"""),283.59)</f>
        <v>283.59</v>
      </c>
      <c r="C468" s="1">
        <f>IFERROR(__xludf.DUMMYFUNCTION("""COMPUTED_VALUE"""),289.9)</f>
        <v>289.9</v>
      </c>
      <c r="D468" s="1">
        <f>IFERROR(__xludf.DUMMYFUNCTION("""COMPUTED_VALUE"""),283.17)</f>
        <v>283.17</v>
      </c>
      <c r="E468" s="1">
        <f>IFERROR(__xludf.DUMMYFUNCTION("""COMPUTED_VALUE"""),289.84)</f>
        <v>289.84</v>
      </c>
      <c r="F468" s="1">
        <f>IFERROR(__xludf.DUMMYFUNCTION("""COMPUTED_VALUE"""),2.4222678E7)</f>
        <v>24222678</v>
      </c>
    </row>
    <row r="469">
      <c r="A469" s="2">
        <f>IFERROR(__xludf.DUMMYFUNCTION("""COMPUTED_VALUE"""),45030.66666666667)</f>
        <v>45030.66667</v>
      </c>
      <c r="B469" s="1">
        <f>IFERROR(__xludf.DUMMYFUNCTION("""COMPUTED_VALUE"""),287.0)</f>
        <v>287</v>
      </c>
      <c r="C469" s="1">
        <f>IFERROR(__xludf.DUMMYFUNCTION("""COMPUTED_VALUE"""),288.48)</f>
        <v>288.48</v>
      </c>
      <c r="D469" s="1">
        <f>IFERROR(__xludf.DUMMYFUNCTION("""COMPUTED_VALUE"""),283.69)</f>
        <v>283.69</v>
      </c>
      <c r="E469" s="1">
        <f>IFERROR(__xludf.DUMMYFUNCTION("""COMPUTED_VALUE"""),286.14)</f>
        <v>286.14</v>
      </c>
      <c r="F469" s="1">
        <f>IFERROR(__xludf.DUMMYFUNCTION("""COMPUTED_VALUE"""),2.0987917E7)</f>
        <v>20987917</v>
      </c>
    </row>
    <row r="470">
      <c r="A470" s="2">
        <f>IFERROR(__xludf.DUMMYFUNCTION("""COMPUTED_VALUE"""),45033.66666666667)</f>
        <v>45033.66667</v>
      </c>
      <c r="B470" s="1">
        <f>IFERROR(__xludf.DUMMYFUNCTION("""COMPUTED_VALUE"""),289.93)</f>
        <v>289.93</v>
      </c>
      <c r="C470" s="1">
        <f>IFERROR(__xludf.DUMMYFUNCTION("""COMPUTED_VALUE"""),291.6)</f>
        <v>291.6</v>
      </c>
      <c r="D470" s="1">
        <f>IFERROR(__xludf.DUMMYFUNCTION("""COMPUTED_VALUE"""),286.16)</f>
        <v>286.16</v>
      </c>
      <c r="E470" s="1">
        <f>IFERROR(__xludf.DUMMYFUNCTION("""COMPUTED_VALUE"""),288.8)</f>
        <v>288.8</v>
      </c>
      <c r="F470" s="1">
        <f>IFERROR(__xludf.DUMMYFUNCTION("""COMPUTED_VALUE"""),2.3836223E7)</f>
        <v>23836223</v>
      </c>
    </row>
    <row r="471">
      <c r="A471" s="2">
        <f>IFERROR(__xludf.DUMMYFUNCTION("""COMPUTED_VALUE"""),45034.66666666667)</f>
        <v>45034.66667</v>
      </c>
      <c r="B471" s="1">
        <f>IFERROR(__xludf.DUMMYFUNCTION("""COMPUTED_VALUE"""),291.57)</f>
        <v>291.57</v>
      </c>
      <c r="C471" s="1">
        <f>IFERROR(__xludf.DUMMYFUNCTION("""COMPUTED_VALUE"""),291.76)</f>
        <v>291.76</v>
      </c>
      <c r="D471" s="1">
        <f>IFERROR(__xludf.DUMMYFUNCTION("""COMPUTED_VALUE"""),287.01)</f>
        <v>287.01</v>
      </c>
      <c r="E471" s="1">
        <f>IFERROR(__xludf.DUMMYFUNCTION("""COMPUTED_VALUE"""),288.37)</f>
        <v>288.37</v>
      </c>
      <c r="F471" s="1">
        <f>IFERROR(__xludf.DUMMYFUNCTION("""COMPUTED_VALUE"""),2.0161845E7)</f>
        <v>20161845</v>
      </c>
    </row>
    <row r="472">
      <c r="A472" s="2">
        <f>IFERROR(__xludf.DUMMYFUNCTION("""COMPUTED_VALUE"""),45035.66666666667)</f>
        <v>45035.66667</v>
      </c>
      <c r="B472" s="1">
        <f>IFERROR(__xludf.DUMMYFUNCTION("""COMPUTED_VALUE"""),285.99)</f>
        <v>285.99</v>
      </c>
      <c r="C472" s="1">
        <f>IFERROR(__xludf.DUMMYFUNCTION("""COMPUTED_VALUE"""),289.05)</f>
        <v>289.05</v>
      </c>
      <c r="D472" s="1">
        <f>IFERROR(__xludf.DUMMYFUNCTION("""COMPUTED_VALUE"""),284.54)</f>
        <v>284.54</v>
      </c>
      <c r="E472" s="1">
        <f>IFERROR(__xludf.DUMMYFUNCTION("""COMPUTED_VALUE"""),288.45)</f>
        <v>288.45</v>
      </c>
      <c r="F472" s="1">
        <f>IFERROR(__xludf.DUMMYFUNCTION("""COMPUTED_VALUE"""),1.7150271E7)</f>
        <v>17150271</v>
      </c>
    </row>
    <row r="473">
      <c r="A473" s="2">
        <f>IFERROR(__xludf.DUMMYFUNCTION("""COMPUTED_VALUE"""),45036.66666666667)</f>
        <v>45036.66667</v>
      </c>
      <c r="B473" s="1">
        <f>IFERROR(__xludf.DUMMYFUNCTION("""COMPUTED_VALUE"""),285.25)</f>
        <v>285.25</v>
      </c>
      <c r="C473" s="1">
        <f>IFERROR(__xludf.DUMMYFUNCTION("""COMPUTED_VALUE"""),289.03)</f>
        <v>289.03</v>
      </c>
      <c r="D473" s="1">
        <f>IFERROR(__xludf.DUMMYFUNCTION("""COMPUTED_VALUE"""),285.08)</f>
        <v>285.08</v>
      </c>
      <c r="E473" s="1">
        <f>IFERROR(__xludf.DUMMYFUNCTION("""COMPUTED_VALUE"""),286.11)</f>
        <v>286.11</v>
      </c>
      <c r="F473" s="1">
        <f>IFERROR(__xludf.DUMMYFUNCTION("""COMPUTED_VALUE"""),2.3244363E7)</f>
        <v>23244363</v>
      </c>
    </row>
    <row r="474">
      <c r="A474" s="2">
        <f>IFERROR(__xludf.DUMMYFUNCTION("""COMPUTED_VALUE"""),45037.66666666667)</f>
        <v>45037.66667</v>
      </c>
      <c r="B474" s="1">
        <f>IFERROR(__xludf.DUMMYFUNCTION("""COMPUTED_VALUE"""),285.01)</f>
        <v>285.01</v>
      </c>
      <c r="C474" s="1">
        <f>IFERROR(__xludf.DUMMYFUNCTION("""COMPUTED_VALUE"""),286.27)</f>
        <v>286.27</v>
      </c>
      <c r="D474" s="1">
        <f>IFERROR(__xludf.DUMMYFUNCTION("""COMPUTED_VALUE"""),283.06)</f>
        <v>283.06</v>
      </c>
      <c r="E474" s="1">
        <f>IFERROR(__xludf.DUMMYFUNCTION("""COMPUTED_VALUE"""),285.76)</f>
        <v>285.76</v>
      </c>
      <c r="F474" s="1">
        <f>IFERROR(__xludf.DUMMYFUNCTION("""COMPUTED_VALUE"""),2.1676387E7)</f>
        <v>21676387</v>
      </c>
    </row>
    <row r="475">
      <c r="A475" s="2">
        <f>IFERROR(__xludf.DUMMYFUNCTION("""COMPUTED_VALUE"""),45040.66666666667)</f>
        <v>45040.66667</v>
      </c>
      <c r="B475" s="1">
        <f>IFERROR(__xludf.DUMMYFUNCTION("""COMPUTED_VALUE"""),282.09)</f>
        <v>282.09</v>
      </c>
      <c r="C475" s="1">
        <f>IFERROR(__xludf.DUMMYFUNCTION("""COMPUTED_VALUE"""),284.95)</f>
        <v>284.95</v>
      </c>
      <c r="D475" s="1">
        <f>IFERROR(__xludf.DUMMYFUNCTION("""COMPUTED_VALUE"""),278.72)</f>
        <v>278.72</v>
      </c>
      <c r="E475" s="1">
        <f>IFERROR(__xludf.DUMMYFUNCTION("""COMPUTED_VALUE"""),281.77)</f>
        <v>281.77</v>
      </c>
      <c r="F475" s="1">
        <f>IFERROR(__xludf.DUMMYFUNCTION("""COMPUTED_VALUE"""),2.6611014E7)</f>
        <v>26611014</v>
      </c>
    </row>
    <row r="476">
      <c r="A476" s="2">
        <f>IFERROR(__xludf.DUMMYFUNCTION("""COMPUTED_VALUE"""),45041.66666666667)</f>
        <v>45041.66667</v>
      </c>
      <c r="B476" s="1">
        <f>IFERROR(__xludf.DUMMYFUNCTION("""COMPUTED_VALUE"""),279.51)</f>
        <v>279.51</v>
      </c>
      <c r="C476" s="1">
        <f>IFERROR(__xludf.DUMMYFUNCTION("""COMPUTED_VALUE"""),281.6)</f>
        <v>281.6</v>
      </c>
      <c r="D476" s="1">
        <f>IFERROR(__xludf.DUMMYFUNCTION("""COMPUTED_VALUE"""),275.37)</f>
        <v>275.37</v>
      </c>
      <c r="E476" s="1">
        <f>IFERROR(__xludf.DUMMYFUNCTION("""COMPUTED_VALUE"""),275.42)</f>
        <v>275.42</v>
      </c>
      <c r="F476" s="1">
        <f>IFERROR(__xludf.DUMMYFUNCTION("""COMPUTED_VALUE"""),4.5772236E7)</f>
        <v>45772236</v>
      </c>
    </row>
    <row r="477">
      <c r="A477" s="2">
        <f>IFERROR(__xludf.DUMMYFUNCTION("""COMPUTED_VALUE"""),45042.66666666667)</f>
        <v>45042.66667</v>
      </c>
      <c r="B477" s="1">
        <f>IFERROR(__xludf.DUMMYFUNCTION("""COMPUTED_VALUE"""),296.7)</f>
        <v>296.7</v>
      </c>
      <c r="C477" s="1">
        <f>IFERROR(__xludf.DUMMYFUNCTION("""COMPUTED_VALUE"""),299.57)</f>
        <v>299.57</v>
      </c>
      <c r="D477" s="1">
        <f>IFERROR(__xludf.DUMMYFUNCTION("""COMPUTED_VALUE"""),292.73)</f>
        <v>292.73</v>
      </c>
      <c r="E477" s="1">
        <f>IFERROR(__xludf.DUMMYFUNCTION("""COMPUTED_VALUE"""),295.37)</f>
        <v>295.37</v>
      </c>
      <c r="F477" s="1">
        <f>IFERROR(__xludf.DUMMYFUNCTION("""COMPUTED_VALUE"""),6.4599182E7)</f>
        <v>64599182</v>
      </c>
    </row>
    <row r="478">
      <c r="A478" s="2">
        <f>IFERROR(__xludf.DUMMYFUNCTION("""COMPUTED_VALUE"""),45043.66666666667)</f>
        <v>45043.66667</v>
      </c>
      <c r="B478" s="1">
        <f>IFERROR(__xludf.DUMMYFUNCTION("""COMPUTED_VALUE"""),295.97)</f>
        <v>295.97</v>
      </c>
      <c r="C478" s="1">
        <f>IFERROR(__xludf.DUMMYFUNCTION("""COMPUTED_VALUE"""),305.2)</f>
        <v>305.2</v>
      </c>
      <c r="D478" s="1">
        <f>IFERROR(__xludf.DUMMYFUNCTION("""COMPUTED_VALUE"""),295.25)</f>
        <v>295.25</v>
      </c>
      <c r="E478" s="1">
        <f>IFERROR(__xludf.DUMMYFUNCTION("""COMPUTED_VALUE"""),304.83)</f>
        <v>304.83</v>
      </c>
      <c r="F478" s="1">
        <f>IFERROR(__xludf.DUMMYFUNCTION("""COMPUTED_VALUE"""),4.6462638E7)</f>
        <v>46462638</v>
      </c>
    </row>
    <row r="479">
      <c r="A479" s="2">
        <f>IFERROR(__xludf.DUMMYFUNCTION("""COMPUTED_VALUE"""),45044.66666666667)</f>
        <v>45044.66667</v>
      </c>
      <c r="B479" s="1">
        <f>IFERROR(__xludf.DUMMYFUNCTION("""COMPUTED_VALUE"""),304.01)</f>
        <v>304.01</v>
      </c>
      <c r="C479" s="1">
        <f>IFERROR(__xludf.DUMMYFUNCTION("""COMPUTED_VALUE"""),308.93)</f>
        <v>308.93</v>
      </c>
      <c r="D479" s="1">
        <f>IFERROR(__xludf.DUMMYFUNCTION("""COMPUTED_VALUE"""),303.31)</f>
        <v>303.31</v>
      </c>
      <c r="E479" s="1">
        <f>IFERROR(__xludf.DUMMYFUNCTION("""COMPUTED_VALUE"""),307.26)</f>
        <v>307.26</v>
      </c>
      <c r="F479" s="1">
        <f>IFERROR(__xludf.DUMMYFUNCTION("""COMPUTED_VALUE"""),3.6469613E7)</f>
        <v>36469613</v>
      </c>
    </row>
    <row r="480">
      <c r="A480" s="2">
        <f>IFERROR(__xludf.DUMMYFUNCTION("""COMPUTED_VALUE"""),45047.66666666667)</f>
        <v>45047.66667</v>
      </c>
      <c r="B480" s="1">
        <f>IFERROR(__xludf.DUMMYFUNCTION("""COMPUTED_VALUE"""),306.97)</f>
        <v>306.97</v>
      </c>
      <c r="C480" s="1">
        <f>IFERROR(__xludf.DUMMYFUNCTION("""COMPUTED_VALUE"""),308.6)</f>
        <v>308.6</v>
      </c>
      <c r="D480" s="1">
        <f>IFERROR(__xludf.DUMMYFUNCTION("""COMPUTED_VALUE"""),305.15)</f>
        <v>305.15</v>
      </c>
      <c r="E480" s="1">
        <f>IFERROR(__xludf.DUMMYFUNCTION("""COMPUTED_VALUE"""),305.56)</f>
        <v>305.56</v>
      </c>
      <c r="F480" s="1">
        <f>IFERROR(__xludf.DUMMYFUNCTION("""COMPUTED_VALUE"""),2.1294115E7)</f>
        <v>21294115</v>
      </c>
    </row>
    <row r="481">
      <c r="A481" s="2">
        <f>IFERROR(__xludf.DUMMYFUNCTION("""COMPUTED_VALUE"""),45048.66666666667)</f>
        <v>45048.66667</v>
      </c>
      <c r="B481" s="1">
        <f>IFERROR(__xludf.DUMMYFUNCTION("""COMPUTED_VALUE"""),307.76)</f>
        <v>307.76</v>
      </c>
      <c r="C481" s="1">
        <f>IFERROR(__xludf.DUMMYFUNCTION("""COMPUTED_VALUE"""),309.18)</f>
        <v>309.18</v>
      </c>
      <c r="D481" s="1">
        <f>IFERROR(__xludf.DUMMYFUNCTION("""COMPUTED_VALUE"""),303.91)</f>
        <v>303.91</v>
      </c>
      <c r="E481" s="1">
        <f>IFERROR(__xludf.DUMMYFUNCTION("""COMPUTED_VALUE"""),305.41)</f>
        <v>305.41</v>
      </c>
      <c r="F481" s="1">
        <f>IFERROR(__xludf.DUMMYFUNCTION("""COMPUTED_VALUE"""),2.6404431E7)</f>
        <v>26404431</v>
      </c>
    </row>
    <row r="482">
      <c r="A482" s="2">
        <f>IFERROR(__xludf.DUMMYFUNCTION("""COMPUTED_VALUE"""),45049.66666666667)</f>
        <v>45049.66667</v>
      </c>
      <c r="B482" s="1">
        <f>IFERROR(__xludf.DUMMYFUNCTION("""COMPUTED_VALUE"""),306.62)</f>
        <v>306.62</v>
      </c>
      <c r="C482" s="1">
        <f>IFERROR(__xludf.DUMMYFUNCTION("""COMPUTED_VALUE"""),308.61)</f>
        <v>308.61</v>
      </c>
      <c r="D482" s="1">
        <f>IFERROR(__xludf.DUMMYFUNCTION("""COMPUTED_VALUE"""),304.09)</f>
        <v>304.09</v>
      </c>
      <c r="E482" s="1">
        <f>IFERROR(__xludf.DUMMYFUNCTION("""COMPUTED_VALUE"""),304.4)</f>
        <v>304.4</v>
      </c>
      <c r="F482" s="1">
        <f>IFERROR(__xludf.DUMMYFUNCTION("""COMPUTED_VALUE"""),2.2360754E7)</f>
        <v>22360754</v>
      </c>
    </row>
    <row r="483">
      <c r="A483" s="2">
        <f>IFERROR(__xludf.DUMMYFUNCTION("""COMPUTED_VALUE"""),45050.66666666667)</f>
        <v>45050.66667</v>
      </c>
      <c r="B483" s="1">
        <f>IFERROR(__xludf.DUMMYFUNCTION("""COMPUTED_VALUE"""),306.24)</f>
        <v>306.24</v>
      </c>
      <c r="C483" s="1">
        <f>IFERROR(__xludf.DUMMYFUNCTION("""COMPUTED_VALUE"""),307.76)</f>
        <v>307.76</v>
      </c>
      <c r="D483" s="1">
        <f>IFERROR(__xludf.DUMMYFUNCTION("""COMPUTED_VALUE"""),303.4)</f>
        <v>303.4</v>
      </c>
      <c r="E483" s="1">
        <f>IFERROR(__xludf.DUMMYFUNCTION("""COMPUTED_VALUE"""),305.41)</f>
        <v>305.41</v>
      </c>
      <c r="F483" s="1">
        <f>IFERROR(__xludf.DUMMYFUNCTION("""COMPUTED_VALUE"""),2.2519907E7)</f>
        <v>22519907</v>
      </c>
    </row>
    <row r="484">
      <c r="A484" s="2">
        <f>IFERROR(__xludf.DUMMYFUNCTION("""COMPUTED_VALUE"""),45051.66666666667)</f>
        <v>45051.66667</v>
      </c>
      <c r="B484" s="1">
        <f>IFERROR(__xludf.DUMMYFUNCTION("""COMPUTED_VALUE"""),305.72)</f>
        <v>305.72</v>
      </c>
      <c r="C484" s="1">
        <f>IFERROR(__xludf.DUMMYFUNCTION("""COMPUTED_VALUE"""),311.97)</f>
        <v>311.97</v>
      </c>
      <c r="D484" s="1">
        <f>IFERROR(__xludf.DUMMYFUNCTION("""COMPUTED_VALUE"""),304.27)</f>
        <v>304.27</v>
      </c>
      <c r="E484" s="1">
        <f>IFERROR(__xludf.DUMMYFUNCTION("""COMPUTED_VALUE"""),310.65)</f>
        <v>310.65</v>
      </c>
      <c r="F484" s="1">
        <f>IFERROR(__xludf.DUMMYFUNCTION("""COMPUTED_VALUE"""),2.8197052E7)</f>
        <v>28197052</v>
      </c>
    </row>
    <row r="485">
      <c r="A485" s="2">
        <f>IFERROR(__xludf.DUMMYFUNCTION("""COMPUTED_VALUE"""),45054.66666666667)</f>
        <v>45054.66667</v>
      </c>
      <c r="B485" s="1">
        <f>IFERROR(__xludf.DUMMYFUNCTION("""COMPUTED_VALUE"""),310.13)</f>
        <v>310.13</v>
      </c>
      <c r="C485" s="1">
        <f>IFERROR(__xludf.DUMMYFUNCTION("""COMPUTED_VALUE"""),310.2)</f>
        <v>310.2</v>
      </c>
      <c r="D485" s="1">
        <f>IFERROR(__xludf.DUMMYFUNCTION("""COMPUTED_VALUE"""),306.09)</f>
        <v>306.09</v>
      </c>
      <c r="E485" s="1">
        <f>IFERROR(__xludf.DUMMYFUNCTION("""COMPUTED_VALUE"""),308.65)</f>
        <v>308.65</v>
      </c>
      <c r="F485" s="1">
        <f>IFERROR(__xludf.DUMMYFUNCTION("""COMPUTED_VALUE"""),2.1318613E7)</f>
        <v>21318613</v>
      </c>
    </row>
    <row r="486">
      <c r="A486" s="2">
        <f>IFERROR(__xludf.DUMMYFUNCTION("""COMPUTED_VALUE"""),45055.66666666667)</f>
        <v>45055.66667</v>
      </c>
      <c r="B486" s="1">
        <f>IFERROR(__xludf.DUMMYFUNCTION("""COMPUTED_VALUE"""),308.0)</f>
        <v>308</v>
      </c>
      <c r="C486" s="1">
        <f>IFERROR(__xludf.DUMMYFUNCTION("""COMPUTED_VALUE"""),310.04)</f>
        <v>310.04</v>
      </c>
      <c r="D486" s="1">
        <f>IFERROR(__xludf.DUMMYFUNCTION("""COMPUTED_VALUE"""),306.31)</f>
        <v>306.31</v>
      </c>
      <c r="E486" s="1">
        <f>IFERROR(__xludf.DUMMYFUNCTION("""COMPUTED_VALUE"""),307.0)</f>
        <v>307</v>
      </c>
      <c r="F486" s="1">
        <f>IFERROR(__xludf.DUMMYFUNCTION("""COMPUTED_VALUE"""),2.1340829E7)</f>
        <v>21340829</v>
      </c>
    </row>
    <row r="487">
      <c r="A487" s="2">
        <f>IFERROR(__xludf.DUMMYFUNCTION("""COMPUTED_VALUE"""),45056.66666666667)</f>
        <v>45056.66667</v>
      </c>
      <c r="B487" s="1">
        <f>IFERROR(__xludf.DUMMYFUNCTION("""COMPUTED_VALUE"""),308.62)</f>
        <v>308.62</v>
      </c>
      <c r="C487" s="1">
        <f>IFERROR(__xludf.DUMMYFUNCTION("""COMPUTED_VALUE"""),313.0)</f>
        <v>313</v>
      </c>
      <c r="D487" s="1">
        <f>IFERROR(__xludf.DUMMYFUNCTION("""COMPUTED_VALUE"""),307.67)</f>
        <v>307.67</v>
      </c>
      <c r="E487" s="1">
        <f>IFERROR(__xludf.DUMMYFUNCTION("""COMPUTED_VALUE"""),312.31)</f>
        <v>312.31</v>
      </c>
      <c r="F487" s="1">
        <f>IFERROR(__xludf.DUMMYFUNCTION("""COMPUTED_VALUE"""),3.0078044E7)</f>
        <v>30078044</v>
      </c>
    </row>
    <row r="488">
      <c r="A488" s="2">
        <f>IFERROR(__xludf.DUMMYFUNCTION("""COMPUTED_VALUE"""),45057.66666666667)</f>
        <v>45057.66667</v>
      </c>
      <c r="B488" s="1">
        <f>IFERROR(__xludf.DUMMYFUNCTION("""COMPUTED_VALUE"""),310.1)</f>
        <v>310.1</v>
      </c>
      <c r="C488" s="1">
        <f>IFERROR(__xludf.DUMMYFUNCTION("""COMPUTED_VALUE"""),311.12)</f>
        <v>311.12</v>
      </c>
      <c r="D488" s="1">
        <f>IFERROR(__xludf.DUMMYFUNCTION("""COMPUTED_VALUE"""),306.26)</f>
        <v>306.26</v>
      </c>
      <c r="E488" s="1">
        <f>IFERROR(__xludf.DUMMYFUNCTION("""COMPUTED_VALUE"""),310.11)</f>
        <v>310.11</v>
      </c>
      <c r="F488" s="1">
        <f>IFERROR(__xludf.DUMMYFUNCTION("""COMPUTED_VALUE"""),3.1680179E7)</f>
        <v>31680179</v>
      </c>
    </row>
    <row r="489">
      <c r="A489" s="2">
        <f>IFERROR(__xludf.DUMMYFUNCTION("""COMPUTED_VALUE"""),45058.66666666667)</f>
        <v>45058.66667</v>
      </c>
      <c r="B489" s="1">
        <f>IFERROR(__xludf.DUMMYFUNCTION("""COMPUTED_VALUE"""),310.55)</f>
        <v>310.55</v>
      </c>
      <c r="C489" s="1">
        <f>IFERROR(__xludf.DUMMYFUNCTION("""COMPUTED_VALUE"""),310.65)</f>
        <v>310.65</v>
      </c>
      <c r="D489" s="1">
        <f>IFERROR(__xludf.DUMMYFUNCTION("""COMPUTED_VALUE"""),306.6)</f>
        <v>306.6</v>
      </c>
      <c r="E489" s="1">
        <f>IFERROR(__xludf.DUMMYFUNCTION("""COMPUTED_VALUE"""),308.97)</f>
        <v>308.97</v>
      </c>
      <c r="F489" s="1">
        <f>IFERROR(__xludf.DUMMYFUNCTION("""COMPUTED_VALUE"""),1.9774696E7)</f>
        <v>19774696</v>
      </c>
    </row>
    <row r="490">
      <c r="A490" s="2">
        <f>IFERROR(__xludf.DUMMYFUNCTION("""COMPUTED_VALUE"""),45061.66666666667)</f>
        <v>45061.66667</v>
      </c>
      <c r="B490" s="1">
        <f>IFERROR(__xludf.DUMMYFUNCTION("""COMPUTED_VALUE"""),309.1)</f>
        <v>309.1</v>
      </c>
      <c r="C490" s="1">
        <f>IFERROR(__xludf.DUMMYFUNCTION("""COMPUTED_VALUE"""),309.9)</f>
        <v>309.9</v>
      </c>
      <c r="D490" s="1">
        <f>IFERROR(__xludf.DUMMYFUNCTION("""COMPUTED_VALUE"""),307.59)</f>
        <v>307.59</v>
      </c>
      <c r="E490" s="1">
        <f>IFERROR(__xludf.DUMMYFUNCTION("""COMPUTED_VALUE"""),309.46)</f>
        <v>309.46</v>
      </c>
      <c r="F490" s="1">
        <f>IFERROR(__xludf.DUMMYFUNCTION("""COMPUTED_VALUE"""),1.6336547E7)</f>
        <v>16336547</v>
      </c>
    </row>
    <row r="491">
      <c r="A491" s="2">
        <f>IFERROR(__xludf.DUMMYFUNCTION("""COMPUTED_VALUE"""),45062.66666666667)</f>
        <v>45062.66667</v>
      </c>
      <c r="B491" s="1">
        <f>IFERROR(__xludf.DUMMYFUNCTION("""COMPUTED_VALUE"""),309.83)</f>
        <v>309.83</v>
      </c>
      <c r="C491" s="1">
        <f>IFERROR(__xludf.DUMMYFUNCTION("""COMPUTED_VALUE"""),313.71)</f>
        <v>313.71</v>
      </c>
      <c r="D491" s="1">
        <f>IFERROR(__xludf.DUMMYFUNCTION("""COMPUTED_VALUE"""),309.83)</f>
        <v>309.83</v>
      </c>
      <c r="E491" s="1">
        <f>IFERROR(__xludf.DUMMYFUNCTION("""COMPUTED_VALUE"""),311.74)</f>
        <v>311.74</v>
      </c>
      <c r="F491" s="1">
        <f>IFERROR(__xludf.DUMMYFUNCTION("""COMPUTED_VALUE"""),2.6730347E7)</f>
        <v>26730347</v>
      </c>
    </row>
    <row r="492">
      <c r="A492" s="2">
        <f>IFERROR(__xludf.DUMMYFUNCTION("""COMPUTED_VALUE"""),45063.66666666667)</f>
        <v>45063.66667</v>
      </c>
      <c r="B492" s="1">
        <f>IFERROR(__xludf.DUMMYFUNCTION("""COMPUTED_VALUE"""),312.29)</f>
        <v>312.29</v>
      </c>
      <c r="C492" s="1">
        <f>IFERROR(__xludf.DUMMYFUNCTION("""COMPUTED_VALUE"""),314.43)</f>
        <v>314.43</v>
      </c>
      <c r="D492" s="1">
        <f>IFERROR(__xludf.DUMMYFUNCTION("""COMPUTED_VALUE"""),310.74)</f>
        <v>310.74</v>
      </c>
      <c r="E492" s="1">
        <f>IFERROR(__xludf.DUMMYFUNCTION("""COMPUTED_VALUE"""),314.0)</f>
        <v>314</v>
      </c>
      <c r="F492" s="1">
        <f>IFERROR(__xludf.DUMMYFUNCTION("""COMPUTED_VALUE"""),2.4315012E7)</f>
        <v>24315012</v>
      </c>
    </row>
    <row r="493">
      <c r="A493" s="2">
        <f>IFERROR(__xludf.DUMMYFUNCTION("""COMPUTED_VALUE"""),45064.66666666667)</f>
        <v>45064.66667</v>
      </c>
      <c r="B493" s="1">
        <f>IFERROR(__xludf.DUMMYFUNCTION("""COMPUTED_VALUE"""),314.53)</f>
        <v>314.53</v>
      </c>
      <c r="C493" s="1">
        <f>IFERROR(__xludf.DUMMYFUNCTION("""COMPUTED_VALUE"""),319.04)</f>
        <v>319.04</v>
      </c>
      <c r="D493" s="1">
        <f>IFERROR(__xludf.DUMMYFUNCTION("""COMPUTED_VALUE"""),313.72)</f>
        <v>313.72</v>
      </c>
      <c r="E493" s="1">
        <f>IFERROR(__xludf.DUMMYFUNCTION("""COMPUTED_VALUE"""),318.52)</f>
        <v>318.52</v>
      </c>
      <c r="F493" s="1">
        <f>IFERROR(__xludf.DUMMYFUNCTION("""COMPUTED_VALUE"""),2.7275991E7)</f>
        <v>27275991</v>
      </c>
    </row>
    <row r="494">
      <c r="A494" s="2">
        <f>IFERROR(__xludf.DUMMYFUNCTION("""COMPUTED_VALUE"""),45065.66666666667)</f>
        <v>45065.66667</v>
      </c>
      <c r="B494" s="1">
        <f>IFERROR(__xludf.DUMMYFUNCTION("""COMPUTED_VALUE"""),316.74)</f>
        <v>316.74</v>
      </c>
      <c r="C494" s="1">
        <f>IFERROR(__xludf.DUMMYFUNCTION("""COMPUTED_VALUE"""),318.75)</f>
        <v>318.75</v>
      </c>
      <c r="D494" s="1">
        <f>IFERROR(__xludf.DUMMYFUNCTION("""COMPUTED_VALUE"""),316.37)</f>
        <v>316.37</v>
      </c>
      <c r="E494" s="1">
        <f>IFERROR(__xludf.DUMMYFUNCTION("""COMPUTED_VALUE"""),318.34)</f>
        <v>318.34</v>
      </c>
      <c r="F494" s="1">
        <f>IFERROR(__xludf.DUMMYFUNCTION("""COMPUTED_VALUE"""),2.7546701E7)</f>
        <v>27546701</v>
      </c>
    </row>
    <row r="495">
      <c r="A495" s="2">
        <f>IFERROR(__xludf.DUMMYFUNCTION("""COMPUTED_VALUE"""),45068.66666666667)</f>
        <v>45068.66667</v>
      </c>
      <c r="B495" s="1">
        <f>IFERROR(__xludf.DUMMYFUNCTION("""COMPUTED_VALUE"""),318.6)</f>
        <v>318.6</v>
      </c>
      <c r="C495" s="1">
        <f>IFERROR(__xludf.DUMMYFUNCTION("""COMPUTED_VALUE"""),322.59)</f>
        <v>322.59</v>
      </c>
      <c r="D495" s="1">
        <f>IFERROR(__xludf.DUMMYFUNCTION("""COMPUTED_VALUE"""),318.01)</f>
        <v>318.01</v>
      </c>
      <c r="E495" s="1">
        <f>IFERROR(__xludf.DUMMYFUNCTION("""COMPUTED_VALUE"""),321.18)</f>
        <v>321.18</v>
      </c>
      <c r="F495" s="1">
        <f>IFERROR(__xludf.DUMMYFUNCTION("""COMPUTED_VALUE"""),2.4115664E7)</f>
        <v>24115664</v>
      </c>
    </row>
    <row r="496">
      <c r="A496" s="2">
        <f>IFERROR(__xludf.DUMMYFUNCTION("""COMPUTED_VALUE"""),45069.66666666667)</f>
        <v>45069.66667</v>
      </c>
      <c r="B496" s="1">
        <f>IFERROR(__xludf.DUMMYFUNCTION("""COMPUTED_VALUE"""),320.03)</f>
        <v>320.03</v>
      </c>
      <c r="C496" s="1">
        <f>IFERROR(__xludf.DUMMYFUNCTION("""COMPUTED_VALUE"""),322.72)</f>
        <v>322.72</v>
      </c>
      <c r="D496" s="1">
        <f>IFERROR(__xludf.DUMMYFUNCTION("""COMPUTED_VALUE"""),315.25)</f>
        <v>315.25</v>
      </c>
      <c r="E496" s="1">
        <f>IFERROR(__xludf.DUMMYFUNCTION("""COMPUTED_VALUE"""),315.26)</f>
        <v>315.26</v>
      </c>
      <c r="F496" s="1">
        <f>IFERROR(__xludf.DUMMYFUNCTION("""COMPUTED_VALUE"""),3.0797173E7)</f>
        <v>30797173</v>
      </c>
    </row>
    <row r="497">
      <c r="A497" s="2">
        <f>IFERROR(__xludf.DUMMYFUNCTION("""COMPUTED_VALUE"""),45070.66666666667)</f>
        <v>45070.66667</v>
      </c>
      <c r="B497" s="1">
        <f>IFERROR(__xludf.DUMMYFUNCTION("""COMPUTED_VALUE"""),314.73)</f>
        <v>314.73</v>
      </c>
      <c r="C497" s="1">
        <f>IFERROR(__xludf.DUMMYFUNCTION("""COMPUTED_VALUE"""),316.5)</f>
        <v>316.5</v>
      </c>
      <c r="D497" s="1">
        <f>IFERROR(__xludf.DUMMYFUNCTION("""COMPUTED_VALUE"""),312.61)</f>
        <v>312.61</v>
      </c>
      <c r="E497" s="1">
        <f>IFERROR(__xludf.DUMMYFUNCTION("""COMPUTED_VALUE"""),313.85)</f>
        <v>313.85</v>
      </c>
      <c r="F497" s="1">
        <f>IFERROR(__xludf.DUMMYFUNCTION("""COMPUTED_VALUE"""),2.3384887E7)</f>
        <v>23384887</v>
      </c>
    </row>
    <row r="498">
      <c r="A498" s="2">
        <f>IFERROR(__xludf.DUMMYFUNCTION("""COMPUTED_VALUE"""),45071.66666666667)</f>
        <v>45071.66667</v>
      </c>
      <c r="B498" s="1">
        <f>IFERROR(__xludf.DUMMYFUNCTION("""COMPUTED_VALUE"""),323.24)</f>
        <v>323.24</v>
      </c>
      <c r="C498" s="1">
        <f>IFERROR(__xludf.DUMMYFUNCTION("""COMPUTED_VALUE"""),326.9)</f>
        <v>326.9</v>
      </c>
      <c r="D498" s="1">
        <f>IFERROR(__xludf.DUMMYFUNCTION("""COMPUTED_VALUE"""),320.0)</f>
        <v>320</v>
      </c>
      <c r="E498" s="1">
        <f>IFERROR(__xludf.DUMMYFUNCTION("""COMPUTED_VALUE"""),325.92)</f>
        <v>325.92</v>
      </c>
      <c r="F498" s="1">
        <f>IFERROR(__xludf.DUMMYFUNCTION("""COMPUTED_VALUE"""),4.3301743E7)</f>
        <v>43301743</v>
      </c>
    </row>
    <row r="499">
      <c r="A499" s="2">
        <f>IFERROR(__xludf.DUMMYFUNCTION("""COMPUTED_VALUE"""),45072.66666666667)</f>
        <v>45072.66667</v>
      </c>
      <c r="B499" s="1">
        <f>IFERROR(__xludf.DUMMYFUNCTION("""COMPUTED_VALUE"""),324.02)</f>
        <v>324.02</v>
      </c>
      <c r="C499" s="1">
        <f>IFERROR(__xludf.DUMMYFUNCTION("""COMPUTED_VALUE"""),333.4)</f>
        <v>333.4</v>
      </c>
      <c r="D499" s="1">
        <f>IFERROR(__xludf.DUMMYFUNCTION("""COMPUTED_VALUE"""),323.88)</f>
        <v>323.88</v>
      </c>
      <c r="E499" s="1">
        <f>IFERROR(__xludf.DUMMYFUNCTION("""COMPUTED_VALUE"""),332.89)</f>
        <v>332.89</v>
      </c>
      <c r="F499" s="1">
        <f>IFERROR(__xludf.DUMMYFUNCTION("""COMPUTED_VALUE"""),3.6630633E7)</f>
        <v>36630633</v>
      </c>
    </row>
    <row r="500">
      <c r="A500" s="2">
        <f>IFERROR(__xludf.DUMMYFUNCTION("""COMPUTED_VALUE"""),45076.66666666667)</f>
        <v>45076.66667</v>
      </c>
      <c r="B500" s="1">
        <f>IFERROR(__xludf.DUMMYFUNCTION("""COMPUTED_VALUE"""),335.23)</f>
        <v>335.23</v>
      </c>
      <c r="C500" s="1">
        <f>IFERROR(__xludf.DUMMYFUNCTION("""COMPUTED_VALUE"""),335.74)</f>
        <v>335.74</v>
      </c>
      <c r="D500" s="1">
        <f>IFERROR(__xludf.DUMMYFUNCTION("""COMPUTED_VALUE"""),330.52)</f>
        <v>330.52</v>
      </c>
      <c r="E500" s="1">
        <f>IFERROR(__xludf.DUMMYFUNCTION("""COMPUTED_VALUE"""),331.21)</f>
        <v>331.21</v>
      </c>
      <c r="F500" s="1">
        <f>IFERROR(__xludf.DUMMYFUNCTION("""COMPUTED_VALUE"""),2.950307E7)</f>
        <v>29503070</v>
      </c>
    </row>
    <row r="501">
      <c r="A501" s="2">
        <f>IFERROR(__xludf.DUMMYFUNCTION("""COMPUTED_VALUE"""),45077.66666666667)</f>
        <v>45077.66667</v>
      </c>
      <c r="B501" s="1">
        <f>IFERROR(__xludf.DUMMYFUNCTION("""COMPUTED_VALUE"""),332.29)</f>
        <v>332.29</v>
      </c>
      <c r="C501" s="1">
        <f>IFERROR(__xludf.DUMMYFUNCTION("""COMPUTED_VALUE"""),335.94)</f>
        <v>335.94</v>
      </c>
      <c r="D501" s="1">
        <f>IFERROR(__xludf.DUMMYFUNCTION("""COMPUTED_VALUE"""),327.33)</f>
        <v>327.33</v>
      </c>
      <c r="E501" s="1">
        <f>IFERROR(__xludf.DUMMYFUNCTION("""COMPUTED_VALUE"""),328.39)</f>
        <v>328.39</v>
      </c>
      <c r="F501" s="1">
        <f>IFERROR(__xludf.DUMMYFUNCTION("""COMPUTED_VALUE"""),4.5950553E7)</f>
        <v>45950553</v>
      </c>
    </row>
    <row r="502">
      <c r="A502" s="2">
        <f>IFERROR(__xludf.DUMMYFUNCTION("""COMPUTED_VALUE"""),45078.66666666667)</f>
        <v>45078.66667</v>
      </c>
      <c r="B502" s="1">
        <f>IFERROR(__xludf.DUMMYFUNCTION("""COMPUTED_VALUE"""),325.93)</f>
        <v>325.93</v>
      </c>
      <c r="C502" s="1">
        <f>IFERROR(__xludf.DUMMYFUNCTION("""COMPUTED_VALUE"""),333.53)</f>
        <v>333.53</v>
      </c>
      <c r="D502" s="1">
        <f>IFERROR(__xludf.DUMMYFUNCTION("""COMPUTED_VALUE"""),324.72)</f>
        <v>324.72</v>
      </c>
      <c r="E502" s="1">
        <f>IFERROR(__xludf.DUMMYFUNCTION("""COMPUTED_VALUE"""),332.58)</f>
        <v>332.58</v>
      </c>
      <c r="F502" s="1">
        <f>IFERROR(__xludf.DUMMYFUNCTION("""COMPUTED_VALUE"""),2.6773851E7)</f>
        <v>26773851</v>
      </c>
    </row>
    <row r="503">
      <c r="A503" s="2">
        <f>IFERROR(__xludf.DUMMYFUNCTION("""COMPUTED_VALUE"""),45079.66666666667)</f>
        <v>45079.66667</v>
      </c>
      <c r="B503" s="1">
        <f>IFERROR(__xludf.DUMMYFUNCTION("""COMPUTED_VALUE"""),334.25)</f>
        <v>334.25</v>
      </c>
      <c r="C503" s="1">
        <f>IFERROR(__xludf.DUMMYFUNCTION("""COMPUTED_VALUE"""),337.5)</f>
        <v>337.5</v>
      </c>
      <c r="D503" s="1">
        <f>IFERROR(__xludf.DUMMYFUNCTION("""COMPUTED_VALUE"""),332.55)</f>
        <v>332.55</v>
      </c>
      <c r="E503" s="1">
        <f>IFERROR(__xludf.DUMMYFUNCTION("""COMPUTED_VALUE"""),335.4)</f>
        <v>335.4</v>
      </c>
      <c r="F503" s="1">
        <f>IFERROR(__xludf.DUMMYFUNCTION("""COMPUTED_VALUE"""),2.5873769E7)</f>
        <v>25873769</v>
      </c>
    </row>
    <row r="504">
      <c r="A504" s="2">
        <f>IFERROR(__xludf.DUMMYFUNCTION("""COMPUTED_VALUE"""),45082.66666666667)</f>
        <v>45082.66667</v>
      </c>
      <c r="B504" s="1">
        <f>IFERROR(__xludf.DUMMYFUNCTION("""COMPUTED_VALUE"""),335.22)</f>
        <v>335.22</v>
      </c>
      <c r="C504" s="1">
        <f>IFERROR(__xludf.DUMMYFUNCTION("""COMPUTED_VALUE"""),338.56)</f>
        <v>338.56</v>
      </c>
      <c r="D504" s="1">
        <f>IFERROR(__xludf.DUMMYFUNCTION("""COMPUTED_VALUE"""),334.66)</f>
        <v>334.66</v>
      </c>
      <c r="E504" s="1">
        <f>IFERROR(__xludf.DUMMYFUNCTION("""COMPUTED_VALUE"""),335.94)</f>
        <v>335.94</v>
      </c>
      <c r="F504" s="1">
        <f>IFERROR(__xludf.DUMMYFUNCTION("""COMPUTED_VALUE"""),2.1307053E7)</f>
        <v>21307053</v>
      </c>
    </row>
    <row r="505">
      <c r="A505" s="2">
        <f>IFERROR(__xludf.DUMMYFUNCTION("""COMPUTED_VALUE"""),45083.66666666667)</f>
        <v>45083.66667</v>
      </c>
      <c r="B505" s="1">
        <f>IFERROR(__xludf.DUMMYFUNCTION("""COMPUTED_VALUE"""),335.33)</f>
        <v>335.33</v>
      </c>
      <c r="C505" s="1">
        <f>IFERROR(__xludf.DUMMYFUNCTION("""COMPUTED_VALUE"""),335.37)</f>
        <v>335.37</v>
      </c>
      <c r="D505" s="1">
        <f>IFERROR(__xludf.DUMMYFUNCTION("""COMPUTED_VALUE"""),332.17)</f>
        <v>332.17</v>
      </c>
      <c r="E505" s="1">
        <f>IFERROR(__xludf.DUMMYFUNCTION("""COMPUTED_VALUE"""),333.68)</f>
        <v>333.68</v>
      </c>
      <c r="F505" s="1">
        <f>IFERROR(__xludf.DUMMYFUNCTION("""COMPUTED_VALUE"""),2.0396223E7)</f>
        <v>20396223</v>
      </c>
    </row>
    <row r="506">
      <c r="A506" s="2">
        <f>IFERROR(__xludf.DUMMYFUNCTION("""COMPUTED_VALUE"""),45084.66666666667)</f>
        <v>45084.66667</v>
      </c>
      <c r="B506" s="1">
        <f>IFERROR(__xludf.DUMMYFUNCTION("""COMPUTED_VALUE"""),331.65)</f>
        <v>331.65</v>
      </c>
      <c r="C506" s="1">
        <f>IFERROR(__xludf.DUMMYFUNCTION("""COMPUTED_VALUE"""),334.49)</f>
        <v>334.49</v>
      </c>
      <c r="D506" s="1">
        <f>IFERROR(__xludf.DUMMYFUNCTION("""COMPUTED_VALUE"""),322.5)</f>
        <v>322.5</v>
      </c>
      <c r="E506" s="1">
        <f>IFERROR(__xludf.DUMMYFUNCTION("""COMPUTED_VALUE"""),323.38)</f>
        <v>323.38</v>
      </c>
      <c r="F506" s="1">
        <f>IFERROR(__xludf.DUMMYFUNCTION("""COMPUTED_VALUE"""),4.0717129E7)</f>
        <v>40717129</v>
      </c>
    </row>
    <row r="507">
      <c r="A507" s="2">
        <f>IFERROR(__xludf.DUMMYFUNCTION("""COMPUTED_VALUE"""),45085.66666666667)</f>
        <v>45085.66667</v>
      </c>
      <c r="B507" s="1">
        <f>IFERROR(__xludf.DUMMYFUNCTION("""COMPUTED_VALUE"""),323.94)</f>
        <v>323.94</v>
      </c>
      <c r="C507" s="1">
        <f>IFERROR(__xludf.DUMMYFUNCTION("""COMPUTED_VALUE"""),326.64)</f>
        <v>326.64</v>
      </c>
      <c r="D507" s="1">
        <f>IFERROR(__xludf.DUMMYFUNCTION("""COMPUTED_VALUE"""),323.35)</f>
        <v>323.35</v>
      </c>
      <c r="E507" s="1">
        <f>IFERROR(__xludf.DUMMYFUNCTION("""COMPUTED_VALUE"""),325.26)</f>
        <v>325.26</v>
      </c>
      <c r="F507" s="1">
        <f>IFERROR(__xludf.DUMMYFUNCTION("""COMPUTED_VALUE"""),2.3277708E7)</f>
        <v>23277708</v>
      </c>
    </row>
    <row r="508">
      <c r="A508" s="2">
        <f>IFERROR(__xludf.DUMMYFUNCTION("""COMPUTED_VALUE"""),45086.66666666667)</f>
        <v>45086.66667</v>
      </c>
      <c r="B508" s="1">
        <f>IFERROR(__xludf.DUMMYFUNCTION("""COMPUTED_VALUE"""),324.99)</f>
        <v>324.99</v>
      </c>
      <c r="C508" s="1">
        <f>IFERROR(__xludf.DUMMYFUNCTION("""COMPUTED_VALUE"""),329.99)</f>
        <v>329.99</v>
      </c>
      <c r="D508" s="1">
        <f>IFERROR(__xludf.DUMMYFUNCTION("""COMPUTED_VALUE"""),324.41)</f>
        <v>324.41</v>
      </c>
      <c r="E508" s="1">
        <f>IFERROR(__xludf.DUMMYFUNCTION("""COMPUTED_VALUE"""),326.79)</f>
        <v>326.79</v>
      </c>
      <c r="F508" s="1">
        <f>IFERROR(__xludf.DUMMYFUNCTION("""COMPUTED_VALUE"""),2.252895E7)</f>
        <v>22528950</v>
      </c>
    </row>
    <row r="509">
      <c r="A509" s="2">
        <f>IFERROR(__xludf.DUMMYFUNCTION("""COMPUTED_VALUE"""),45089.66666666667)</f>
        <v>45089.66667</v>
      </c>
      <c r="B509" s="1">
        <f>IFERROR(__xludf.DUMMYFUNCTION("""COMPUTED_VALUE"""),328.58)</f>
        <v>328.58</v>
      </c>
      <c r="C509" s="1">
        <f>IFERROR(__xludf.DUMMYFUNCTION("""COMPUTED_VALUE"""),332.1)</f>
        <v>332.1</v>
      </c>
      <c r="D509" s="1">
        <f>IFERROR(__xludf.DUMMYFUNCTION("""COMPUTED_VALUE"""),325.16)</f>
        <v>325.16</v>
      </c>
      <c r="E509" s="1">
        <f>IFERROR(__xludf.DUMMYFUNCTION("""COMPUTED_VALUE"""),331.85)</f>
        <v>331.85</v>
      </c>
      <c r="F509" s="1">
        <f>IFERROR(__xludf.DUMMYFUNCTION("""COMPUTED_VALUE"""),2.4306753E7)</f>
        <v>24306753</v>
      </c>
    </row>
    <row r="510">
      <c r="A510" s="2">
        <f>IFERROR(__xludf.DUMMYFUNCTION("""COMPUTED_VALUE"""),45090.66666666667)</f>
        <v>45090.66667</v>
      </c>
      <c r="B510" s="1">
        <f>IFERROR(__xludf.DUMMYFUNCTION("""COMPUTED_VALUE"""),334.47)</f>
        <v>334.47</v>
      </c>
      <c r="C510" s="1">
        <f>IFERROR(__xludf.DUMMYFUNCTION("""COMPUTED_VALUE"""),336.98)</f>
        <v>336.98</v>
      </c>
      <c r="D510" s="1">
        <f>IFERROR(__xludf.DUMMYFUNCTION("""COMPUTED_VALUE"""),330.39)</f>
        <v>330.39</v>
      </c>
      <c r="E510" s="1">
        <f>IFERROR(__xludf.DUMMYFUNCTION("""COMPUTED_VALUE"""),334.29)</f>
        <v>334.29</v>
      </c>
      <c r="F510" s="1">
        <f>IFERROR(__xludf.DUMMYFUNCTION("""COMPUTED_VALUE"""),2.2951279E7)</f>
        <v>22951279</v>
      </c>
    </row>
    <row r="511">
      <c r="A511" s="2">
        <f>IFERROR(__xludf.DUMMYFUNCTION("""COMPUTED_VALUE"""),45091.66666666667)</f>
        <v>45091.66667</v>
      </c>
      <c r="B511" s="1">
        <f>IFERROR(__xludf.DUMMYFUNCTION("""COMPUTED_VALUE"""),334.34)</f>
        <v>334.34</v>
      </c>
      <c r="C511" s="1">
        <f>IFERROR(__xludf.DUMMYFUNCTION("""COMPUTED_VALUE"""),339.04)</f>
        <v>339.04</v>
      </c>
      <c r="D511" s="1">
        <f>IFERROR(__xludf.DUMMYFUNCTION("""COMPUTED_VALUE"""),332.81)</f>
        <v>332.81</v>
      </c>
      <c r="E511" s="1">
        <f>IFERROR(__xludf.DUMMYFUNCTION("""COMPUTED_VALUE"""),337.34)</f>
        <v>337.34</v>
      </c>
      <c r="F511" s="1">
        <f>IFERROR(__xludf.DUMMYFUNCTION("""COMPUTED_VALUE"""),2.6003791E7)</f>
        <v>26003791</v>
      </c>
    </row>
    <row r="512">
      <c r="A512" s="2">
        <f>IFERROR(__xludf.DUMMYFUNCTION("""COMPUTED_VALUE"""),45092.66666666667)</f>
        <v>45092.66667</v>
      </c>
      <c r="B512" s="1">
        <f>IFERROR(__xludf.DUMMYFUNCTION("""COMPUTED_VALUE"""),337.48)</f>
        <v>337.48</v>
      </c>
      <c r="C512" s="1">
        <f>IFERROR(__xludf.DUMMYFUNCTION("""COMPUTED_VALUE"""),349.84)</f>
        <v>349.84</v>
      </c>
      <c r="D512" s="1">
        <f>IFERROR(__xludf.DUMMYFUNCTION("""COMPUTED_VALUE"""),337.2)</f>
        <v>337.2</v>
      </c>
      <c r="E512" s="1">
        <f>IFERROR(__xludf.DUMMYFUNCTION("""COMPUTED_VALUE"""),348.1)</f>
        <v>348.1</v>
      </c>
      <c r="F512" s="1">
        <f>IFERROR(__xludf.DUMMYFUNCTION("""COMPUTED_VALUE"""),3.8899075E7)</f>
        <v>38899075</v>
      </c>
    </row>
    <row r="513">
      <c r="A513" s="2">
        <f>IFERROR(__xludf.DUMMYFUNCTION("""COMPUTED_VALUE"""),45093.66666666667)</f>
        <v>45093.66667</v>
      </c>
      <c r="B513" s="1">
        <f>IFERROR(__xludf.DUMMYFUNCTION("""COMPUTED_VALUE"""),351.32)</f>
        <v>351.32</v>
      </c>
      <c r="C513" s="1">
        <f>IFERROR(__xludf.DUMMYFUNCTION("""COMPUTED_VALUE"""),351.47)</f>
        <v>351.47</v>
      </c>
      <c r="D513" s="1">
        <f>IFERROR(__xludf.DUMMYFUNCTION("""COMPUTED_VALUE"""),341.95)</f>
        <v>341.95</v>
      </c>
      <c r="E513" s="1">
        <f>IFERROR(__xludf.DUMMYFUNCTION("""COMPUTED_VALUE"""),342.33)</f>
        <v>342.33</v>
      </c>
      <c r="F513" s="1">
        <f>IFERROR(__xludf.DUMMYFUNCTION("""COMPUTED_VALUE"""),4.6551985E7)</f>
        <v>46551985</v>
      </c>
    </row>
    <row r="514">
      <c r="A514" s="2">
        <f>IFERROR(__xludf.DUMMYFUNCTION("""COMPUTED_VALUE"""),45097.66666666667)</f>
        <v>45097.66667</v>
      </c>
      <c r="B514" s="1">
        <f>IFERROR(__xludf.DUMMYFUNCTION("""COMPUTED_VALUE"""),339.31)</f>
        <v>339.31</v>
      </c>
      <c r="C514" s="1">
        <f>IFERROR(__xludf.DUMMYFUNCTION("""COMPUTED_VALUE"""),342.08)</f>
        <v>342.08</v>
      </c>
      <c r="D514" s="1">
        <f>IFERROR(__xludf.DUMMYFUNCTION("""COMPUTED_VALUE"""),335.86)</f>
        <v>335.86</v>
      </c>
      <c r="E514" s="1">
        <f>IFERROR(__xludf.DUMMYFUNCTION("""COMPUTED_VALUE"""),338.05)</f>
        <v>338.05</v>
      </c>
      <c r="F514" s="1">
        <f>IFERROR(__xludf.DUMMYFUNCTION("""COMPUTED_VALUE"""),2.6375407E7)</f>
        <v>26375407</v>
      </c>
    </row>
    <row r="515">
      <c r="A515" s="2">
        <f>IFERROR(__xludf.DUMMYFUNCTION("""COMPUTED_VALUE"""),45098.66666666667)</f>
        <v>45098.66667</v>
      </c>
      <c r="B515" s="1">
        <f>IFERROR(__xludf.DUMMYFUNCTION("""COMPUTED_VALUE"""),336.37)</f>
        <v>336.37</v>
      </c>
      <c r="C515" s="1">
        <f>IFERROR(__xludf.DUMMYFUNCTION("""COMPUTED_VALUE"""),337.73)</f>
        <v>337.73</v>
      </c>
      <c r="D515" s="1">
        <f>IFERROR(__xludf.DUMMYFUNCTION("""COMPUTED_VALUE"""),332.07)</f>
        <v>332.07</v>
      </c>
      <c r="E515" s="1">
        <f>IFERROR(__xludf.DUMMYFUNCTION("""COMPUTED_VALUE"""),333.56)</f>
        <v>333.56</v>
      </c>
      <c r="F515" s="1">
        <f>IFERROR(__xludf.DUMMYFUNCTION("""COMPUTED_VALUE"""),2.5117799E7)</f>
        <v>25117799</v>
      </c>
    </row>
    <row r="516">
      <c r="A516" s="2">
        <f>IFERROR(__xludf.DUMMYFUNCTION("""COMPUTED_VALUE"""),45099.66666666667)</f>
        <v>45099.66667</v>
      </c>
      <c r="B516" s="1">
        <f>IFERROR(__xludf.DUMMYFUNCTION("""COMPUTED_VALUE"""),334.12)</f>
        <v>334.12</v>
      </c>
      <c r="C516" s="1">
        <f>IFERROR(__xludf.DUMMYFUNCTION("""COMPUTED_VALUE"""),340.12)</f>
        <v>340.12</v>
      </c>
      <c r="D516" s="1">
        <f>IFERROR(__xludf.DUMMYFUNCTION("""COMPUTED_VALUE"""),333.34)</f>
        <v>333.34</v>
      </c>
      <c r="E516" s="1">
        <f>IFERROR(__xludf.DUMMYFUNCTION("""COMPUTED_VALUE"""),339.71)</f>
        <v>339.71</v>
      </c>
      <c r="F516" s="1">
        <f>IFERROR(__xludf.DUMMYFUNCTION("""COMPUTED_VALUE"""),2.3556764E7)</f>
        <v>23556764</v>
      </c>
    </row>
    <row r="517">
      <c r="A517" s="2">
        <f>IFERROR(__xludf.DUMMYFUNCTION("""COMPUTED_VALUE"""),45100.66666666667)</f>
        <v>45100.66667</v>
      </c>
      <c r="B517" s="1">
        <f>IFERROR(__xludf.DUMMYFUNCTION("""COMPUTED_VALUE"""),334.36)</f>
        <v>334.36</v>
      </c>
      <c r="C517" s="1">
        <f>IFERROR(__xludf.DUMMYFUNCTION("""COMPUTED_VALUE"""),337.96)</f>
        <v>337.96</v>
      </c>
      <c r="D517" s="1">
        <f>IFERROR(__xludf.DUMMYFUNCTION("""COMPUTED_VALUE"""),333.45)</f>
        <v>333.45</v>
      </c>
      <c r="E517" s="1">
        <f>IFERROR(__xludf.DUMMYFUNCTION("""COMPUTED_VALUE"""),335.02)</f>
        <v>335.02</v>
      </c>
      <c r="F517" s="1">
        <f>IFERROR(__xludf.DUMMYFUNCTION("""COMPUTED_VALUE"""),2.3146901E7)</f>
        <v>23146901</v>
      </c>
    </row>
    <row r="518">
      <c r="A518" s="2">
        <f>IFERROR(__xludf.DUMMYFUNCTION("""COMPUTED_VALUE"""),45103.66666666667)</f>
        <v>45103.66667</v>
      </c>
      <c r="B518" s="1">
        <f>IFERROR(__xludf.DUMMYFUNCTION("""COMPUTED_VALUE"""),333.72)</f>
        <v>333.72</v>
      </c>
      <c r="C518" s="1">
        <f>IFERROR(__xludf.DUMMYFUNCTION("""COMPUTED_VALUE"""),336.11)</f>
        <v>336.11</v>
      </c>
      <c r="D518" s="1">
        <f>IFERROR(__xludf.DUMMYFUNCTION("""COMPUTED_VALUE"""),328.49)</f>
        <v>328.49</v>
      </c>
      <c r="E518" s="1">
        <f>IFERROR(__xludf.DUMMYFUNCTION("""COMPUTED_VALUE"""),328.6)</f>
        <v>328.6</v>
      </c>
      <c r="F518" s="1">
        <f>IFERROR(__xludf.DUMMYFUNCTION("""COMPUTED_VALUE"""),2.1520582E7)</f>
        <v>21520582</v>
      </c>
    </row>
    <row r="519">
      <c r="A519" s="2">
        <f>IFERROR(__xludf.DUMMYFUNCTION("""COMPUTED_VALUE"""),45104.66666666667)</f>
        <v>45104.66667</v>
      </c>
      <c r="B519" s="1">
        <f>IFERROR(__xludf.DUMMYFUNCTION("""COMPUTED_VALUE"""),331.86)</f>
        <v>331.86</v>
      </c>
      <c r="C519" s="1">
        <f>IFERROR(__xludf.DUMMYFUNCTION("""COMPUTED_VALUE"""),336.15)</f>
        <v>336.15</v>
      </c>
      <c r="D519" s="1">
        <f>IFERROR(__xludf.DUMMYFUNCTION("""COMPUTED_VALUE"""),329.3)</f>
        <v>329.3</v>
      </c>
      <c r="E519" s="1">
        <f>IFERROR(__xludf.DUMMYFUNCTION("""COMPUTED_VALUE"""),334.57)</f>
        <v>334.57</v>
      </c>
      <c r="F519" s="1">
        <f>IFERROR(__xludf.DUMMYFUNCTION("""COMPUTED_VALUE"""),2.435411E7)</f>
        <v>24354110</v>
      </c>
    </row>
    <row r="520">
      <c r="A520" s="2">
        <f>IFERROR(__xludf.DUMMYFUNCTION("""COMPUTED_VALUE"""),45105.66666666667)</f>
        <v>45105.66667</v>
      </c>
      <c r="B520" s="1">
        <f>IFERROR(__xludf.DUMMYFUNCTION("""COMPUTED_VALUE"""),334.66)</f>
        <v>334.66</v>
      </c>
      <c r="C520" s="1">
        <f>IFERROR(__xludf.DUMMYFUNCTION("""COMPUTED_VALUE"""),337.98)</f>
        <v>337.98</v>
      </c>
      <c r="D520" s="1">
        <f>IFERROR(__xludf.DUMMYFUNCTION("""COMPUTED_VALUE"""),333.81)</f>
        <v>333.81</v>
      </c>
      <c r="E520" s="1">
        <f>IFERROR(__xludf.DUMMYFUNCTION("""COMPUTED_VALUE"""),335.85)</f>
        <v>335.85</v>
      </c>
      <c r="F520" s="1">
        <f>IFERROR(__xludf.DUMMYFUNCTION("""COMPUTED_VALUE"""),2.0259523E7)</f>
        <v>20259523</v>
      </c>
    </row>
    <row r="521">
      <c r="A521" s="2">
        <f>IFERROR(__xludf.DUMMYFUNCTION("""COMPUTED_VALUE"""),45106.66666666667)</f>
        <v>45106.66667</v>
      </c>
      <c r="B521" s="1">
        <f>IFERROR(__xludf.DUMMYFUNCTION("""COMPUTED_VALUE"""),334.71)</f>
        <v>334.71</v>
      </c>
      <c r="C521" s="1">
        <f>IFERROR(__xludf.DUMMYFUNCTION("""COMPUTED_VALUE"""),336.11)</f>
        <v>336.11</v>
      </c>
      <c r="D521" s="1">
        <f>IFERROR(__xludf.DUMMYFUNCTION("""COMPUTED_VALUE"""),332.62)</f>
        <v>332.62</v>
      </c>
      <c r="E521" s="1">
        <f>IFERROR(__xludf.DUMMYFUNCTION("""COMPUTED_VALUE"""),335.05)</f>
        <v>335.05</v>
      </c>
      <c r="F521" s="1">
        <f>IFERROR(__xludf.DUMMYFUNCTION("""COMPUTED_VALUE"""),1.6997042E7)</f>
        <v>16997042</v>
      </c>
    </row>
    <row r="522">
      <c r="A522" s="2">
        <f>IFERROR(__xludf.DUMMYFUNCTION("""COMPUTED_VALUE"""),45107.66666666667)</f>
        <v>45107.66667</v>
      </c>
      <c r="B522" s="1">
        <f>IFERROR(__xludf.DUMMYFUNCTION("""COMPUTED_VALUE"""),337.75)</f>
        <v>337.75</v>
      </c>
      <c r="C522" s="1">
        <f>IFERROR(__xludf.DUMMYFUNCTION("""COMPUTED_VALUE"""),342.73)</f>
        <v>342.73</v>
      </c>
      <c r="D522" s="1">
        <f>IFERROR(__xludf.DUMMYFUNCTION("""COMPUTED_VALUE"""),337.2)</f>
        <v>337.2</v>
      </c>
      <c r="E522" s="1">
        <f>IFERROR(__xludf.DUMMYFUNCTION("""COMPUTED_VALUE"""),340.54)</f>
        <v>340.54</v>
      </c>
      <c r="F522" s="1">
        <f>IFERROR(__xludf.DUMMYFUNCTION("""COMPUTED_VALUE"""),2.6832756E7)</f>
        <v>26832756</v>
      </c>
    </row>
    <row r="523">
      <c r="A523" s="2">
        <f>IFERROR(__xludf.DUMMYFUNCTION("""COMPUTED_VALUE"""),45110.54513888889)</f>
        <v>45110.54514</v>
      </c>
      <c r="B523" s="1">
        <f>IFERROR(__xludf.DUMMYFUNCTION("""COMPUTED_VALUE"""),339.19)</f>
        <v>339.19</v>
      </c>
      <c r="C523" s="1">
        <f>IFERROR(__xludf.DUMMYFUNCTION("""COMPUTED_VALUE"""),340.9)</f>
        <v>340.9</v>
      </c>
      <c r="D523" s="1">
        <f>IFERROR(__xludf.DUMMYFUNCTION("""COMPUTED_VALUE"""),336.57)</f>
        <v>336.57</v>
      </c>
      <c r="E523" s="1">
        <f>IFERROR(__xludf.DUMMYFUNCTION("""COMPUTED_VALUE"""),337.99)</f>
        <v>337.99</v>
      </c>
      <c r="F523" s="1">
        <f>IFERROR(__xludf.DUMMYFUNCTION("""COMPUTED_VALUE"""),1.2508692E7)</f>
        <v>12508692</v>
      </c>
    </row>
    <row r="524">
      <c r="A524" s="2">
        <f>IFERROR(__xludf.DUMMYFUNCTION("""COMPUTED_VALUE"""),45112.66666666667)</f>
        <v>45112.66667</v>
      </c>
      <c r="B524" s="1">
        <f>IFERROR(__xludf.DUMMYFUNCTION("""COMPUTED_VALUE"""),335.09)</f>
        <v>335.09</v>
      </c>
      <c r="C524" s="1">
        <f>IFERROR(__xludf.DUMMYFUNCTION("""COMPUTED_VALUE"""),341.65)</f>
        <v>341.65</v>
      </c>
      <c r="D524" s="1">
        <f>IFERROR(__xludf.DUMMYFUNCTION("""COMPUTED_VALUE"""),334.73)</f>
        <v>334.73</v>
      </c>
      <c r="E524" s="1">
        <f>IFERROR(__xludf.DUMMYFUNCTION("""COMPUTED_VALUE"""),338.15)</f>
        <v>338.15</v>
      </c>
      <c r="F524" s="1">
        <f>IFERROR(__xludf.DUMMYFUNCTION("""COMPUTED_VALUE"""),1.8172378E7)</f>
        <v>18172378</v>
      </c>
    </row>
    <row r="525">
      <c r="A525" s="2">
        <f>IFERROR(__xludf.DUMMYFUNCTION("""COMPUTED_VALUE"""),45113.66666666667)</f>
        <v>45113.66667</v>
      </c>
      <c r="B525" s="1">
        <f>IFERROR(__xludf.DUMMYFUNCTION("""COMPUTED_VALUE"""),337.3)</f>
        <v>337.3</v>
      </c>
      <c r="C525" s="1">
        <f>IFERROR(__xludf.DUMMYFUNCTION("""COMPUTED_VALUE"""),342.99)</f>
        <v>342.99</v>
      </c>
      <c r="D525" s="1">
        <f>IFERROR(__xludf.DUMMYFUNCTION("""COMPUTED_VALUE"""),335.5)</f>
        <v>335.5</v>
      </c>
      <c r="E525" s="1">
        <f>IFERROR(__xludf.DUMMYFUNCTION("""COMPUTED_VALUE"""),341.27)</f>
        <v>341.27</v>
      </c>
      <c r="F525" s="1">
        <f>IFERROR(__xludf.DUMMYFUNCTION("""COMPUTED_VALUE"""),2.8195534E7)</f>
        <v>28195534</v>
      </c>
    </row>
    <row r="526">
      <c r="A526" s="2">
        <f>IFERROR(__xludf.DUMMYFUNCTION("""COMPUTED_VALUE"""),45114.66666666667)</f>
        <v>45114.66667</v>
      </c>
      <c r="B526" s="1">
        <f>IFERROR(__xludf.DUMMYFUNCTION("""COMPUTED_VALUE"""),339.32)</f>
        <v>339.32</v>
      </c>
      <c r="C526" s="1">
        <f>IFERROR(__xludf.DUMMYFUNCTION("""COMPUTED_VALUE"""),341.79)</f>
        <v>341.79</v>
      </c>
      <c r="D526" s="1">
        <f>IFERROR(__xludf.DUMMYFUNCTION("""COMPUTED_VALUE"""),337.0)</f>
        <v>337</v>
      </c>
      <c r="E526" s="1">
        <f>IFERROR(__xludf.DUMMYFUNCTION("""COMPUTED_VALUE"""),337.22)</f>
        <v>337.22</v>
      </c>
      <c r="F526" s="1">
        <f>IFERROR(__xludf.DUMMYFUNCTION("""COMPUTED_VALUE"""),2.1214824E7)</f>
        <v>21214824</v>
      </c>
    </row>
    <row r="527">
      <c r="A527" s="2">
        <f>IFERROR(__xludf.DUMMYFUNCTION("""COMPUTED_VALUE"""),45117.66666666667)</f>
        <v>45117.66667</v>
      </c>
      <c r="B527" s="1">
        <f>IFERROR(__xludf.DUMMYFUNCTION("""COMPUTED_VALUE"""),334.6)</f>
        <v>334.6</v>
      </c>
      <c r="C527" s="1">
        <f>IFERROR(__xludf.DUMMYFUNCTION("""COMPUTED_VALUE"""),335.23)</f>
        <v>335.23</v>
      </c>
      <c r="D527" s="1">
        <f>IFERROR(__xludf.DUMMYFUNCTION("""COMPUTED_VALUE"""),327.59)</f>
        <v>327.59</v>
      </c>
      <c r="E527" s="1">
        <f>IFERROR(__xludf.DUMMYFUNCTION("""COMPUTED_VALUE"""),331.83)</f>
        <v>331.83</v>
      </c>
      <c r="F527" s="1">
        <f>IFERROR(__xludf.DUMMYFUNCTION("""COMPUTED_VALUE"""),3.2791449E7)</f>
        <v>32791449</v>
      </c>
    </row>
    <row r="528">
      <c r="A528" s="2">
        <f>IFERROR(__xludf.DUMMYFUNCTION("""COMPUTED_VALUE"""),45118.66666666667)</f>
        <v>45118.66667</v>
      </c>
      <c r="B528" s="1">
        <f>IFERROR(__xludf.DUMMYFUNCTION("""COMPUTED_VALUE"""),331.06)</f>
        <v>331.06</v>
      </c>
      <c r="C528" s="1">
        <f>IFERROR(__xludf.DUMMYFUNCTION("""COMPUTED_VALUE"""),332.86)</f>
        <v>332.86</v>
      </c>
      <c r="D528" s="1">
        <f>IFERROR(__xludf.DUMMYFUNCTION("""COMPUTED_VALUE"""),327.0)</f>
        <v>327</v>
      </c>
      <c r="E528" s="1">
        <f>IFERROR(__xludf.DUMMYFUNCTION("""COMPUTED_VALUE"""),332.47)</f>
        <v>332.47</v>
      </c>
      <c r="F528" s="1">
        <f>IFERROR(__xludf.DUMMYFUNCTION("""COMPUTED_VALUE"""),2.6698218E7)</f>
        <v>26698218</v>
      </c>
    </row>
    <row r="529">
      <c r="A529" s="2">
        <f>IFERROR(__xludf.DUMMYFUNCTION("""COMPUTED_VALUE"""),45119.66666666667)</f>
        <v>45119.66667</v>
      </c>
      <c r="B529" s="1">
        <f>IFERROR(__xludf.DUMMYFUNCTION("""COMPUTED_VALUE"""),336.6)</f>
        <v>336.6</v>
      </c>
      <c r="C529" s="1">
        <f>IFERROR(__xludf.DUMMYFUNCTION("""COMPUTED_VALUE"""),341.65)</f>
        <v>341.65</v>
      </c>
      <c r="D529" s="1">
        <f>IFERROR(__xludf.DUMMYFUNCTION("""COMPUTED_VALUE"""),335.67)</f>
        <v>335.67</v>
      </c>
      <c r="E529" s="1">
        <f>IFERROR(__xludf.DUMMYFUNCTION("""COMPUTED_VALUE"""),337.2)</f>
        <v>337.2</v>
      </c>
      <c r="F529" s="1">
        <f>IFERROR(__xludf.DUMMYFUNCTION("""COMPUTED_VALUE"""),2.9995262E7)</f>
        <v>29995262</v>
      </c>
    </row>
    <row r="530">
      <c r="A530" s="2">
        <f>IFERROR(__xludf.DUMMYFUNCTION("""COMPUTED_VALUE"""),45120.66666666667)</f>
        <v>45120.66667</v>
      </c>
      <c r="B530" s="1">
        <f>IFERROR(__xludf.DUMMYFUNCTION("""COMPUTED_VALUE"""),339.56)</f>
        <v>339.56</v>
      </c>
      <c r="C530" s="1">
        <f>IFERROR(__xludf.DUMMYFUNCTION("""COMPUTED_VALUE"""),343.74)</f>
        <v>343.74</v>
      </c>
      <c r="D530" s="1">
        <f>IFERROR(__xludf.DUMMYFUNCTION("""COMPUTED_VALUE"""),339.02)</f>
        <v>339.02</v>
      </c>
      <c r="E530" s="1">
        <f>IFERROR(__xludf.DUMMYFUNCTION("""COMPUTED_VALUE"""),342.66)</f>
        <v>342.66</v>
      </c>
      <c r="F530" s="1">
        <f>IFERROR(__xludf.DUMMYFUNCTION("""COMPUTED_VALUE"""),2.0567159E7)</f>
        <v>20567159</v>
      </c>
    </row>
    <row r="531">
      <c r="A531" s="2">
        <f>IFERROR(__xludf.DUMMYFUNCTION("""COMPUTED_VALUE"""),45121.66666666667)</f>
        <v>45121.66667</v>
      </c>
      <c r="B531" s="1">
        <f>IFERROR(__xludf.DUMMYFUNCTION("""COMPUTED_VALUE"""),347.59)</f>
        <v>347.59</v>
      </c>
      <c r="C531" s="1">
        <f>IFERROR(__xludf.DUMMYFUNCTION("""COMPUTED_VALUE"""),351.43)</f>
        <v>351.43</v>
      </c>
      <c r="D531" s="1">
        <f>IFERROR(__xludf.DUMMYFUNCTION("""COMPUTED_VALUE"""),344.31)</f>
        <v>344.31</v>
      </c>
      <c r="E531" s="1">
        <f>IFERROR(__xludf.DUMMYFUNCTION("""COMPUTED_VALUE"""),345.24)</f>
        <v>345.24</v>
      </c>
      <c r="F531" s="1">
        <f>IFERROR(__xludf.DUMMYFUNCTION("""COMPUTED_VALUE"""),2.8352729E7)</f>
        <v>28352729</v>
      </c>
    </row>
    <row r="532">
      <c r="A532" s="2">
        <f>IFERROR(__xludf.DUMMYFUNCTION("""COMPUTED_VALUE"""),45124.66666666667)</f>
        <v>45124.66667</v>
      </c>
      <c r="B532" s="1">
        <f>IFERROR(__xludf.DUMMYFUNCTION("""COMPUTED_VALUE"""),345.68)</f>
        <v>345.68</v>
      </c>
      <c r="C532" s="1">
        <f>IFERROR(__xludf.DUMMYFUNCTION("""COMPUTED_VALUE"""),346.99)</f>
        <v>346.99</v>
      </c>
      <c r="D532" s="1">
        <f>IFERROR(__xludf.DUMMYFUNCTION("""COMPUTED_VALUE"""),342.2)</f>
        <v>342.2</v>
      </c>
      <c r="E532" s="1">
        <f>IFERROR(__xludf.DUMMYFUNCTION("""COMPUTED_VALUE"""),345.73)</f>
        <v>345.73</v>
      </c>
      <c r="F532" s="1">
        <f>IFERROR(__xludf.DUMMYFUNCTION("""COMPUTED_VALUE"""),2.0363927E7)</f>
        <v>20363927</v>
      </c>
    </row>
    <row r="533">
      <c r="A533" s="2">
        <f>IFERROR(__xludf.DUMMYFUNCTION("""COMPUTED_VALUE"""),45125.66666666667)</f>
        <v>45125.66667</v>
      </c>
      <c r="B533" s="1">
        <f>IFERROR(__xludf.DUMMYFUNCTION("""COMPUTED_VALUE"""),345.83)</f>
        <v>345.83</v>
      </c>
      <c r="C533" s="1">
        <f>IFERROR(__xludf.DUMMYFUNCTION("""COMPUTED_VALUE"""),366.78)</f>
        <v>366.78</v>
      </c>
      <c r="D533" s="1">
        <f>IFERROR(__xludf.DUMMYFUNCTION("""COMPUTED_VALUE"""),342.17)</f>
        <v>342.17</v>
      </c>
      <c r="E533" s="1">
        <f>IFERROR(__xludf.DUMMYFUNCTION("""COMPUTED_VALUE"""),359.49)</f>
        <v>359.49</v>
      </c>
      <c r="F533" s="1">
        <f>IFERROR(__xludf.DUMMYFUNCTION("""COMPUTED_VALUE"""),6.4872705E7)</f>
        <v>64872705</v>
      </c>
    </row>
    <row r="534">
      <c r="A534" s="2">
        <f>IFERROR(__xludf.DUMMYFUNCTION("""COMPUTED_VALUE"""),45126.66666666667)</f>
        <v>45126.66667</v>
      </c>
      <c r="B534" s="1">
        <f>IFERROR(__xludf.DUMMYFUNCTION("""COMPUTED_VALUE"""),361.75)</f>
        <v>361.75</v>
      </c>
      <c r="C534" s="1">
        <f>IFERROR(__xludf.DUMMYFUNCTION("""COMPUTED_VALUE"""),362.46)</f>
        <v>362.46</v>
      </c>
      <c r="D534" s="1">
        <f>IFERROR(__xludf.DUMMYFUNCTION("""COMPUTED_VALUE"""),352.44)</f>
        <v>352.44</v>
      </c>
      <c r="E534" s="1">
        <f>IFERROR(__xludf.DUMMYFUNCTION("""COMPUTED_VALUE"""),355.08)</f>
        <v>355.08</v>
      </c>
      <c r="F534" s="1">
        <f>IFERROR(__xludf.DUMMYFUNCTION("""COMPUTED_VALUE"""),3.9732901E7)</f>
        <v>39732901</v>
      </c>
    </row>
    <row r="535">
      <c r="A535" s="2">
        <f>IFERROR(__xludf.DUMMYFUNCTION("""COMPUTED_VALUE"""),45127.66666666667)</f>
        <v>45127.66667</v>
      </c>
      <c r="B535" s="1">
        <f>IFERROR(__xludf.DUMMYFUNCTION("""COMPUTED_VALUE"""),353.57)</f>
        <v>353.57</v>
      </c>
      <c r="C535" s="1">
        <f>IFERROR(__xludf.DUMMYFUNCTION("""COMPUTED_VALUE"""),357.97)</f>
        <v>357.97</v>
      </c>
      <c r="D535" s="1">
        <f>IFERROR(__xludf.DUMMYFUNCTION("""COMPUTED_VALUE"""),345.37)</f>
        <v>345.37</v>
      </c>
      <c r="E535" s="1">
        <f>IFERROR(__xludf.DUMMYFUNCTION("""COMPUTED_VALUE"""),346.87)</f>
        <v>346.87</v>
      </c>
      <c r="F535" s="1">
        <f>IFERROR(__xludf.DUMMYFUNCTION("""COMPUTED_VALUE"""),3.3778395E7)</f>
        <v>33778395</v>
      </c>
    </row>
    <row r="536">
      <c r="A536" s="2">
        <f>IFERROR(__xludf.DUMMYFUNCTION("""COMPUTED_VALUE"""),45128.66666666667)</f>
        <v>45128.66667</v>
      </c>
      <c r="B536" s="1">
        <f>IFERROR(__xludf.DUMMYFUNCTION("""COMPUTED_VALUE"""),349.15)</f>
        <v>349.15</v>
      </c>
      <c r="C536" s="1">
        <f>IFERROR(__xludf.DUMMYFUNCTION("""COMPUTED_VALUE"""),350.3)</f>
        <v>350.3</v>
      </c>
      <c r="D536" s="1">
        <f>IFERROR(__xludf.DUMMYFUNCTION("""COMPUTED_VALUE"""),339.83)</f>
        <v>339.83</v>
      </c>
      <c r="E536" s="1">
        <f>IFERROR(__xludf.DUMMYFUNCTION("""COMPUTED_VALUE"""),343.77)</f>
        <v>343.77</v>
      </c>
      <c r="F536" s="1">
        <f>IFERROR(__xludf.DUMMYFUNCTION("""COMPUTED_VALUE"""),6.9405382E7)</f>
        <v>69405382</v>
      </c>
    </row>
    <row r="537">
      <c r="A537" s="2">
        <f>IFERROR(__xludf.DUMMYFUNCTION("""COMPUTED_VALUE"""),45131.66666666667)</f>
        <v>45131.66667</v>
      </c>
      <c r="B537" s="1">
        <f>IFERROR(__xludf.DUMMYFUNCTION("""COMPUTED_VALUE"""),345.85)</f>
        <v>345.85</v>
      </c>
      <c r="C537" s="1">
        <f>IFERROR(__xludf.DUMMYFUNCTION("""COMPUTED_VALUE"""),346.92)</f>
        <v>346.92</v>
      </c>
      <c r="D537" s="1">
        <f>IFERROR(__xludf.DUMMYFUNCTION("""COMPUTED_VALUE"""),342.31)</f>
        <v>342.31</v>
      </c>
      <c r="E537" s="1">
        <f>IFERROR(__xludf.DUMMYFUNCTION("""COMPUTED_VALUE"""),345.11)</f>
        <v>345.11</v>
      </c>
      <c r="F537" s="1">
        <f>IFERROR(__xludf.DUMMYFUNCTION("""COMPUTED_VALUE"""),2.6719207E7)</f>
        <v>26719207</v>
      </c>
    </row>
    <row r="538">
      <c r="A538" s="2">
        <f>IFERROR(__xludf.DUMMYFUNCTION("""COMPUTED_VALUE"""),45132.66666666667)</f>
        <v>45132.66667</v>
      </c>
      <c r="B538" s="1">
        <f>IFERROR(__xludf.DUMMYFUNCTION("""COMPUTED_VALUE"""),347.11)</f>
        <v>347.11</v>
      </c>
      <c r="C538" s="1">
        <f>IFERROR(__xludf.DUMMYFUNCTION("""COMPUTED_VALUE"""),351.89)</f>
        <v>351.89</v>
      </c>
      <c r="D538" s="1">
        <f>IFERROR(__xludf.DUMMYFUNCTION("""COMPUTED_VALUE"""),345.07)</f>
        <v>345.07</v>
      </c>
      <c r="E538" s="1">
        <f>IFERROR(__xludf.DUMMYFUNCTION("""COMPUTED_VALUE"""),350.98)</f>
        <v>350.98</v>
      </c>
      <c r="F538" s="1">
        <f>IFERROR(__xludf.DUMMYFUNCTION("""COMPUTED_VALUE"""),4.1637739E7)</f>
        <v>41637739</v>
      </c>
    </row>
    <row r="539">
      <c r="A539" s="2">
        <f>IFERROR(__xludf.DUMMYFUNCTION("""COMPUTED_VALUE"""),45133.66666666667)</f>
        <v>45133.66667</v>
      </c>
      <c r="B539" s="1">
        <f>IFERROR(__xludf.DUMMYFUNCTION("""COMPUTED_VALUE"""),341.44)</f>
        <v>341.44</v>
      </c>
      <c r="C539" s="1">
        <f>IFERROR(__xludf.DUMMYFUNCTION("""COMPUTED_VALUE"""),344.67)</f>
        <v>344.67</v>
      </c>
      <c r="D539" s="1">
        <f>IFERROR(__xludf.DUMMYFUNCTION("""COMPUTED_VALUE"""),333.11)</f>
        <v>333.11</v>
      </c>
      <c r="E539" s="1">
        <f>IFERROR(__xludf.DUMMYFUNCTION("""COMPUTED_VALUE"""),337.77)</f>
        <v>337.77</v>
      </c>
      <c r="F539" s="1">
        <f>IFERROR(__xludf.DUMMYFUNCTION("""COMPUTED_VALUE"""),5.8383702E7)</f>
        <v>58383702</v>
      </c>
    </row>
    <row r="540">
      <c r="A540" s="2">
        <f>IFERROR(__xludf.DUMMYFUNCTION("""COMPUTED_VALUE"""),45134.66666666667)</f>
        <v>45134.66667</v>
      </c>
      <c r="B540" s="1">
        <f>IFERROR(__xludf.DUMMYFUNCTION("""COMPUTED_VALUE"""),340.48)</f>
        <v>340.48</v>
      </c>
      <c r="C540" s="1">
        <f>IFERROR(__xludf.DUMMYFUNCTION("""COMPUTED_VALUE"""),341.33)</f>
        <v>341.33</v>
      </c>
      <c r="D540" s="1">
        <f>IFERROR(__xludf.DUMMYFUNCTION("""COMPUTED_VALUE"""),329.05)</f>
        <v>329.05</v>
      </c>
      <c r="E540" s="1">
        <f>IFERROR(__xludf.DUMMYFUNCTION("""COMPUTED_VALUE"""),330.72)</f>
        <v>330.72</v>
      </c>
      <c r="F540" s="1">
        <f>IFERROR(__xludf.DUMMYFUNCTION("""COMPUTED_VALUE"""),3.9635262E7)</f>
        <v>39635262</v>
      </c>
    </row>
    <row r="541">
      <c r="A541" s="2">
        <f>IFERROR(__xludf.DUMMYFUNCTION("""COMPUTED_VALUE"""),45135.66666666667)</f>
        <v>45135.66667</v>
      </c>
      <c r="B541" s="1">
        <f>IFERROR(__xludf.DUMMYFUNCTION("""COMPUTED_VALUE"""),333.67)</f>
        <v>333.67</v>
      </c>
      <c r="C541" s="1">
        <f>IFERROR(__xludf.DUMMYFUNCTION("""COMPUTED_VALUE"""),340.01)</f>
        <v>340.01</v>
      </c>
      <c r="D541" s="1">
        <f>IFERROR(__xludf.DUMMYFUNCTION("""COMPUTED_VALUE"""),333.17)</f>
        <v>333.17</v>
      </c>
      <c r="E541" s="1">
        <f>IFERROR(__xludf.DUMMYFUNCTION("""COMPUTED_VALUE"""),338.37)</f>
        <v>338.37</v>
      </c>
      <c r="F541" s="1">
        <f>IFERROR(__xludf.DUMMYFUNCTION("""COMPUTED_VALUE"""),2.8484868E7)</f>
        <v>28484868</v>
      </c>
    </row>
    <row r="542">
      <c r="A542" s="2">
        <f>IFERROR(__xludf.DUMMYFUNCTION("""COMPUTED_VALUE"""),45138.66666666667)</f>
        <v>45138.66667</v>
      </c>
      <c r="B542" s="1">
        <f>IFERROR(__xludf.DUMMYFUNCTION("""COMPUTED_VALUE"""),336.92)</f>
        <v>336.92</v>
      </c>
      <c r="C542" s="1">
        <f>IFERROR(__xludf.DUMMYFUNCTION("""COMPUTED_VALUE"""),337.7)</f>
        <v>337.7</v>
      </c>
      <c r="D542" s="1">
        <f>IFERROR(__xludf.DUMMYFUNCTION("""COMPUTED_VALUE"""),333.36)</f>
        <v>333.36</v>
      </c>
      <c r="E542" s="1">
        <f>IFERROR(__xludf.DUMMYFUNCTION("""COMPUTED_VALUE"""),335.92)</f>
        <v>335.92</v>
      </c>
      <c r="F542" s="1">
        <f>IFERROR(__xludf.DUMMYFUNCTION("""COMPUTED_VALUE"""),2.5446022E7)</f>
        <v>25446022</v>
      </c>
    </row>
    <row r="543">
      <c r="A543" s="2">
        <f>IFERROR(__xludf.DUMMYFUNCTION("""COMPUTED_VALUE"""),45139.66666666667)</f>
        <v>45139.66667</v>
      </c>
      <c r="B543" s="1">
        <f>IFERROR(__xludf.DUMMYFUNCTION("""COMPUTED_VALUE"""),335.19)</f>
        <v>335.19</v>
      </c>
      <c r="C543" s="1">
        <f>IFERROR(__xludf.DUMMYFUNCTION("""COMPUTED_VALUE"""),338.54)</f>
        <v>338.54</v>
      </c>
      <c r="D543" s="1">
        <f>IFERROR(__xludf.DUMMYFUNCTION("""COMPUTED_VALUE"""),333.7)</f>
        <v>333.7</v>
      </c>
      <c r="E543" s="1">
        <f>IFERROR(__xludf.DUMMYFUNCTION("""COMPUTED_VALUE"""),336.34)</f>
        <v>336.34</v>
      </c>
      <c r="F543" s="1">
        <f>IFERROR(__xludf.DUMMYFUNCTION("""COMPUTED_VALUE"""),1.8381253E7)</f>
        <v>18381253</v>
      </c>
    </row>
    <row r="544">
      <c r="A544" s="2">
        <f>IFERROR(__xludf.DUMMYFUNCTION("""COMPUTED_VALUE"""),45140.66666666667)</f>
        <v>45140.66667</v>
      </c>
      <c r="B544" s="1">
        <f>IFERROR(__xludf.DUMMYFUNCTION("""COMPUTED_VALUE"""),333.63)</f>
        <v>333.63</v>
      </c>
      <c r="C544" s="1">
        <f>IFERROR(__xludf.DUMMYFUNCTION("""COMPUTED_VALUE"""),333.63)</f>
        <v>333.63</v>
      </c>
      <c r="D544" s="1">
        <f>IFERROR(__xludf.DUMMYFUNCTION("""COMPUTED_VALUE"""),326.36)</f>
        <v>326.36</v>
      </c>
      <c r="E544" s="1">
        <f>IFERROR(__xludf.DUMMYFUNCTION("""COMPUTED_VALUE"""),327.5)</f>
        <v>327.5</v>
      </c>
      <c r="F544" s="1">
        <f>IFERROR(__xludf.DUMMYFUNCTION("""COMPUTED_VALUE"""),2.7761257E7)</f>
        <v>27761257</v>
      </c>
    </row>
    <row r="545">
      <c r="A545" s="2">
        <f>IFERROR(__xludf.DUMMYFUNCTION("""COMPUTED_VALUE"""),45141.66666666667)</f>
        <v>45141.66667</v>
      </c>
      <c r="B545" s="1">
        <f>IFERROR(__xludf.DUMMYFUNCTION("""COMPUTED_VALUE"""),326.0)</f>
        <v>326</v>
      </c>
      <c r="C545" s="1">
        <f>IFERROR(__xludf.DUMMYFUNCTION("""COMPUTED_VALUE"""),329.88)</f>
        <v>329.88</v>
      </c>
      <c r="D545" s="1">
        <f>IFERROR(__xludf.DUMMYFUNCTION("""COMPUTED_VALUE"""),325.95)</f>
        <v>325.95</v>
      </c>
      <c r="E545" s="1">
        <f>IFERROR(__xludf.DUMMYFUNCTION("""COMPUTED_VALUE"""),326.66)</f>
        <v>326.66</v>
      </c>
      <c r="F545" s="1">
        <f>IFERROR(__xludf.DUMMYFUNCTION("""COMPUTED_VALUE"""),1.8360352E7)</f>
        <v>18360352</v>
      </c>
    </row>
    <row r="546">
      <c r="A546" s="2">
        <f>IFERROR(__xludf.DUMMYFUNCTION("""COMPUTED_VALUE"""),45142.66666666667)</f>
        <v>45142.66667</v>
      </c>
      <c r="B546" s="1">
        <f>IFERROR(__xludf.DUMMYFUNCTION("""COMPUTED_VALUE"""),331.88)</f>
        <v>331.88</v>
      </c>
      <c r="C546" s="1">
        <f>IFERROR(__xludf.DUMMYFUNCTION("""COMPUTED_VALUE"""),335.14)</f>
        <v>335.14</v>
      </c>
      <c r="D546" s="1">
        <f>IFERROR(__xludf.DUMMYFUNCTION("""COMPUTED_VALUE"""),327.24)</f>
        <v>327.24</v>
      </c>
      <c r="E546" s="1">
        <f>IFERROR(__xludf.DUMMYFUNCTION("""COMPUTED_VALUE"""),327.78)</f>
        <v>327.78</v>
      </c>
      <c r="F546" s="1">
        <f>IFERROR(__xludf.DUMMYFUNCTION("""COMPUTED_VALUE"""),2.3741484E7)</f>
        <v>23741484</v>
      </c>
    </row>
    <row r="547">
      <c r="A547" s="2">
        <f>IFERROR(__xludf.DUMMYFUNCTION("""COMPUTED_VALUE"""),45145.66666666667)</f>
        <v>45145.66667</v>
      </c>
      <c r="B547" s="1">
        <f>IFERROR(__xludf.DUMMYFUNCTION("""COMPUTED_VALUE"""),328.37)</f>
        <v>328.37</v>
      </c>
      <c r="C547" s="1">
        <f>IFERROR(__xludf.DUMMYFUNCTION("""COMPUTED_VALUE"""),331.11)</f>
        <v>331.11</v>
      </c>
      <c r="D547" s="1">
        <f>IFERROR(__xludf.DUMMYFUNCTION("""COMPUTED_VALUE"""),327.52)</f>
        <v>327.52</v>
      </c>
      <c r="E547" s="1">
        <f>IFERROR(__xludf.DUMMYFUNCTION("""COMPUTED_VALUE"""),330.11)</f>
        <v>330.11</v>
      </c>
      <c r="F547" s="1">
        <f>IFERROR(__xludf.DUMMYFUNCTION("""COMPUTED_VALUE"""),1.7741526E7)</f>
        <v>17741526</v>
      </c>
    </row>
    <row r="548">
      <c r="A548" s="2">
        <f>IFERROR(__xludf.DUMMYFUNCTION("""COMPUTED_VALUE"""),45146.66666666667)</f>
        <v>45146.66667</v>
      </c>
      <c r="B548" s="1">
        <f>IFERROR(__xludf.DUMMYFUNCTION("""COMPUTED_VALUE"""),326.96)</f>
        <v>326.96</v>
      </c>
      <c r="C548" s="1">
        <f>IFERROR(__xludf.DUMMYFUNCTION("""COMPUTED_VALUE"""),328.75)</f>
        <v>328.75</v>
      </c>
      <c r="D548" s="1">
        <f>IFERROR(__xludf.DUMMYFUNCTION("""COMPUTED_VALUE"""),323.0)</f>
        <v>323</v>
      </c>
      <c r="E548" s="1">
        <f>IFERROR(__xludf.DUMMYFUNCTION("""COMPUTED_VALUE"""),326.05)</f>
        <v>326.05</v>
      </c>
      <c r="F548" s="1">
        <f>IFERROR(__xludf.DUMMYFUNCTION("""COMPUTED_VALUE"""),2.2327574E7)</f>
        <v>22327574</v>
      </c>
    </row>
    <row r="549">
      <c r="A549" s="2">
        <f>IFERROR(__xludf.DUMMYFUNCTION("""COMPUTED_VALUE"""),45147.66666666667)</f>
        <v>45147.66667</v>
      </c>
      <c r="B549" s="1">
        <f>IFERROR(__xludf.DUMMYFUNCTION("""COMPUTED_VALUE"""),326.47)</f>
        <v>326.47</v>
      </c>
      <c r="C549" s="1">
        <f>IFERROR(__xludf.DUMMYFUNCTION("""COMPUTED_VALUE"""),327.11)</f>
        <v>327.11</v>
      </c>
      <c r="D549" s="1">
        <f>IFERROR(__xludf.DUMMYFUNCTION("""COMPUTED_VALUE"""),321.05)</f>
        <v>321.05</v>
      </c>
      <c r="E549" s="1">
        <f>IFERROR(__xludf.DUMMYFUNCTION("""COMPUTED_VALUE"""),322.23)</f>
        <v>322.23</v>
      </c>
      <c r="F549" s="1">
        <f>IFERROR(__xludf.DUMMYFUNCTION("""COMPUTED_VALUE"""),2.2373268E7)</f>
        <v>22373268</v>
      </c>
    </row>
    <row r="550">
      <c r="A550" s="2">
        <f>IFERROR(__xludf.DUMMYFUNCTION("""COMPUTED_VALUE"""),45148.66666666667)</f>
        <v>45148.66667</v>
      </c>
      <c r="B550" s="1">
        <f>IFERROR(__xludf.DUMMYFUNCTION("""COMPUTED_VALUE"""),326.02)</f>
        <v>326.02</v>
      </c>
      <c r="C550" s="1">
        <f>IFERROR(__xludf.DUMMYFUNCTION("""COMPUTED_VALUE"""),328.26)</f>
        <v>328.26</v>
      </c>
      <c r="D550" s="1">
        <f>IFERROR(__xludf.DUMMYFUNCTION("""COMPUTED_VALUE"""),321.18)</f>
        <v>321.18</v>
      </c>
      <c r="E550" s="1">
        <f>IFERROR(__xludf.DUMMYFUNCTION("""COMPUTED_VALUE"""),322.93)</f>
        <v>322.93</v>
      </c>
      <c r="F550" s="1">
        <f>IFERROR(__xludf.DUMMYFUNCTION("""COMPUTED_VALUE"""),2.0113725E7)</f>
        <v>20113725</v>
      </c>
    </row>
    <row r="551">
      <c r="A551" s="2">
        <f>IFERROR(__xludf.DUMMYFUNCTION("""COMPUTED_VALUE"""),45149.66666666667)</f>
        <v>45149.66667</v>
      </c>
      <c r="B551" s="1">
        <f>IFERROR(__xludf.DUMMYFUNCTION("""COMPUTED_VALUE"""),320.26)</f>
        <v>320.26</v>
      </c>
      <c r="C551" s="1">
        <f>IFERROR(__xludf.DUMMYFUNCTION("""COMPUTED_VALUE"""),322.41)</f>
        <v>322.41</v>
      </c>
      <c r="D551" s="1">
        <f>IFERROR(__xludf.DUMMYFUNCTION("""COMPUTED_VALUE"""),319.21)</f>
        <v>319.21</v>
      </c>
      <c r="E551" s="1">
        <f>IFERROR(__xludf.DUMMYFUNCTION("""COMPUTED_VALUE"""),321.01)</f>
        <v>321.01</v>
      </c>
      <c r="F551" s="1">
        <f>IFERROR(__xludf.DUMMYFUNCTION("""COMPUTED_VALUE"""),2.4355491E7)</f>
        <v>24355491</v>
      </c>
    </row>
    <row r="552">
      <c r="A552" s="2">
        <f>IFERROR(__xludf.DUMMYFUNCTION("""COMPUTED_VALUE"""),45152.66666666667)</f>
        <v>45152.66667</v>
      </c>
      <c r="B552" s="1">
        <f>IFERROR(__xludf.DUMMYFUNCTION("""COMPUTED_VALUE"""),321.39)</f>
        <v>321.39</v>
      </c>
      <c r="C552" s="1">
        <f>IFERROR(__xludf.DUMMYFUNCTION("""COMPUTED_VALUE"""),324.06)</f>
        <v>324.06</v>
      </c>
      <c r="D552" s="1">
        <f>IFERROR(__xludf.DUMMYFUNCTION("""COMPUTED_VALUE"""),320.08)</f>
        <v>320.08</v>
      </c>
      <c r="E552" s="1">
        <f>IFERROR(__xludf.DUMMYFUNCTION("""COMPUTED_VALUE"""),324.04)</f>
        <v>324.04</v>
      </c>
      <c r="F552" s="1">
        <f>IFERROR(__xludf.DUMMYFUNCTION("""COMPUTED_VALUE"""),1.8836139E7)</f>
        <v>18836139</v>
      </c>
    </row>
    <row r="553">
      <c r="A553" s="2">
        <f>IFERROR(__xludf.DUMMYFUNCTION("""COMPUTED_VALUE"""),45153.66666666667)</f>
        <v>45153.66667</v>
      </c>
      <c r="B553" s="1">
        <f>IFERROR(__xludf.DUMMYFUNCTION("""COMPUTED_VALUE"""),323.0)</f>
        <v>323</v>
      </c>
      <c r="C553" s="1">
        <f>IFERROR(__xludf.DUMMYFUNCTION("""COMPUTED_VALUE"""),325.09)</f>
        <v>325.09</v>
      </c>
      <c r="D553" s="1">
        <f>IFERROR(__xludf.DUMMYFUNCTION("""COMPUTED_VALUE"""),320.9)</f>
        <v>320.9</v>
      </c>
      <c r="E553" s="1">
        <f>IFERROR(__xludf.DUMMYFUNCTION("""COMPUTED_VALUE"""),321.86)</f>
        <v>321.86</v>
      </c>
      <c r="F553" s="1">
        <f>IFERROR(__xludf.DUMMYFUNCTION("""COMPUTED_VALUE"""),1.6966285E7)</f>
        <v>16966285</v>
      </c>
    </row>
    <row r="554">
      <c r="A554" s="2">
        <f>IFERROR(__xludf.DUMMYFUNCTION("""COMPUTED_VALUE"""),45154.66666666667)</f>
        <v>45154.66667</v>
      </c>
      <c r="B554" s="1">
        <f>IFERROR(__xludf.DUMMYFUNCTION("""COMPUTED_VALUE"""),320.8)</f>
        <v>320.8</v>
      </c>
      <c r="C554" s="1">
        <f>IFERROR(__xludf.DUMMYFUNCTION("""COMPUTED_VALUE"""),324.42)</f>
        <v>324.42</v>
      </c>
      <c r="D554" s="1">
        <f>IFERROR(__xludf.DUMMYFUNCTION("""COMPUTED_VALUE"""),319.8)</f>
        <v>319.8</v>
      </c>
      <c r="E554" s="1">
        <f>IFERROR(__xludf.DUMMYFUNCTION("""COMPUTED_VALUE"""),320.4)</f>
        <v>320.4</v>
      </c>
      <c r="F554" s="1">
        <f>IFERROR(__xludf.DUMMYFUNCTION("""COMPUTED_VALUE"""),2.0698864E7)</f>
        <v>20698864</v>
      </c>
    </row>
    <row r="555">
      <c r="A555" s="2">
        <f>IFERROR(__xludf.DUMMYFUNCTION("""COMPUTED_VALUE"""),45155.66666666667)</f>
        <v>45155.66667</v>
      </c>
      <c r="B555" s="1">
        <f>IFERROR(__xludf.DUMMYFUNCTION("""COMPUTED_VALUE"""),320.54)</f>
        <v>320.54</v>
      </c>
      <c r="C555" s="1">
        <f>IFERROR(__xludf.DUMMYFUNCTION("""COMPUTED_VALUE"""),321.87)</f>
        <v>321.87</v>
      </c>
      <c r="D555" s="1">
        <f>IFERROR(__xludf.DUMMYFUNCTION("""COMPUTED_VALUE"""),316.21)</f>
        <v>316.21</v>
      </c>
      <c r="E555" s="1">
        <f>IFERROR(__xludf.DUMMYFUNCTION("""COMPUTED_VALUE"""),316.88)</f>
        <v>316.88</v>
      </c>
      <c r="F555" s="1">
        <f>IFERROR(__xludf.DUMMYFUNCTION("""COMPUTED_VALUE"""),2.1257161E7)</f>
        <v>21257161</v>
      </c>
    </row>
    <row r="556">
      <c r="A556" s="2">
        <f>IFERROR(__xludf.DUMMYFUNCTION("""COMPUTED_VALUE"""),45156.66666666667)</f>
        <v>45156.66667</v>
      </c>
      <c r="B556" s="1">
        <f>IFERROR(__xludf.DUMMYFUNCTION("""COMPUTED_VALUE"""),314.49)</f>
        <v>314.49</v>
      </c>
      <c r="C556" s="1">
        <f>IFERROR(__xludf.DUMMYFUNCTION("""COMPUTED_VALUE"""),318.38)</f>
        <v>318.38</v>
      </c>
      <c r="D556" s="1">
        <f>IFERROR(__xludf.DUMMYFUNCTION("""COMPUTED_VALUE"""),311.55)</f>
        <v>311.55</v>
      </c>
      <c r="E556" s="1">
        <f>IFERROR(__xludf.DUMMYFUNCTION("""COMPUTED_VALUE"""),316.48)</f>
        <v>316.48</v>
      </c>
      <c r="F556" s="1">
        <f>IFERROR(__xludf.DUMMYFUNCTION("""COMPUTED_VALUE"""),2.4755012E7)</f>
        <v>24755012</v>
      </c>
    </row>
    <row r="557">
      <c r="A557" s="2">
        <f>IFERROR(__xludf.DUMMYFUNCTION("""COMPUTED_VALUE"""),45159.66666666667)</f>
        <v>45159.66667</v>
      </c>
      <c r="B557" s="1">
        <f>IFERROR(__xludf.DUMMYFUNCTION("""COMPUTED_VALUE"""),317.93)</f>
        <v>317.93</v>
      </c>
      <c r="C557" s="1">
        <f>IFERROR(__xludf.DUMMYFUNCTION("""COMPUTED_VALUE"""),322.77)</f>
        <v>322.77</v>
      </c>
      <c r="D557" s="1">
        <f>IFERROR(__xludf.DUMMYFUNCTION("""COMPUTED_VALUE"""),317.04)</f>
        <v>317.04</v>
      </c>
      <c r="E557" s="1">
        <f>IFERROR(__xludf.DUMMYFUNCTION("""COMPUTED_VALUE"""),321.88)</f>
        <v>321.88</v>
      </c>
      <c r="F557" s="1">
        <f>IFERROR(__xludf.DUMMYFUNCTION("""COMPUTED_VALUE"""),2.4039956E7)</f>
        <v>24039956</v>
      </c>
    </row>
    <row r="558">
      <c r="A558" s="2">
        <f>IFERROR(__xludf.DUMMYFUNCTION("""COMPUTED_VALUE"""),45160.66666666667)</f>
        <v>45160.66667</v>
      </c>
      <c r="B558" s="1">
        <f>IFERROR(__xludf.DUMMYFUNCTION("""COMPUTED_VALUE"""),325.5)</f>
        <v>325.5</v>
      </c>
      <c r="C558" s="1">
        <f>IFERROR(__xludf.DUMMYFUNCTION("""COMPUTED_VALUE"""),326.08)</f>
        <v>326.08</v>
      </c>
      <c r="D558" s="1">
        <f>IFERROR(__xludf.DUMMYFUNCTION("""COMPUTED_VALUE"""),321.46)</f>
        <v>321.46</v>
      </c>
      <c r="E558" s="1">
        <f>IFERROR(__xludf.DUMMYFUNCTION("""COMPUTED_VALUE"""),322.46)</f>
        <v>322.46</v>
      </c>
      <c r="F558" s="1">
        <f>IFERROR(__xludf.DUMMYFUNCTION("""COMPUTED_VALUE"""),1.6102024E7)</f>
        <v>16102024</v>
      </c>
    </row>
    <row r="559">
      <c r="A559" s="2">
        <f>IFERROR(__xludf.DUMMYFUNCTION("""COMPUTED_VALUE"""),45161.66666666667)</f>
        <v>45161.66667</v>
      </c>
      <c r="B559" s="1">
        <f>IFERROR(__xludf.DUMMYFUNCTION("""COMPUTED_VALUE"""),323.82)</f>
        <v>323.82</v>
      </c>
      <c r="C559" s="1">
        <f>IFERROR(__xludf.DUMMYFUNCTION("""COMPUTED_VALUE"""),329.2)</f>
        <v>329.2</v>
      </c>
      <c r="D559" s="1">
        <f>IFERROR(__xludf.DUMMYFUNCTION("""COMPUTED_VALUE"""),323.46)</f>
        <v>323.46</v>
      </c>
      <c r="E559" s="1">
        <f>IFERROR(__xludf.DUMMYFUNCTION("""COMPUTED_VALUE"""),327.0)</f>
        <v>327</v>
      </c>
      <c r="F559" s="1">
        <f>IFERROR(__xludf.DUMMYFUNCTION("""COMPUTED_VALUE"""),2.1166382E7)</f>
        <v>21166382</v>
      </c>
    </row>
    <row r="560">
      <c r="A560" s="2">
        <f>IFERROR(__xludf.DUMMYFUNCTION("""COMPUTED_VALUE"""),45162.66666666667)</f>
        <v>45162.66667</v>
      </c>
      <c r="B560" s="1">
        <f>IFERROR(__xludf.DUMMYFUNCTION("""COMPUTED_VALUE"""),332.85)</f>
        <v>332.85</v>
      </c>
      <c r="C560" s="1">
        <f>IFERROR(__xludf.DUMMYFUNCTION("""COMPUTED_VALUE"""),332.98)</f>
        <v>332.98</v>
      </c>
      <c r="D560" s="1">
        <f>IFERROR(__xludf.DUMMYFUNCTION("""COMPUTED_VALUE"""),319.96)</f>
        <v>319.96</v>
      </c>
      <c r="E560" s="1">
        <f>IFERROR(__xludf.DUMMYFUNCTION("""COMPUTED_VALUE"""),319.97)</f>
        <v>319.97</v>
      </c>
      <c r="F560" s="1">
        <f>IFERROR(__xludf.DUMMYFUNCTION("""COMPUTED_VALUE"""),2.3281434E7)</f>
        <v>23281434</v>
      </c>
    </row>
    <row r="561">
      <c r="A561" s="2">
        <f>IFERROR(__xludf.DUMMYFUNCTION("""COMPUTED_VALUE"""),45163.66666666667)</f>
        <v>45163.66667</v>
      </c>
      <c r="B561" s="1">
        <f>IFERROR(__xludf.DUMMYFUNCTION("""COMPUTED_VALUE"""),321.47)</f>
        <v>321.47</v>
      </c>
      <c r="C561" s="1">
        <f>IFERROR(__xludf.DUMMYFUNCTION("""COMPUTED_VALUE"""),325.36)</f>
        <v>325.36</v>
      </c>
      <c r="D561" s="1">
        <f>IFERROR(__xludf.DUMMYFUNCTION("""COMPUTED_VALUE"""),318.8)</f>
        <v>318.8</v>
      </c>
      <c r="E561" s="1">
        <f>IFERROR(__xludf.DUMMYFUNCTION("""COMPUTED_VALUE"""),322.98)</f>
        <v>322.98</v>
      </c>
      <c r="F561" s="1">
        <f>IFERROR(__xludf.DUMMYFUNCTION("""COMPUTED_VALUE"""),2.1684104E7)</f>
        <v>21684104</v>
      </c>
    </row>
    <row r="562">
      <c r="A562" s="2">
        <f>IFERROR(__xludf.DUMMYFUNCTION("""COMPUTED_VALUE"""),45166.66666666667)</f>
        <v>45166.66667</v>
      </c>
      <c r="B562" s="1">
        <f>IFERROR(__xludf.DUMMYFUNCTION("""COMPUTED_VALUE"""),325.66)</f>
        <v>325.66</v>
      </c>
      <c r="C562" s="1">
        <f>IFERROR(__xludf.DUMMYFUNCTION("""COMPUTED_VALUE"""),326.15)</f>
        <v>326.15</v>
      </c>
      <c r="D562" s="1">
        <f>IFERROR(__xludf.DUMMYFUNCTION("""COMPUTED_VALUE"""),321.72)</f>
        <v>321.72</v>
      </c>
      <c r="E562" s="1">
        <f>IFERROR(__xludf.DUMMYFUNCTION("""COMPUTED_VALUE"""),323.7)</f>
        <v>323.7</v>
      </c>
      <c r="F562" s="1">
        <f>IFERROR(__xludf.DUMMYFUNCTION("""COMPUTED_VALUE"""),1.4808482E7)</f>
        <v>14808482</v>
      </c>
    </row>
    <row r="563">
      <c r="A563" s="2">
        <f>IFERROR(__xludf.DUMMYFUNCTION("""COMPUTED_VALUE"""),45167.66666666667)</f>
        <v>45167.66667</v>
      </c>
      <c r="B563" s="1">
        <f>IFERROR(__xludf.DUMMYFUNCTION("""COMPUTED_VALUE"""),321.88)</f>
        <v>321.88</v>
      </c>
      <c r="C563" s="1">
        <f>IFERROR(__xludf.DUMMYFUNCTION("""COMPUTED_VALUE"""),328.98)</f>
        <v>328.98</v>
      </c>
      <c r="D563" s="1">
        <f>IFERROR(__xludf.DUMMYFUNCTION("""COMPUTED_VALUE"""),321.88)</f>
        <v>321.88</v>
      </c>
      <c r="E563" s="1">
        <f>IFERROR(__xludf.DUMMYFUNCTION("""COMPUTED_VALUE"""),328.41)</f>
        <v>328.41</v>
      </c>
      <c r="F563" s="1">
        <f>IFERROR(__xludf.DUMMYFUNCTION("""COMPUTED_VALUE"""),1.928459E7)</f>
        <v>19284590</v>
      </c>
    </row>
    <row r="564">
      <c r="A564" s="2">
        <f>IFERROR(__xludf.DUMMYFUNCTION("""COMPUTED_VALUE"""),45168.66666666667)</f>
        <v>45168.66667</v>
      </c>
      <c r="B564" s="1">
        <f>IFERROR(__xludf.DUMMYFUNCTION("""COMPUTED_VALUE"""),328.67)</f>
        <v>328.67</v>
      </c>
      <c r="C564" s="1">
        <f>IFERROR(__xludf.DUMMYFUNCTION("""COMPUTED_VALUE"""),329.81)</f>
        <v>329.81</v>
      </c>
      <c r="D564" s="1">
        <f>IFERROR(__xludf.DUMMYFUNCTION("""COMPUTED_VALUE"""),326.45)</f>
        <v>326.45</v>
      </c>
      <c r="E564" s="1">
        <f>IFERROR(__xludf.DUMMYFUNCTION("""COMPUTED_VALUE"""),328.79)</f>
        <v>328.79</v>
      </c>
      <c r="F564" s="1">
        <f>IFERROR(__xludf.DUMMYFUNCTION("""COMPUTED_VALUE"""),1.522211E7)</f>
        <v>15222110</v>
      </c>
    </row>
    <row r="565">
      <c r="A565" s="2">
        <f>IFERROR(__xludf.DUMMYFUNCTION("""COMPUTED_VALUE"""),45169.66666666667)</f>
        <v>45169.66667</v>
      </c>
      <c r="B565" s="1">
        <f>IFERROR(__xludf.DUMMYFUNCTION("""COMPUTED_VALUE"""),329.2)</f>
        <v>329.2</v>
      </c>
      <c r="C565" s="1">
        <f>IFERROR(__xludf.DUMMYFUNCTION("""COMPUTED_VALUE"""),330.91)</f>
        <v>330.91</v>
      </c>
      <c r="D565" s="1">
        <f>IFERROR(__xludf.DUMMYFUNCTION("""COMPUTED_VALUE"""),326.78)</f>
        <v>326.78</v>
      </c>
      <c r="E565" s="1">
        <f>IFERROR(__xludf.DUMMYFUNCTION("""COMPUTED_VALUE"""),327.76)</f>
        <v>327.76</v>
      </c>
      <c r="F565" s="1">
        <f>IFERROR(__xludf.DUMMYFUNCTION("""COMPUTED_VALUE"""),2.6410954E7)</f>
        <v>26410954</v>
      </c>
    </row>
    <row r="566">
      <c r="A566" s="2">
        <f>IFERROR(__xludf.DUMMYFUNCTION("""COMPUTED_VALUE"""),45170.66666666667)</f>
        <v>45170.66667</v>
      </c>
      <c r="B566" s="1">
        <f>IFERROR(__xludf.DUMMYFUNCTION("""COMPUTED_VALUE"""),331.31)</f>
        <v>331.31</v>
      </c>
      <c r="C566" s="1">
        <f>IFERROR(__xludf.DUMMYFUNCTION("""COMPUTED_VALUE"""),331.99)</f>
        <v>331.99</v>
      </c>
      <c r="D566" s="1">
        <f>IFERROR(__xludf.DUMMYFUNCTION("""COMPUTED_VALUE"""),326.78)</f>
        <v>326.78</v>
      </c>
      <c r="E566" s="1">
        <f>IFERROR(__xludf.DUMMYFUNCTION("""COMPUTED_VALUE"""),328.66)</f>
        <v>328.66</v>
      </c>
      <c r="F566" s="1">
        <f>IFERROR(__xludf.DUMMYFUNCTION("""COMPUTED_VALUE"""),1.4942024E7)</f>
        <v>14942024</v>
      </c>
    </row>
    <row r="567">
      <c r="A567" s="2">
        <f>IFERROR(__xludf.DUMMYFUNCTION("""COMPUTED_VALUE"""),45174.66666666667)</f>
        <v>45174.66667</v>
      </c>
      <c r="B567" s="1">
        <f>IFERROR(__xludf.DUMMYFUNCTION("""COMPUTED_VALUE"""),329.0)</f>
        <v>329</v>
      </c>
      <c r="C567" s="1">
        <f>IFERROR(__xludf.DUMMYFUNCTION("""COMPUTED_VALUE"""),334.85)</f>
        <v>334.85</v>
      </c>
      <c r="D567" s="1">
        <f>IFERROR(__xludf.DUMMYFUNCTION("""COMPUTED_VALUE"""),328.66)</f>
        <v>328.66</v>
      </c>
      <c r="E567" s="1">
        <f>IFERROR(__xludf.DUMMYFUNCTION("""COMPUTED_VALUE"""),333.55)</f>
        <v>333.55</v>
      </c>
      <c r="F567" s="1">
        <f>IFERROR(__xludf.DUMMYFUNCTION("""COMPUTED_VALUE"""),1.8553859E7)</f>
        <v>18553859</v>
      </c>
    </row>
    <row r="568">
      <c r="A568" s="2">
        <f>IFERROR(__xludf.DUMMYFUNCTION("""COMPUTED_VALUE"""),45175.66666666667)</f>
        <v>45175.66667</v>
      </c>
      <c r="B568" s="1">
        <f>IFERROR(__xludf.DUMMYFUNCTION("""COMPUTED_VALUE"""),333.38)</f>
        <v>333.38</v>
      </c>
      <c r="C568" s="1">
        <f>IFERROR(__xludf.DUMMYFUNCTION("""COMPUTED_VALUE"""),334.46)</f>
        <v>334.46</v>
      </c>
      <c r="D568" s="1">
        <f>IFERROR(__xludf.DUMMYFUNCTION("""COMPUTED_VALUE"""),330.18)</f>
        <v>330.18</v>
      </c>
      <c r="E568" s="1">
        <f>IFERROR(__xludf.DUMMYFUNCTION("""COMPUTED_VALUE"""),332.88)</f>
        <v>332.88</v>
      </c>
      <c r="F568" s="1">
        <f>IFERROR(__xludf.DUMMYFUNCTION("""COMPUTED_VALUE"""),1.7535773E7)</f>
        <v>17535773</v>
      </c>
    </row>
    <row r="569">
      <c r="A569" s="2">
        <f>IFERROR(__xludf.DUMMYFUNCTION("""COMPUTED_VALUE"""),45176.66666666667)</f>
        <v>45176.66667</v>
      </c>
      <c r="B569" s="1">
        <f>IFERROR(__xludf.DUMMYFUNCTION("""COMPUTED_VALUE"""),331.29)</f>
        <v>331.29</v>
      </c>
      <c r="C569" s="1">
        <f>IFERROR(__xludf.DUMMYFUNCTION("""COMPUTED_VALUE"""),333.08)</f>
        <v>333.08</v>
      </c>
      <c r="D569" s="1">
        <f>IFERROR(__xludf.DUMMYFUNCTION("""COMPUTED_VALUE"""),329.03)</f>
        <v>329.03</v>
      </c>
      <c r="E569" s="1">
        <f>IFERROR(__xludf.DUMMYFUNCTION("""COMPUTED_VALUE"""),329.91)</f>
        <v>329.91</v>
      </c>
      <c r="F569" s="1">
        <f>IFERROR(__xludf.DUMMYFUNCTION("""COMPUTED_VALUE"""),1.8380995E7)</f>
        <v>18380995</v>
      </c>
    </row>
    <row r="570">
      <c r="A570" s="2">
        <f>IFERROR(__xludf.DUMMYFUNCTION("""COMPUTED_VALUE"""),45177.66666666667)</f>
        <v>45177.66667</v>
      </c>
      <c r="B570" s="1">
        <f>IFERROR(__xludf.DUMMYFUNCTION("""COMPUTED_VALUE"""),330.09)</f>
        <v>330.09</v>
      </c>
      <c r="C570" s="1">
        <f>IFERROR(__xludf.DUMMYFUNCTION("""COMPUTED_VALUE"""),336.16)</f>
        <v>336.16</v>
      </c>
      <c r="D570" s="1">
        <f>IFERROR(__xludf.DUMMYFUNCTION("""COMPUTED_VALUE"""),329.46)</f>
        <v>329.46</v>
      </c>
      <c r="E570" s="1">
        <f>IFERROR(__xludf.DUMMYFUNCTION("""COMPUTED_VALUE"""),334.27)</f>
        <v>334.27</v>
      </c>
      <c r="F570" s="1">
        <f>IFERROR(__xludf.DUMMYFUNCTION("""COMPUTED_VALUE"""),1.9548165E7)</f>
        <v>19548165</v>
      </c>
    </row>
    <row r="571">
      <c r="A571" s="2">
        <f>IFERROR(__xludf.DUMMYFUNCTION("""COMPUTED_VALUE"""),45180.66666666667)</f>
        <v>45180.66667</v>
      </c>
      <c r="B571" s="1">
        <f>IFERROR(__xludf.DUMMYFUNCTION("""COMPUTED_VALUE"""),337.24)</f>
        <v>337.24</v>
      </c>
      <c r="C571" s="1">
        <f>IFERROR(__xludf.DUMMYFUNCTION("""COMPUTED_VALUE"""),338.42)</f>
        <v>338.42</v>
      </c>
      <c r="D571" s="1">
        <f>IFERROR(__xludf.DUMMYFUNCTION("""COMPUTED_VALUE"""),335.43)</f>
        <v>335.43</v>
      </c>
      <c r="E571" s="1">
        <f>IFERROR(__xludf.DUMMYFUNCTION("""COMPUTED_VALUE"""),337.94)</f>
        <v>337.94</v>
      </c>
      <c r="F571" s="1">
        <f>IFERROR(__xludf.DUMMYFUNCTION("""COMPUTED_VALUE"""),1.6583324E7)</f>
        <v>16583324</v>
      </c>
    </row>
    <row r="572">
      <c r="A572" s="2">
        <f>IFERROR(__xludf.DUMMYFUNCTION("""COMPUTED_VALUE"""),45181.66666666667)</f>
        <v>45181.66667</v>
      </c>
      <c r="B572" s="1">
        <f>IFERROR(__xludf.DUMMYFUNCTION("""COMPUTED_VALUE"""),335.82)</f>
        <v>335.82</v>
      </c>
      <c r="C572" s="1">
        <f>IFERROR(__xludf.DUMMYFUNCTION("""COMPUTED_VALUE"""),336.79)</f>
        <v>336.79</v>
      </c>
      <c r="D572" s="1">
        <f>IFERROR(__xludf.DUMMYFUNCTION("""COMPUTED_VALUE"""),331.48)</f>
        <v>331.48</v>
      </c>
      <c r="E572" s="1">
        <f>IFERROR(__xludf.DUMMYFUNCTION("""COMPUTED_VALUE"""),331.77)</f>
        <v>331.77</v>
      </c>
      <c r="F572" s="1">
        <f>IFERROR(__xludf.DUMMYFUNCTION("""COMPUTED_VALUE"""),1.7565482E7)</f>
        <v>17565482</v>
      </c>
    </row>
    <row r="573">
      <c r="A573" s="2">
        <f>IFERROR(__xludf.DUMMYFUNCTION("""COMPUTED_VALUE"""),45182.66666666667)</f>
        <v>45182.66667</v>
      </c>
      <c r="B573" s="1">
        <f>IFERROR(__xludf.DUMMYFUNCTION("""COMPUTED_VALUE"""),331.31)</f>
        <v>331.31</v>
      </c>
      <c r="C573" s="1">
        <f>IFERROR(__xludf.DUMMYFUNCTION("""COMPUTED_VALUE"""),336.85)</f>
        <v>336.85</v>
      </c>
      <c r="D573" s="1">
        <f>IFERROR(__xludf.DUMMYFUNCTION("""COMPUTED_VALUE"""),331.17)</f>
        <v>331.17</v>
      </c>
      <c r="E573" s="1">
        <f>IFERROR(__xludf.DUMMYFUNCTION("""COMPUTED_VALUE"""),336.06)</f>
        <v>336.06</v>
      </c>
      <c r="F573" s="1">
        <f>IFERROR(__xludf.DUMMYFUNCTION("""COMPUTED_VALUE"""),1.6544412E7)</f>
        <v>16544412</v>
      </c>
    </row>
    <row r="574">
      <c r="A574" s="2">
        <f>IFERROR(__xludf.DUMMYFUNCTION("""COMPUTED_VALUE"""),45183.66666666667)</f>
        <v>45183.66667</v>
      </c>
      <c r="B574" s="1">
        <f>IFERROR(__xludf.DUMMYFUNCTION("""COMPUTED_VALUE"""),339.15)</f>
        <v>339.15</v>
      </c>
      <c r="C574" s="1">
        <f>IFERROR(__xludf.DUMMYFUNCTION("""COMPUTED_VALUE"""),340.86)</f>
        <v>340.86</v>
      </c>
      <c r="D574" s="1">
        <f>IFERROR(__xludf.DUMMYFUNCTION("""COMPUTED_VALUE"""),336.57)</f>
        <v>336.57</v>
      </c>
      <c r="E574" s="1">
        <f>IFERROR(__xludf.DUMMYFUNCTION("""COMPUTED_VALUE"""),338.7)</f>
        <v>338.7</v>
      </c>
      <c r="F574" s="1">
        <f>IFERROR(__xludf.DUMMYFUNCTION("""COMPUTED_VALUE"""),2.0267048E7)</f>
        <v>20267048</v>
      </c>
    </row>
    <row r="575">
      <c r="A575" s="2">
        <f>IFERROR(__xludf.DUMMYFUNCTION("""COMPUTED_VALUE"""),45184.66666666667)</f>
        <v>45184.66667</v>
      </c>
      <c r="B575" s="1">
        <f>IFERROR(__xludf.DUMMYFUNCTION("""COMPUTED_VALUE"""),336.92)</f>
        <v>336.92</v>
      </c>
      <c r="C575" s="1">
        <f>IFERROR(__xludf.DUMMYFUNCTION("""COMPUTED_VALUE"""),337.4)</f>
        <v>337.4</v>
      </c>
      <c r="D575" s="1">
        <f>IFERROR(__xludf.DUMMYFUNCTION("""COMPUTED_VALUE"""),329.65)</f>
        <v>329.65</v>
      </c>
      <c r="E575" s="1">
        <f>IFERROR(__xludf.DUMMYFUNCTION("""COMPUTED_VALUE"""),330.22)</f>
        <v>330.22</v>
      </c>
      <c r="F575" s="1">
        <f>IFERROR(__xludf.DUMMYFUNCTION("""COMPUTED_VALUE"""),3.7679792E7)</f>
        <v>37679792</v>
      </c>
    </row>
    <row r="576">
      <c r="A576" s="2">
        <f>IFERROR(__xludf.DUMMYFUNCTION("""COMPUTED_VALUE"""),45187.66666666667)</f>
        <v>45187.66667</v>
      </c>
      <c r="B576" s="1">
        <f>IFERROR(__xludf.DUMMYFUNCTION("""COMPUTED_VALUE"""),327.8)</f>
        <v>327.8</v>
      </c>
      <c r="C576" s="1">
        <f>IFERROR(__xludf.DUMMYFUNCTION("""COMPUTED_VALUE"""),330.4)</f>
        <v>330.4</v>
      </c>
      <c r="D576" s="1">
        <f>IFERROR(__xludf.DUMMYFUNCTION("""COMPUTED_VALUE"""),326.36)</f>
        <v>326.36</v>
      </c>
      <c r="E576" s="1">
        <f>IFERROR(__xludf.DUMMYFUNCTION("""COMPUTED_VALUE"""),329.06)</f>
        <v>329.06</v>
      </c>
      <c r="F576" s="1">
        <f>IFERROR(__xludf.DUMMYFUNCTION("""COMPUTED_VALUE"""),1.6834208E7)</f>
        <v>16834208</v>
      </c>
    </row>
    <row r="577">
      <c r="A577" s="2">
        <f>IFERROR(__xludf.DUMMYFUNCTION("""COMPUTED_VALUE"""),45188.66666666667)</f>
        <v>45188.66667</v>
      </c>
      <c r="B577" s="1">
        <f>IFERROR(__xludf.DUMMYFUNCTION("""COMPUTED_VALUE"""),326.17)</f>
        <v>326.17</v>
      </c>
      <c r="C577" s="1">
        <f>IFERROR(__xludf.DUMMYFUNCTION("""COMPUTED_VALUE"""),329.39)</f>
        <v>329.39</v>
      </c>
      <c r="D577" s="1">
        <f>IFERROR(__xludf.DUMMYFUNCTION("""COMPUTED_VALUE"""),324.51)</f>
        <v>324.51</v>
      </c>
      <c r="E577" s="1">
        <f>IFERROR(__xludf.DUMMYFUNCTION("""COMPUTED_VALUE"""),328.65)</f>
        <v>328.65</v>
      </c>
      <c r="F577" s="1">
        <f>IFERROR(__xludf.DUMMYFUNCTION("""COMPUTED_VALUE"""),1.6514487E7)</f>
        <v>16514487</v>
      </c>
    </row>
    <row r="578">
      <c r="A578" s="2">
        <f>IFERROR(__xludf.DUMMYFUNCTION("""COMPUTED_VALUE"""),45189.66666666667)</f>
        <v>45189.66667</v>
      </c>
      <c r="B578" s="1">
        <f>IFERROR(__xludf.DUMMYFUNCTION("""COMPUTED_VALUE"""),329.51)</f>
        <v>329.51</v>
      </c>
      <c r="C578" s="1">
        <f>IFERROR(__xludf.DUMMYFUNCTION("""COMPUTED_VALUE"""),329.59)</f>
        <v>329.59</v>
      </c>
      <c r="D578" s="1">
        <f>IFERROR(__xludf.DUMMYFUNCTION("""COMPUTED_VALUE"""),320.51)</f>
        <v>320.51</v>
      </c>
      <c r="E578" s="1">
        <f>IFERROR(__xludf.DUMMYFUNCTION("""COMPUTED_VALUE"""),320.77)</f>
        <v>320.77</v>
      </c>
      <c r="F578" s="1">
        <f>IFERROR(__xludf.DUMMYFUNCTION("""COMPUTED_VALUE"""),2.1436525E7)</f>
        <v>21436525</v>
      </c>
    </row>
    <row r="579">
      <c r="A579" s="2">
        <f>IFERROR(__xludf.DUMMYFUNCTION("""COMPUTED_VALUE"""),45190.66666666667)</f>
        <v>45190.66667</v>
      </c>
      <c r="B579" s="1">
        <f>IFERROR(__xludf.DUMMYFUNCTION("""COMPUTED_VALUE"""),319.26)</f>
        <v>319.26</v>
      </c>
      <c r="C579" s="1">
        <f>IFERROR(__xludf.DUMMYFUNCTION("""COMPUTED_VALUE"""),325.35)</f>
        <v>325.35</v>
      </c>
      <c r="D579" s="1">
        <f>IFERROR(__xludf.DUMMYFUNCTION("""COMPUTED_VALUE"""),315.0)</f>
        <v>315</v>
      </c>
      <c r="E579" s="1">
        <f>IFERROR(__xludf.DUMMYFUNCTION("""COMPUTED_VALUE"""),319.53)</f>
        <v>319.53</v>
      </c>
      <c r="F579" s="1">
        <f>IFERROR(__xludf.DUMMYFUNCTION("""COMPUTED_VALUE"""),3.5560362E7)</f>
        <v>35560362</v>
      </c>
    </row>
    <row r="580">
      <c r="A580" s="2">
        <f>IFERROR(__xludf.DUMMYFUNCTION("""COMPUTED_VALUE"""),45191.66666666667)</f>
        <v>45191.66667</v>
      </c>
      <c r="B580" s="1">
        <f>IFERROR(__xludf.DUMMYFUNCTION("""COMPUTED_VALUE"""),321.32)</f>
        <v>321.32</v>
      </c>
      <c r="C580" s="1">
        <f>IFERROR(__xludf.DUMMYFUNCTION("""COMPUTED_VALUE"""),321.45)</f>
        <v>321.45</v>
      </c>
      <c r="D580" s="1">
        <f>IFERROR(__xludf.DUMMYFUNCTION("""COMPUTED_VALUE"""),316.15)</f>
        <v>316.15</v>
      </c>
      <c r="E580" s="1">
        <f>IFERROR(__xludf.DUMMYFUNCTION("""COMPUTED_VALUE"""),317.01)</f>
        <v>317.01</v>
      </c>
      <c r="F580" s="1">
        <f>IFERROR(__xludf.DUMMYFUNCTION("""COMPUTED_VALUE"""),2.1447887E7)</f>
        <v>21447887</v>
      </c>
    </row>
    <row r="581">
      <c r="A581" s="2">
        <f>IFERROR(__xludf.DUMMYFUNCTION("""COMPUTED_VALUE"""),45194.66666666667)</f>
        <v>45194.66667</v>
      </c>
      <c r="B581" s="1">
        <f>IFERROR(__xludf.DUMMYFUNCTION("""COMPUTED_VALUE"""),316.59)</f>
        <v>316.59</v>
      </c>
      <c r="C581" s="1">
        <f>IFERROR(__xludf.DUMMYFUNCTION("""COMPUTED_VALUE"""),317.67)</f>
        <v>317.67</v>
      </c>
      <c r="D581" s="1">
        <f>IFERROR(__xludf.DUMMYFUNCTION("""COMPUTED_VALUE"""),315.0)</f>
        <v>315</v>
      </c>
      <c r="E581" s="1">
        <f>IFERROR(__xludf.DUMMYFUNCTION("""COMPUTED_VALUE"""),317.54)</f>
        <v>317.54</v>
      </c>
      <c r="F581" s="1">
        <f>IFERROR(__xludf.DUMMYFUNCTION("""COMPUTED_VALUE"""),1.7835964E7)</f>
        <v>17835964</v>
      </c>
    </row>
    <row r="582">
      <c r="A582" s="2">
        <f>IFERROR(__xludf.DUMMYFUNCTION("""COMPUTED_VALUE"""),45195.66666666667)</f>
        <v>45195.66667</v>
      </c>
      <c r="B582" s="1">
        <f>IFERROR(__xludf.DUMMYFUNCTION("""COMPUTED_VALUE"""),315.13)</f>
        <v>315.13</v>
      </c>
      <c r="C582" s="1">
        <f>IFERROR(__xludf.DUMMYFUNCTION("""COMPUTED_VALUE"""),315.88)</f>
        <v>315.88</v>
      </c>
      <c r="D582" s="1">
        <f>IFERROR(__xludf.DUMMYFUNCTION("""COMPUTED_VALUE"""),310.02)</f>
        <v>310.02</v>
      </c>
      <c r="E582" s="1">
        <f>IFERROR(__xludf.DUMMYFUNCTION("""COMPUTED_VALUE"""),312.14)</f>
        <v>312.14</v>
      </c>
      <c r="F582" s="1">
        <f>IFERROR(__xludf.DUMMYFUNCTION("""COMPUTED_VALUE"""),2.6297573E7)</f>
        <v>26297573</v>
      </c>
    </row>
    <row r="583">
      <c r="A583" s="2">
        <f>IFERROR(__xludf.DUMMYFUNCTION("""COMPUTED_VALUE"""),45196.66666666667)</f>
        <v>45196.66667</v>
      </c>
      <c r="B583" s="1">
        <f>IFERROR(__xludf.DUMMYFUNCTION("""COMPUTED_VALUE"""),312.3)</f>
        <v>312.3</v>
      </c>
      <c r="C583" s="1">
        <f>IFERROR(__xludf.DUMMYFUNCTION("""COMPUTED_VALUE"""),314.3)</f>
        <v>314.3</v>
      </c>
      <c r="D583" s="1">
        <f>IFERROR(__xludf.DUMMYFUNCTION("""COMPUTED_VALUE"""),309.69)</f>
        <v>309.69</v>
      </c>
      <c r="E583" s="1">
        <f>IFERROR(__xludf.DUMMYFUNCTION("""COMPUTED_VALUE"""),312.79)</f>
        <v>312.79</v>
      </c>
      <c r="F583" s="1">
        <f>IFERROR(__xludf.DUMMYFUNCTION("""COMPUTED_VALUE"""),1.9410082E7)</f>
        <v>19410082</v>
      </c>
    </row>
    <row r="584">
      <c r="A584" s="2">
        <f>IFERROR(__xludf.DUMMYFUNCTION("""COMPUTED_VALUE"""),45197.66666666667)</f>
        <v>45197.66667</v>
      </c>
      <c r="B584" s="1">
        <f>IFERROR(__xludf.DUMMYFUNCTION("""COMPUTED_VALUE"""),310.99)</f>
        <v>310.99</v>
      </c>
      <c r="C584" s="1">
        <f>IFERROR(__xludf.DUMMYFUNCTION("""COMPUTED_VALUE"""),315.48)</f>
        <v>315.48</v>
      </c>
      <c r="D584" s="1">
        <f>IFERROR(__xludf.DUMMYFUNCTION("""COMPUTED_VALUE"""),309.45)</f>
        <v>309.45</v>
      </c>
      <c r="E584" s="1">
        <f>IFERROR(__xludf.DUMMYFUNCTION("""COMPUTED_VALUE"""),313.64)</f>
        <v>313.64</v>
      </c>
      <c r="F584" s="1">
        <f>IFERROR(__xludf.DUMMYFUNCTION("""COMPUTED_VALUE"""),1.9683564E7)</f>
        <v>19683564</v>
      </c>
    </row>
    <row r="585">
      <c r="A585" s="2">
        <f>IFERROR(__xludf.DUMMYFUNCTION("""COMPUTED_VALUE"""),45198.66666666667)</f>
        <v>45198.66667</v>
      </c>
      <c r="B585" s="1">
        <f>IFERROR(__xludf.DUMMYFUNCTION("""COMPUTED_VALUE"""),317.75)</f>
        <v>317.75</v>
      </c>
      <c r="C585" s="1">
        <f>IFERROR(__xludf.DUMMYFUNCTION("""COMPUTED_VALUE"""),319.47)</f>
        <v>319.47</v>
      </c>
      <c r="D585" s="1">
        <f>IFERROR(__xludf.DUMMYFUNCTION("""COMPUTED_VALUE"""),314.98)</f>
        <v>314.98</v>
      </c>
      <c r="E585" s="1">
        <f>IFERROR(__xludf.DUMMYFUNCTION("""COMPUTED_VALUE"""),315.75)</f>
        <v>315.75</v>
      </c>
      <c r="F585" s="1">
        <f>IFERROR(__xludf.DUMMYFUNCTION("""COMPUTED_VALUE"""),2.4147298E7)</f>
        <v>24147298</v>
      </c>
    </row>
    <row r="586">
      <c r="A586" s="2">
        <f>IFERROR(__xludf.DUMMYFUNCTION("""COMPUTED_VALUE"""),45201.66666666667)</f>
        <v>45201.66667</v>
      </c>
      <c r="B586" s="1">
        <f>IFERROR(__xludf.DUMMYFUNCTION("""COMPUTED_VALUE"""),316.28)</f>
        <v>316.28</v>
      </c>
      <c r="C586" s="1">
        <f>IFERROR(__xludf.DUMMYFUNCTION("""COMPUTED_VALUE"""),321.89)</f>
        <v>321.89</v>
      </c>
      <c r="D586" s="1">
        <f>IFERROR(__xludf.DUMMYFUNCTION("""COMPUTED_VALUE"""),315.18)</f>
        <v>315.18</v>
      </c>
      <c r="E586" s="1">
        <f>IFERROR(__xludf.DUMMYFUNCTION("""COMPUTED_VALUE"""),321.8)</f>
        <v>321.8</v>
      </c>
      <c r="F586" s="1">
        <f>IFERROR(__xludf.DUMMYFUNCTION("""COMPUTED_VALUE"""),2.0570006E7)</f>
        <v>20570006</v>
      </c>
    </row>
    <row r="587">
      <c r="A587" s="2">
        <f>IFERROR(__xludf.DUMMYFUNCTION("""COMPUTED_VALUE"""),45202.66666666667)</f>
        <v>45202.66667</v>
      </c>
      <c r="B587" s="1">
        <f>IFERROR(__xludf.DUMMYFUNCTION("""COMPUTED_VALUE"""),320.83)</f>
        <v>320.83</v>
      </c>
      <c r="C587" s="1">
        <f>IFERROR(__xludf.DUMMYFUNCTION("""COMPUTED_VALUE"""),321.39)</f>
        <v>321.39</v>
      </c>
      <c r="D587" s="1">
        <f>IFERROR(__xludf.DUMMYFUNCTION("""COMPUTED_VALUE"""),311.21)</f>
        <v>311.21</v>
      </c>
      <c r="E587" s="1">
        <f>IFERROR(__xludf.DUMMYFUNCTION("""COMPUTED_VALUE"""),313.39)</f>
        <v>313.39</v>
      </c>
      <c r="F587" s="1">
        <f>IFERROR(__xludf.DUMMYFUNCTION("""COMPUTED_VALUE"""),2.1033492E7)</f>
        <v>21033492</v>
      </c>
    </row>
    <row r="588">
      <c r="A588" s="2">
        <f>IFERROR(__xludf.DUMMYFUNCTION("""COMPUTED_VALUE"""),45203.66666666667)</f>
        <v>45203.66667</v>
      </c>
      <c r="B588" s="1">
        <f>IFERROR(__xludf.DUMMYFUNCTION("""COMPUTED_VALUE"""),314.03)</f>
        <v>314.03</v>
      </c>
      <c r="C588" s="1">
        <f>IFERROR(__xludf.DUMMYFUNCTION("""COMPUTED_VALUE"""),320.04)</f>
        <v>320.04</v>
      </c>
      <c r="D588" s="1">
        <f>IFERROR(__xludf.DUMMYFUNCTION("""COMPUTED_VALUE"""),314.0)</f>
        <v>314</v>
      </c>
      <c r="E588" s="1">
        <f>IFERROR(__xludf.DUMMYFUNCTION("""COMPUTED_VALUE"""),318.96)</f>
        <v>318.96</v>
      </c>
      <c r="F588" s="1">
        <f>IFERROR(__xludf.DUMMYFUNCTION("""COMPUTED_VALUE"""),2.0720144E7)</f>
        <v>20720144</v>
      </c>
    </row>
    <row r="589">
      <c r="A589" s="2">
        <f>IFERROR(__xludf.DUMMYFUNCTION("""COMPUTED_VALUE"""),45204.66666666667)</f>
        <v>45204.66667</v>
      </c>
      <c r="B589" s="1">
        <f>IFERROR(__xludf.DUMMYFUNCTION("""COMPUTED_VALUE"""),319.09)</f>
        <v>319.09</v>
      </c>
      <c r="C589" s="1">
        <f>IFERROR(__xludf.DUMMYFUNCTION("""COMPUTED_VALUE"""),319.98)</f>
        <v>319.98</v>
      </c>
      <c r="D589" s="1">
        <f>IFERROR(__xludf.DUMMYFUNCTION("""COMPUTED_VALUE"""),314.9)</f>
        <v>314.9</v>
      </c>
      <c r="E589" s="1">
        <f>IFERROR(__xludf.DUMMYFUNCTION("""COMPUTED_VALUE"""),319.36)</f>
        <v>319.36</v>
      </c>
      <c r="F589" s="1">
        <f>IFERROR(__xludf.DUMMYFUNCTION("""COMPUTED_VALUE"""),1.6965629E7)</f>
        <v>16965629</v>
      </c>
    </row>
    <row r="590">
      <c r="A590" s="2">
        <f>IFERROR(__xludf.DUMMYFUNCTION("""COMPUTED_VALUE"""),45205.66666666667)</f>
        <v>45205.66667</v>
      </c>
      <c r="B590" s="1">
        <f>IFERROR(__xludf.DUMMYFUNCTION("""COMPUTED_VALUE"""),316.55)</f>
        <v>316.55</v>
      </c>
      <c r="C590" s="1">
        <f>IFERROR(__xludf.DUMMYFUNCTION("""COMPUTED_VALUE"""),329.19)</f>
        <v>329.19</v>
      </c>
      <c r="D590" s="1">
        <f>IFERROR(__xludf.DUMMYFUNCTION("""COMPUTED_VALUE"""),316.3)</f>
        <v>316.3</v>
      </c>
      <c r="E590" s="1">
        <f>IFERROR(__xludf.DUMMYFUNCTION("""COMPUTED_VALUE"""),327.26)</f>
        <v>327.26</v>
      </c>
      <c r="F590" s="1">
        <f>IFERROR(__xludf.DUMMYFUNCTION("""COMPUTED_VALUE"""),2.567363E7)</f>
        <v>25673630</v>
      </c>
    </row>
    <row r="591">
      <c r="A591" s="2">
        <f>IFERROR(__xludf.DUMMYFUNCTION("""COMPUTED_VALUE"""),45208.66666666667)</f>
        <v>45208.66667</v>
      </c>
      <c r="B591" s="1">
        <f>IFERROR(__xludf.DUMMYFUNCTION("""COMPUTED_VALUE"""),324.75)</f>
        <v>324.75</v>
      </c>
      <c r="C591" s="1">
        <f>IFERROR(__xludf.DUMMYFUNCTION("""COMPUTED_VALUE"""),330.3)</f>
        <v>330.3</v>
      </c>
      <c r="D591" s="1">
        <f>IFERROR(__xludf.DUMMYFUNCTION("""COMPUTED_VALUE"""),323.18)</f>
        <v>323.18</v>
      </c>
      <c r="E591" s="1">
        <f>IFERROR(__xludf.DUMMYFUNCTION("""COMPUTED_VALUE"""),329.82)</f>
        <v>329.82</v>
      </c>
      <c r="F591" s="1">
        <f>IFERROR(__xludf.DUMMYFUNCTION("""COMPUTED_VALUE"""),1.989118E7)</f>
        <v>19891180</v>
      </c>
    </row>
    <row r="592">
      <c r="A592" s="2">
        <f>IFERROR(__xludf.DUMMYFUNCTION("""COMPUTED_VALUE"""),45209.66666666667)</f>
        <v>45209.66667</v>
      </c>
      <c r="B592" s="1">
        <f>IFERROR(__xludf.DUMMYFUNCTION("""COMPUTED_VALUE"""),330.96)</f>
        <v>330.96</v>
      </c>
      <c r="C592" s="1">
        <f>IFERROR(__xludf.DUMMYFUNCTION("""COMPUTED_VALUE"""),331.1)</f>
        <v>331.1</v>
      </c>
      <c r="D592" s="1">
        <f>IFERROR(__xludf.DUMMYFUNCTION("""COMPUTED_VALUE"""),327.67)</f>
        <v>327.67</v>
      </c>
      <c r="E592" s="1">
        <f>IFERROR(__xludf.DUMMYFUNCTION("""COMPUTED_VALUE"""),328.39)</f>
        <v>328.39</v>
      </c>
      <c r="F592" s="1">
        <f>IFERROR(__xludf.DUMMYFUNCTION("""COMPUTED_VALUE"""),2.0557094E7)</f>
        <v>20557094</v>
      </c>
    </row>
    <row r="593">
      <c r="A593" s="2">
        <f>IFERROR(__xludf.DUMMYFUNCTION("""COMPUTED_VALUE"""),45210.66666666667)</f>
        <v>45210.66667</v>
      </c>
      <c r="B593" s="1">
        <f>IFERROR(__xludf.DUMMYFUNCTION("""COMPUTED_VALUE"""),331.21)</f>
        <v>331.21</v>
      </c>
      <c r="C593" s="1">
        <f>IFERROR(__xludf.DUMMYFUNCTION("""COMPUTED_VALUE"""),332.82)</f>
        <v>332.82</v>
      </c>
      <c r="D593" s="1">
        <f>IFERROR(__xludf.DUMMYFUNCTION("""COMPUTED_VALUE"""),329.14)</f>
        <v>329.14</v>
      </c>
      <c r="E593" s="1">
        <f>IFERROR(__xludf.DUMMYFUNCTION("""COMPUTED_VALUE"""),332.42)</f>
        <v>332.42</v>
      </c>
      <c r="F593" s="1">
        <f>IFERROR(__xludf.DUMMYFUNCTION("""COMPUTED_VALUE"""),2.0063246E7)</f>
        <v>20063246</v>
      </c>
    </row>
    <row r="594">
      <c r="A594" s="2">
        <f>IFERROR(__xludf.DUMMYFUNCTION("""COMPUTED_VALUE"""),45211.66666666667)</f>
        <v>45211.66667</v>
      </c>
      <c r="B594" s="1">
        <f>IFERROR(__xludf.DUMMYFUNCTION("""COMPUTED_VALUE"""),330.57)</f>
        <v>330.57</v>
      </c>
      <c r="C594" s="1">
        <f>IFERROR(__xludf.DUMMYFUNCTION("""COMPUTED_VALUE"""),333.63)</f>
        <v>333.63</v>
      </c>
      <c r="D594" s="1">
        <f>IFERROR(__xludf.DUMMYFUNCTION("""COMPUTED_VALUE"""),328.72)</f>
        <v>328.72</v>
      </c>
      <c r="E594" s="1">
        <f>IFERROR(__xludf.DUMMYFUNCTION("""COMPUTED_VALUE"""),331.16)</f>
        <v>331.16</v>
      </c>
      <c r="F594" s="1">
        <f>IFERROR(__xludf.DUMMYFUNCTION("""COMPUTED_VALUE"""),1.9313098E7)</f>
        <v>19313098</v>
      </c>
    </row>
    <row r="595">
      <c r="A595" s="2">
        <f>IFERROR(__xludf.DUMMYFUNCTION("""COMPUTED_VALUE"""),45212.66666666667)</f>
        <v>45212.66667</v>
      </c>
      <c r="B595" s="1">
        <f>IFERROR(__xludf.DUMMYFUNCTION("""COMPUTED_VALUE"""),332.38)</f>
        <v>332.38</v>
      </c>
      <c r="C595" s="1">
        <f>IFERROR(__xludf.DUMMYFUNCTION("""COMPUTED_VALUE"""),333.83)</f>
        <v>333.83</v>
      </c>
      <c r="D595" s="1">
        <f>IFERROR(__xludf.DUMMYFUNCTION("""COMPUTED_VALUE"""),326.36)</f>
        <v>326.36</v>
      </c>
      <c r="E595" s="1">
        <f>IFERROR(__xludf.DUMMYFUNCTION("""COMPUTED_VALUE"""),327.73)</f>
        <v>327.73</v>
      </c>
      <c r="F595" s="1">
        <f>IFERROR(__xludf.DUMMYFUNCTION("""COMPUTED_VALUE"""),2.1085695E7)</f>
        <v>21085695</v>
      </c>
    </row>
    <row r="596">
      <c r="A596" s="2">
        <f>IFERROR(__xludf.DUMMYFUNCTION("""COMPUTED_VALUE"""),45215.66666666667)</f>
        <v>45215.66667</v>
      </c>
      <c r="B596" s="1">
        <f>IFERROR(__xludf.DUMMYFUNCTION("""COMPUTED_VALUE"""),331.05)</f>
        <v>331.05</v>
      </c>
      <c r="C596" s="1">
        <f>IFERROR(__xludf.DUMMYFUNCTION("""COMPUTED_VALUE"""),336.14)</f>
        <v>336.14</v>
      </c>
      <c r="D596" s="1">
        <f>IFERROR(__xludf.DUMMYFUNCTION("""COMPUTED_VALUE"""),330.6)</f>
        <v>330.6</v>
      </c>
      <c r="E596" s="1">
        <f>IFERROR(__xludf.DUMMYFUNCTION("""COMPUTED_VALUE"""),332.64)</f>
        <v>332.64</v>
      </c>
      <c r="F596" s="1">
        <f>IFERROR(__xludf.DUMMYFUNCTION("""COMPUTED_VALUE"""),2.2158048E7)</f>
        <v>22158048</v>
      </c>
    </row>
    <row r="597">
      <c r="A597" s="2">
        <f>IFERROR(__xludf.DUMMYFUNCTION("""COMPUTED_VALUE"""),45216.66666666667)</f>
        <v>45216.66667</v>
      </c>
      <c r="B597" s="1">
        <f>IFERROR(__xludf.DUMMYFUNCTION("""COMPUTED_VALUE"""),329.59)</f>
        <v>329.59</v>
      </c>
      <c r="C597" s="1">
        <f>IFERROR(__xludf.DUMMYFUNCTION("""COMPUTED_VALUE"""),333.46)</f>
        <v>333.46</v>
      </c>
      <c r="D597" s="1">
        <f>IFERROR(__xludf.DUMMYFUNCTION("""COMPUTED_VALUE"""),327.41)</f>
        <v>327.41</v>
      </c>
      <c r="E597" s="1">
        <f>IFERROR(__xludf.DUMMYFUNCTION("""COMPUTED_VALUE"""),332.06)</f>
        <v>332.06</v>
      </c>
      <c r="F597" s="1">
        <f>IFERROR(__xludf.DUMMYFUNCTION("""COMPUTED_VALUE"""),1.8338523E7)</f>
        <v>18338523</v>
      </c>
    </row>
    <row r="598">
      <c r="A598" s="2">
        <f>IFERROR(__xludf.DUMMYFUNCTION("""COMPUTED_VALUE"""),45217.66666666667)</f>
        <v>45217.66667</v>
      </c>
      <c r="B598" s="1">
        <f>IFERROR(__xludf.DUMMYFUNCTION("""COMPUTED_VALUE"""),332.49)</f>
        <v>332.49</v>
      </c>
      <c r="C598" s="1">
        <f>IFERROR(__xludf.DUMMYFUNCTION("""COMPUTED_VALUE"""),335.59)</f>
        <v>335.59</v>
      </c>
      <c r="D598" s="1">
        <f>IFERROR(__xludf.DUMMYFUNCTION("""COMPUTED_VALUE"""),328.3)</f>
        <v>328.3</v>
      </c>
      <c r="E598" s="1">
        <f>IFERROR(__xludf.DUMMYFUNCTION("""COMPUTED_VALUE"""),330.11)</f>
        <v>330.11</v>
      </c>
      <c r="F598" s="1">
        <f>IFERROR(__xludf.DUMMYFUNCTION("""COMPUTED_VALUE"""),2.3153602E7)</f>
        <v>23153602</v>
      </c>
    </row>
    <row r="599">
      <c r="A599" s="2">
        <f>IFERROR(__xludf.DUMMYFUNCTION("""COMPUTED_VALUE"""),45218.66666666667)</f>
        <v>45218.66667</v>
      </c>
      <c r="B599" s="1">
        <f>IFERROR(__xludf.DUMMYFUNCTION("""COMPUTED_VALUE"""),332.15)</f>
        <v>332.15</v>
      </c>
      <c r="C599" s="1">
        <f>IFERROR(__xludf.DUMMYFUNCTION("""COMPUTED_VALUE"""),336.88)</f>
        <v>336.88</v>
      </c>
      <c r="D599" s="1">
        <f>IFERROR(__xludf.DUMMYFUNCTION("""COMPUTED_VALUE"""),330.91)</f>
        <v>330.91</v>
      </c>
      <c r="E599" s="1">
        <f>IFERROR(__xludf.DUMMYFUNCTION("""COMPUTED_VALUE"""),331.32)</f>
        <v>331.32</v>
      </c>
      <c r="F599" s="1">
        <f>IFERROR(__xludf.DUMMYFUNCTION("""COMPUTED_VALUE"""),2.5052071E7)</f>
        <v>25052071</v>
      </c>
    </row>
    <row r="600">
      <c r="A600" s="2">
        <f>IFERROR(__xludf.DUMMYFUNCTION("""COMPUTED_VALUE"""),45219.66666666667)</f>
        <v>45219.66667</v>
      </c>
      <c r="B600" s="1">
        <f>IFERROR(__xludf.DUMMYFUNCTION("""COMPUTED_VALUE"""),331.72)</f>
        <v>331.72</v>
      </c>
      <c r="C600" s="1">
        <f>IFERROR(__xludf.DUMMYFUNCTION("""COMPUTED_VALUE"""),331.92)</f>
        <v>331.92</v>
      </c>
      <c r="D600" s="1">
        <f>IFERROR(__xludf.DUMMYFUNCTION("""COMPUTED_VALUE"""),325.45)</f>
        <v>325.45</v>
      </c>
      <c r="E600" s="1">
        <f>IFERROR(__xludf.DUMMYFUNCTION("""COMPUTED_VALUE"""),326.67)</f>
        <v>326.67</v>
      </c>
      <c r="F600" s="1">
        <f>IFERROR(__xludf.DUMMYFUNCTION("""COMPUTED_VALUE"""),2.5027715E7)</f>
        <v>25027715</v>
      </c>
    </row>
    <row r="601">
      <c r="A601" s="2">
        <f>IFERROR(__xludf.DUMMYFUNCTION("""COMPUTED_VALUE"""),45222.66666666667)</f>
        <v>45222.66667</v>
      </c>
      <c r="B601" s="1">
        <f>IFERROR(__xludf.DUMMYFUNCTION("""COMPUTED_VALUE"""),325.47)</f>
        <v>325.47</v>
      </c>
      <c r="C601" s="1">
        <f>IFERROR(__xludf.DUMMYFUNCTION("""COMPUTED_VALUE"""),332.73)</f>
        <v>332.73</v>
      </c>
      <c r="D601" s="1">
        <f>IFERROR(__xludf.DUMMYFUNCTION("""COMPUTED_VALUE"""),324.39)</f>
        <v>324.39</v>
      </c>
      <c r="E601" s="1">
        <f>IFERROR(__xludf.DUMMYFUNCTION("""COMPUTED_VALUE"""),329.32)</f>
        <v>329.32</v>
      </c>
      <c r="F601" s="1">
        <f>IFERROR(__xludf.DUMMYFUNCTION("""COMPUTED_VALUE"""),2.4374748E7)</f>
        <v>24374748</v>
      </c>
    </row>
    <row r="602">
      <c r="A602" s="2">
        <f>IFERROR(__xludf.DUMMYFUNCTION("""COMPUTED_VALUE"""),45223.66666666667)</f>
        <v>45223.66667</v>
      </c>
      <c r="B602" s="1">
        <f>IFERROR(__xludf.DUMMYFUNCTION("""COMPUTED_VALUE"""),331.3)</f>
        <v>331.3</v>
      </c>
      <c r="C602" s="1">
        <f>IFERROR(__xludf.DUMMYFUNCTION("""COMPUTED_VALUE"""),331.84)</f>
        <v>331.84</v>
      </c>
      <c r="D602" s="1">
        <f>IFERROR(__xludf.DUMMYFUNCTION("""COMPUTED_VALUE"""),327.6)</f>
        <v>327.6</v>
      </c>
      <c r="E602" s="1">
        <f>IFERROR(__xludf.DUMMYFUNCTION("""COMPUTED_VALUE"""),330.53)</f>
        <v>330.53</v>
      </c>
      <c r="F602" s="1">
        <f>IFERROR(__xludf.DUMMYFUNCTION("""COMPUTED_VALUE"""),3.1153571E7)</f>
        <v>31153571</v>
      </c>
    </row>
    <row r="603">
      <c r="A603" s="2">
        <f>IFERROR(__xludf.DUMMYFUNCTION("""COMPUTED_VALUE"""),45224.66666666667)</f>
        <v>45224.66667</v>
      </c>
      <c r="B603" s="1">
        <f>IFERROR(__xludf.DUMMYFUNCTION("""COMPUTED_VALUE"""),345.02)</f>
        <v>345.02</v>
      </c>
      <c r="C603" s="1">
        <f>IFERROR(__xludf.DUMMYFUNCTION("""COMPUTED_VALUE"""),346.2)</f>
        <v>346.2</v>
      </c>
      <c r="D603" s="1">
        <f>IFERROR(__xludf.DUMMYFUNCTION("""COMPUTED_VALUE"""),337.62)</f>
        <v>337.62</v>
      </c>
      <c r="E603" s="1">
        <f>IFERROR(__xludf.DUMMYFUNCTION("""COMPUTED_VALUE"""),340.67)</f>
        <v>340.67</v>
      </c>
      <c r="F603" s="1">
        <f>IFERROR(__xludf.DUMMYFUNCTION("""COMPUTED_VALUE"""),5.5053828E7)</f>
        <v>55053828</v>
      </c>
    </row>
    <row r="604">
      <c r="A604" s="2">
        <f>IFERROR(__xludf.DUMMYFUNCTION("""COMPUTED_VALUE"""),45225.66666666667)</f>
        <v>45225.66667</v>
      </c>
      <c r="B604" s="1">
        <f>IFERROR(__xludf.DUMMYFUNCTION("""COMPUTED_VALUE"""),340.54)</f>
        <v>340.54</v>
      </c>
      <c r="C604" s="1">
        <f>IFERROR(__xludf.DUMMYFUNCTION("""COMPUTED_VALUE"""),341.63)</f>
        <v>341.63</v>
      </c>
      <c r="D604" s="1">
        <f>IFERROR(__xludf.DUMMYFUNCTION("""COMPUTED_VALUE"""),326.94)</f>
        <v>326.94</v>
      </c>
      <c r="E604" s="1">
        <f>IFERROR(__xludf.DUMMYFUNCTION("""COMPUTED_VALUE"""),327.89)</f>
        <v>327.89</v>
      </c>
      <c r="F604" s="1">
        <f>IFERROR(__xludf.DUMMYFUNCTION("""COMPUTED_VALUE"""),3.7828543E7)</f>
        <v>37828543</v>
      </c>
    </row>
    <row r="605">
      <c r="A605" s="2">
        <f>IFERROR(__xludf.DUMMYFUNCTION("""COMPUTED_VALUE"""),45226.66666666667)</f>
        <v>45226.66667</v>
      </c>
      <c r="B605" s="1">
        <f>IFERROR(__xludf.DUMMYFUNCTION("""COMPUTED_VALUE"""),330.43)</f>
        <v>330.43</v>
      </c>
      <c r="C605" s="1">
        <f>IFERROR(__xludf.DUMMYFUNCTION("""COMPUTED_VALUE"""),336.72)</f>
        <v>336.72</v>
      </c>
      <c r="D605" s="1">
        <f>IFERROR(__xludf.DUMMYFUNCTION("""COMPUTED_VALUE"""),328.4)</f>
        <v>328.4</v>
      </c>
      <c r="E605" s="1">
        <f>IFERROR(__xludf.DUMMYFUNCTION("""COMPUTED_VALUE"""),329.81)</f>
        <v>329.81</v>
      </c>
      <c r="F605" s="1">
        <f>IFERROR(__xludf.DUMMYFUNCTION("""COMPUTED_VALUE"""),2.9856522E7)</f>
        <v>29856522</v>
      </c>
    </row>
    <row r="606">
      <c r="A606" s="2">
        <f>IFERROR(__xludf.DUMMYFUNCTION("""COMPUTED_VALUE"""),45229.66666666667)</f>
        <v>45229.66667</v>
      </c>
      <c r="B606" s="1">
        <f>IFERROR(__xludf.DUMMYFUNCTION("""COMPUTED_VALUE"""),333.41)</f>
        <v>333.41</v>
      </c>
      <c r="C606" s="1">
        <f>IFERROR(__xludf.DUMMYFUNCTION("""COMPUTED_VALUE"""),339.45)</f>
        <v>339.45</v>
      </c>
      <c r="D606" s="1">
        <f>IFERROR(__xludf.DUMMYFUNCTION("""COMPUTED_VALUE"""),331.83)</f>
        <v>331.83</v>
      </c>
      <c r="E606" s="1">
        <f>IFERROR(__xludf.DUMMYFUNCTION("""COMPUTED_VALUE"""),337.31)</f>
        <v>337.31</v>
      </c>
      <c r="F606" s="1">
        <f>IFERROR(__xludf.DUMMYFUNCTION("""COMPUTED_VALUE"""),2.2828082E7)</f>
        <v>22828082</v>
      </c>
    </row>
    <row r="607">
      <c r="A607" s="2">
        <f>IFERROR(__xludf.DUMMYFUNCTION("""COMPUTED_VALUE"""),45230.66666666667)</f>
        <v>45230.66667</v>
      </c>
      <c r="B607" s="1">
        <f>IFERROR(__xludf.DUMMYFUNCTION("""COMPUTED_VALUE"""),338.85)</f>
        <v>338.85</v>
      </c>
      <c r="C607" s="1">
        <f>IFERROR(__xludf.DUMMYFUNCTION("""COMPUTED_VALUE"""),339.0)</f>
        <v>339</v>
      </c>
      <c r="D607" s="1">
        <f>IFERROR(__xludf.DUMMYFUNCTION("""COMPUTED_VALUE"""),334.69)</f>
        <v>334.69</v>
      </c>
      <c r="E607" s="1">
        <f>IFERROR(__xludf.DUMMYFUNCTION("""COMPUTED_VALUE"""),338.11)</f>
        <v>338.11</v>
      </c>
      <c r="F607" s="1">
        <f>IFERROR(__xludf.DUMMYFUNCTION("""COMPUTED_VALUE"""),2.0265282E7)</f>
        <v>20265282</v>
      </c>
    </row>
    <row r="608">
      <c r="A608" s="2">
        <f>IFERROR(__xludf.DUMMYFUNCTION("""COMPUTED_VALUE"""),45231.66666666667)</f>
        <v>45231.66667</v>
      </c>
      <c r="B608" s="1">
        <f>IFERROR(__xludf.DUMMYFUNCTION("""COMPUTED_VALUE"""),339.79)</f>
        <v>339.79</v>
      </c>
      <c r="C608" s="1">
        <f>IFERROR(__xludf.DUMMYFUNCTION("""COMPUTED_VALUE"""),347.42)</f>
        <v>347.42</v>
      </c>
      <c r="D608" s="1">
        <f>IFERROR(__xludf.DUMMYFUNCTION("""COMPUTED_VALUE"""),339.65)</f>
        <v>339.65</v>
      </c>
      <c r="E608" s="1">
        <f>IFERROR(__xludf.DUMMYFUNCTION("""COMPUTED_VALUE"""),346.07)</f>
        <v>346.07</v>
      </c>
      <c r="F608" s="1">
        <f>IFERROR(__xludf.DUMMYFUNCTION("""COMPUTED_VALUE"""),2.8158819E7)</f>
        <v>28158819</v>
      </c>
    </row>
    <row r="609">
      <c r="A609" s="2">
        <f>IFERROR(__xludf.DUMMYFUNCTION("""COMPUTED_VALUE"""),45232.66666666667)</f>
        <v>45232.66667</v>
      </c>
      <c r="B609" s="1">
        <f>IFERROR(__xludf.DUMMYFUNCTION("""COMPUTED_VALUE"""),347.24)</f>
        <v>347.24</v>
      </c>
      <c r="C609" s="1">
        <f>IFERROR(__xludf.DUMMYFUNCTION("""COMPUTED_VALUE"""),348.83)</f>
        <v>348.83</v>
      </c>
      <c r="D609" s="1">
        <f>IFERROR(__xludf.DUMMYFUNCTION("""COMPUTED_VALUE"""),344.77)</f>
        <v>344.77</v>
      </c>
      <c r="E609" s="1">
        <f>IFERROR(__xludf.DUMMYFUNCTION("""COMPUTED_VALUE"""),348.32)</f>
        <v>348.32</v>
      </c>
      <c r="F609" s="1">
        <f>IFERROR(__xludf.DUMMYFUNCTION("""COMPUTED_VALUE"""),2.4348072E7)</f>
        <v>24348072</v>
      </c>
    </row>
    <row r="610">
      <c r="A610" s="2">
        <f>IFERROR(__xludf.DUMMYFUNCTION("""COMPUTED_VALUE"""),45233.66666666667)</f>
        <v>45233.66667</v>
      </c>
      <c r="B610" s="1">
        <f>IFERROR(__xludf.DUMMYFUNCTION("""COMPUTED_VALUE"""),349.63)</f>
        <v>349.63</v>
      </c>
      <c r="C610" s="1">
        <f>IFERROR(__xludf.DUMMYFUNCTION("""COMPUTED_VALUE"""),354.39)</f>
        <v>354.39</v>
      </c>
      <c r="D610" s="1">
        <f>IFERROR(__xludf.DUMMYFUNCTION("""COMPUTED_VALUE"""),347.33)</f>
        <v>347.33</v>
      </c>
      <c r="E610" s="1">
        <f>IFERROR(__xludf.DUMMYFUNCTION("""COMPUTED_VALUE"""),352.8)</f>
        <v>352.8</v>
      </c>
      <c r="F610" s="1">
        <f>IFERROR(__xludf.DUMMYFUNCTION("""COMPUTED_VALUE"""),2.3637673E7)</f>
        <v>23637673</v>
      </c>
    </row>
    <row r="611">
      <c r="A611" s="2">
        <f>IFERROR(__xludf.DUMMYFUNCTION("""COMPUTED_VALUE"""),45236.66666666667)</f>
        <v>45236.66667</v>
      </c>
      <c r="B611" s="1">
        <f>IFERROR(__xludf.DUMMYFUNCTION("""COMPUTED_VALUE"""),353.45)</f>
        <v>353.45</v>
      </c>
      <c r="C611" s="1">
        <f>IFERROR(__xludf.DUMMYFUNCTION("""COMPUTED_VALUE"""),357.54)</f>
        <v>357.54</v>
      </c>
      <c r="D611" s="1">
        <f>IFERROR(__xludf.DUMMYFUNCTION("""COMPUTED_VALUE"""),353.35)</f>
        <v>353.35</v>
      </c>
      <c r="E611" s="1">
        <f>IFERROR(__xludf.DUMMYFUNCTION("""COMPUTED_VALUE"""),356.53)</f>
        <v>356.53</v>
      </c>
      <c r="F611" s="1">
        <f>IFERROR(__xludf.DUMMYFUNCTION("""COMPUTED_VALUE"""),2.3828301E7)</f>
        <v>23828301</v>
      </c>
    </row>
    <row r="612">
      <c r="A612" s="2">
        <f>IFERROR(__xludf.DUMMYFUNCTION("""COMPUTED_VALUE"""),45237.66666666667)</f>
        <v>45237.66667</v>
      </c>
      <c r="B612" s="1">
        <f>IFERROR(__xludf.DUMMYFUNCTION("""COMPUTED_VALUE"""),359.4)</f>
        <v>359.4</v>
      </c>
      <c r="C612" s="1">
        <f>IFERROR(__xludf.DUMMYFUNCTION("""COMPUTED_VALUE"""),362.46)</f>
        <v>362.46</v>
      </c>
      <c r="D612" s="1">
        <f>IFERROR(__xludf.DUMMYFUNCTION("""COMPUTED_VALUE"""),357.63)</f>
        <v>357.63</v>
      </c>
      <c r="E612" s="1">
        <f>IFERROR(__xludf.DUMMYFUNCTION("""COMPUTED_VALUE"""),360.53)</f>
        <v>360.53</v>
      </c>
      <c r="F612" s="1">
        <f>IFERROR(__xludf.DUMMYFUNCTION("""COMPUTED_VALUE"""),2.5833931E7)</f>
        <v>25833931</v>
      </c>
    </row>
    <row r="613">
      <c r="A613" s="2">
        <f>IFERROR(__xludf.DUMMYFUNCTION("""COMPUTED_VALUE"""),45238.66666666667)</f>
        <v>45238.66667</v>
      </c>
      <c r="B613" s="1">
        <f>IFERROR(__xludf.DUMMYFUNCTION("""COMPUTED_VALUE"""),361.68)</f>
        <v>361.68</v>
      </c>
      <c r="C613" s="1">
        <f>IFERROR(__xludf.DUMMYFUNCTION("""COMPUTED_VALUE"""),363.87)</f>
        <v>363.87</v>
      </c>
      <c r="D613" s="1">
        <f>IFERROR(__xludf.DUMMYFUNCTION("""COMPUTED_VALUE"""),360.55)</f>
        <v>360.55</v>
      </c>
      <c r="E613" s="1">
        <f>IFERROR(__xludf.DUMMYFUNCTION("""COMPUTED_VALUE"""),363.2)</f>
        <v>363.2</v>
      </c>
      <c r="F613" s="1">
        <f>IFERROR(__xludf.DUMMYFUNCTION("""COMPUTED_VALUE"""),2.6767828E7)</f>
        <v>26767828</v>
      </c>
    </row>
    <row r="614">
      <c r="A614" s="2">
        <f>IFERROR(__xludf.DUMMYFUNCTION("""COMPUTED_VALUE"""),45239.66666666667)</f>
        <v>45239.66667</v>
      </c>
      <c r="B614" s="1">
        <f>IFERROR(__xludf.DUMMYFUNCTION("""COMPUTED_VALUE"""),362.3)</f>
        <v>362.3</v>
      </c>
      <c r="C614" s="1">
        <f>IFERROR(__xludf.DUMMYFUNCTION("""COMPUTED_VALUE"""),364.79)</f>
        <v>364.79</v>
      </c>
      <c r="D614" s="1">
        <f>IFERROR(__xludf.DUMMYFUNCTION("""COMPUTED_VALUE"""),360.36)</f>
        <v>360.36</v>
      </c>
      <c r="E614" s="1">
        <f>IFERROR(__xludf.DUMMYFUNCTION("""COMPUTED_VALUE"""),360.69)</f>
        <v>360.69</v>
      </c>
      <c r="F614" s="1">
        <f>IFERROR(__xludf.DUMMYFUNCTION("""COMPUTED_VALUE"""),2.4847331E7)</f>
        <v>24847331</v>
      </c>
    </row>
    <row r="615">
      <c r="A615" s="2">
        <f>IFERROR(__xludf.DUMMYFUNCTION("""COMPUTED_VALUE"""),45240.66666666667)</f>
        <v>45240.66667</v>
      </c>
      <c r="B615" s="1">
        <f>IFERROR(__xludf.DUMMYFUNCTION("""COMPUTED_VALUE"""),361.49)</f>
        <v>361.49</v>
      </c>
      <c r="C615" s="1">
        <f>IFERROR(__xludf.DUMMYFUNCTION("""COMPUTED_VALUE"""),370.1)</f>
        <v>370.1</v>
      </c>
      <c r="D615" s="1">
        <f>IFERROR(__xludf.DUMMYFUNCTION("""COMPUTED_VALUE"""),361.07)</f>
        <v>361.07</v>
      </c>
      <c r="E615" s="1">
        <f>IFERROR(__xludf.DUMMYFUNCTION("""COMPUTED_VALUE"""),369.67)</f>
        <v>369.67</v>
      </c>
      <c r="F615" s="1">
        <f>IFERROR(__xludf.DUMMYFUNCTION("""COMPUTED_VALUE"""),2.8065164E7)</f>
        <v>28065164</v>
      </c>
    </row>
    <row r="616">
      <c r="A616" s="2">
        <f>IFERROR(__xludf.DUMMYFUNCTION("""COMPUTED_VALUE"""),45243.66666666667)</f>
        <v>45243.66667</v>
      </c>
      <c r="B616" s="1">
        <f>IFERROR(__xludf.DUMMYFUNCTION("""COMPUTED_VALUE"""),368.22)</f>
        <v>368.22</v>
      </c>
      <c r="C616" s="1">
        <f>IFERROR(__xludf.DUMMYFUNCTION("""COMPUTED_VALUE"""),368.47)</f>
        <v>368.47</v>
      </c>
      <c r="D616" s="1">
        <f>IFERROR(__xludf.DUMMYFUNCTION("""COMPUTED_VALUE"""),365.9)</f>
        <v>365.9</v>
      </c>
      <c r="E616" s="1">
        <f>IFERROR(__xludf.DUMMYFUNCTION("""COMPUTED_VALUE"""),366.68)</f>
        <v>366.68</v>
      </c>
      <c r="F616" s="1">
        <f>IFERROR(__xludf.DUMMYFUNCTION("""COMPUTED_VALUE"""),1.9986506E7)</f>
        <v>19986506</v>
      </c>
    </row>
    <row r="617">
      <c r="A617" s="2">
        <f>IFERROR(__xludf.DUMMYFUNCTION("""COMPUTED_VALUE"""),45244.66666666667)</f>
        <v>45244.66667</v>
      </c>
      <c r="B617" s="1">
        <f>IFERROR(__xludf.DUMMYFUNCTION("""COMPUTED_VALUE"""),371.01)</f>
        <v>371.01</v>
      </c>
      <c r="C617" s="1">
        <f>IFERROR(__xludf.DUMMYFUNCTION("""COMPUTED_VALUE"""),371.95)</f>
        <v>371.95</v>
      </c>
      <c r="D617" s="1">
        <f>IFERROR(__xludf.DUMMYFUNCTION("""COMPUTED_VALUE"""),367.35)</f>
        <v>367.35</v>
      </c>
      <c r="E617" s="1">
        <f>IFERROR(__xludf.DUMMYFUNCTION("""COMPUTED_VALUE"""),370.27)</f>
        <v>370.27</v>
      </c>
      <c r="F617" s="1">
        <f>IFERROR(__xludf.DUMMYFUNCTION("""COMPUTED_VALUE"""),2.7683862E7)</f>
        <v>27683862</v>
      </c>
    </row>
    <row r="618">
      <c r="A618" s="2">
        <f>IFERROR(__xludf.DUMMYFUNCTION("""COMPUTED_VALUE"""),45245.66666666667)</f>
        <v>45245.66667</v>
      </c>
      <c r="B618" s="1">
        <f>IFERROR(__xludf.DUMMYFUNCTION("""COMPUTED_VALUE"""),371.28)</f>
        <v>371.28</v>
      </c>
      <c r="C618" s="1">
        <f>IFERROR(__xludf.DUMMYFUNCTION("""COMPUTED_VALUE"""),373.13)</f>
        <v>373.13</v>
      </c>
      <c r="D618" s="1">
        <f>IFERROR(__xludf.DUMMYFUNCTION("""COMPUTED_VALUE"""),367.11)</f>
        <v>367.11</v>
      </c>
      <c r="E618" s="1">
        <f>IFERROR(__xludf.DUMMYFUNCTION("""COMPUTED_VALUE"""),369.67)</f>
        <v>369.67</v>
      </c>
      <c r="F618" s="1">
        <f>IFERROR(__xludf.DUMMYFUNCTION("""COMPUTED_VALUE"""),2.6860095E7)</f>
        <v>26860095</v>
      </c>
    </row>
    <row r="619">
      <c r="A619" s="2">
        <f>IFERROR(__xludf.DUMMYFUNCTION("""COMPUTED_VALUE"""),45246.66666666667)</f>
        <v>45246.66667</v>
      </c>
      <c r="B619" s="1">
        <f>IFERROR(__xludf.DUMMYFUNCTION("""COMPUTED_VALUE"""),370.96)</f>
        <v>370.96</v>
      </c>
      <c r="C619" s="1">
        <f>IFERROR(__xludf.DUMMYFUNCTION("""COMPUTED_VALUE"""),376.35)</f>
        <v>376.35</v>
      </c>
      <c r="D619" s="1">
        <f>IFERROR(__xludf.DUMMYFUNCTION("""COMPUTED_VALUE"""),370.18)</f>
        <v>370.18</v>
      </c>
      <c r="E619" s="1">
        <f>IFERROR(__xludf.DUMMYFUNCTION("""COMPUTED_VALUE"""),376.17)</f>
        <v>376.17</v>
      </c>
      <c r="F619" s="1">
        <f>IFERROR(__xludf.DUMMYFUNCTION("""COMPUTED_VALUE"""),2.7182315E7)</f>
        <v>27182315</v>
      </c>
    </row>
    <row r="620">
      <c r="A620" s="2">
        <f>IFERROR(__xludf.DUMMYFUNCTION("""COMPUTED_VALUE"""),45247.66666666667)</f>
        <v>45247.66667</v>
      </c>
      <c r="B620" s="1">
        <f>IFERROR(__xludf.DUMMYFUNCTION("""COMPUTED_VALUE"""),373.61)</f>
        <v>373.61</v>
      </c>
      <c r="C620" s="1">
        <f>IFERROR(__xludf.DUMMYFUNCTION("""COMPUTED_VALUE"""),374.37)</f>
        <v>374.37</v>
      </c>
      <c r="D620" s="1">
        <f>IFERROR(__xludf.DUMMYFUNCTION("""COMPUTED_VALUE"""),367.0)</f>
        <v>367</v>
      </c>
      <c r="E620" s="1">
        <f>IFERROR(__xludf.DUMMYFUNCTION("""COMPUTED_VALUE"""),369.85)</f>
        <v>369.85</v>
      </c>
      <c r="F620" s="1">
        <f>IFERROR(__xludf.DUMMYFUNCTION("""COMPUTED_VALUE"""),4.0325371E7)</f>
        <v>40325371</v>
      </c>
    </row>
    <row r="621">
      <c r="A621" s="2">
        <f>IFERROR(__xludf.DUMMYFUNCTION("""COMPUTED_VALUE"""),45250.66666666667)</f>
        <v>45250.66667</v>
      </c>
      <c r="B621" s="1">
        <f>IFERROR(__xludf.DUMMYFUNCTION("""COMPUTED_VALUE"""),371.22)</f>
        <v>371.22</v>
      </c>
      <c r="C621" s="1">
        <f>IFERROR(__xludf.DUMMYFUNCTION("""COMPUTED_VALUE"""),378.87)</f>
        <v>378.87</v>
      </c>
      <c r="D621" s="1">
        <f>IFERROR(__xludf.DUMMYFUNCTION("""COMPUTED_VALUE"""),371.0)</f>
        <v>371</v>
      </c>
      <c r="E621" s="1">
        <f>IFERROR(__xludf.DUMMYFUNCTION("""COMPUTED_VALUE"""),377.44)</f>
        <v>377.44</v>
      </c>
      <c r="F621" s="1">
        <f>IFERROR(__xludf.DUMMYFUNCTION("""COMPUTED_VALUE"""),5.2528964E7)</f>
        <v>52528964</v>
      </c>
    </row>
    <row r="622">
      <c r="A622" s="2">
        <f>IFERROR(__xludf.DUMMYFUNCTION("""COMPUTED_VALUE"""),45251.66666666667)</f>
        <v>45251.66667</v>
      </c>
      <c r="B622" s="1">
        <f>IFERROR(__xludf.DUMMYFUNCTION("""COMPUTED_VALUE"""),375.67)</f>
        <v>375.67</v>
      </c>
      <c r="C622" s="1">
        <f>IFERROR(__xludf.DUMMYFUNCTION("""COMPUTED_VALUE"""),376.22)</f>
        <v>376.22</v>
      </c>
      <c r="D622" s="1">
        <f>IFERROR(__xludf.DUMMYFUNCTION("""COMPUTED_VALUE"""),371.12)</f>
        <v>371.12</v>
      </c>
      <c r="E622" s="1">
        <f>IFERROR(__xludf.DUMMYFUNCTION("""COMPUTED_VALUE"""),373.07)</f>
        <v>373.07</v>
      </c>
      <c r="F622" s="1">
        <f>IFERROR(__xludf.DUMMYFUNCTION("""COMPUTED_VALUE"""),2.8423145E7)</f>
        <v>28423145</v>
      </c>
    </row>
    <row r="623">
      <c r="A623" s="2">
        <f>IFERROR(__xludf.DUMMYFUNCTION("""COMPUTED_VALUE"""),45252.66666666667)</f>
        <v>45252.66667</v>
      </c>
      <c r="B623" s="1">
        <f>IFERROR(__xludf.DUMMYFUNCTION("""COMPUTED_VALUE"""),378.0)</f>
        <v>378</v>
      </c>
      <c r="C623" s="1">
        <f>IFERROR(__xludf.DUMMYFUNCTION("""COMPUTED_VALUE"""),379.79)</f>
        <v>379.79</v>
      </c>
      <c r="D623" s="1">
        <f>IFERROR(__xludf.DUMMYFUNCTION("""COMPUTED_VALUE"""),374.97)</f>
        <v>374.97</v>
      </c>
      <c r="E623" s="1">
        <f>IFERROR(__xludf.DUMMYFUNCTION("""COMPUTED_VALUE"""),377.85)</f>
        <v>377.85</v>
      </c>
      <c r="F623" s="1">
        <f>IFERROR(__xludf.DUMMYFUNCTION("""COMPUTED_VALUE"""),2.3361184E7)</f>
        <v>23361184</v>
      </c>
    </row>
    <row r="624">
      <c r="A624" s="2">
        <f>IFERROR(__xludf.DUMMYFUNCTION("""COMPUTED_VALUE"""),45254.54513888889)</f>
        <v>45254.54514</v>
      </c>
      <c r="B624" s="1">
        <f>IFERROR(__xludf.DUMMYFUNCTION("""COMPUTED_VALUE"""),377.33)</f>
        <v>377.33</v>
      </c>
      <c r="C624" s="1">
        <f>IFERROR(__xludf.DUMMYFUNCTION("""COMPUTED_VALUE"""),377.97)</f>
        <v>377.97</v>
      </c>
      <c r="D624" s="1">
        <f>IFERROR(__xludf.DUMMYFUNCTION("""COMPUTED_VALUE"""),375.14)</f>
        <v>375.14</v>
      </c>
      <c r="E624" s="1">
        <f>IFERROR(__xludf.DUMMYFUNCTION("""COMPUTED_VALUE"""),377.43)</f>
        <v>377.43</v>
      </c>
      <c r="F624" s="1">
        <f>IFERROR(__xludf.DUMMYFUNCTION("""COMPUTED_VALUE"""),1.0176649E7)</f>
        <v>10176649</v>
      </c>
    </row>
    <row r="625">
      <c r="A625" s="2">
        <f>IFERROR(__xludf.DUMMYFUNCTION("""COMPUTED_VALUE"""),45257.66666666667)</f>
        <v>45257.66667</v>
      </c>
      <c r="B625" s="1">
        <f>IFERROR(__xludf.DUMMYFUNCTION("""COMPUTED_VALUE"""),376.78)</f>
        <v>376.78</v>
      </c>
      <c r="C625" s="1">
        <f>IFERROR(__xludf.DUMMYFUNCTION("""COMPUTED_VALUE"""),380.64)</f>
        <v>380.64</v>
      </c>
      <c r="D625" s="1">
        <f>IFERROR(__xludf.DUMMYFUNCTION("""COMPUTED_VALUE"""),376.2)</f>
        <v>376.2</v>
      </c>
      <c r="E625" s="1">
        <f>IFERROR(__xludf.DUMMYFUNCTION("""COMPUTED_VALUE"""),378.61)</f>
        <v>378.61</v>
      </c>
      <c r="F625" s="1">
        <f>IFERROR(__xludf.DUMMYFUNCTION("""COMPUTED_VALUE"""),2.2179228E7)</f>
        <v>22179228</v>
      </c>
    </row>
    <row r="626">
      <c r="A626" s="2">
        <f>IFERROR(__xludf.DUMMYFUNCTION("""COMPUTED_VALUE"""),45258.66666666667)</f>
        <v>45258.66667</v>
      </c>
      <c r="B626" s="1">
        <f>IFERROR(__xludf.DUMMYFUNCTION("""COMPUTED_VALUE"""),378.35)</f>
        <v>378.35</v>
      </c>
      <c r="C626" s="1">
        <f>IFERROR(__xludf.DUMMYFUNCTION("""COMPUTED_VALUE"""),383.0)</f>
        <v>383</v>
      </c>
      <c r="D626" s="1">
        <f>IFERROR(__xludf.DUMMYFUNCTION("""COMPUTED_VALUE"""),378.16)</f>
        <v>378.16</v>
      </c>
      <c r="E626" s="1">
        <f>IFERROR(__xludf.DUMMYFUNCTION("""COMPUTED_VALUE"""),382.7)</f>
        <v>382.7</v>
      </c>
      <c r="F626" s="1">
        <f>IFERROR(__xludf.DUMMYFUNCTION("""COMPUTED_VALUE"""),2.0453112E7)</f>
        <v>20453112</v>
      </c>
    </row>
    <row r="627">
      <c r="A627" s="2">
        <f>IFERROR(__xludf.DUMMYFUNCTION("""COMPUTED_VALUE"""),45259.66666666667)</f>
        <v>45259.66667</v>
      </c>
      <c r="B627" s="1">
        <f>IFERROR(__xludf.DUMMYFUNCTION("""COMPUTED_VALUE"""),383.76)</f>
        <v>383.76</v>
      </c>
      <c r="C627" s="1">
        <f>IFERROR(__xludf.DUMMYFUNCTION("""COMPUTED_VALUE"""),384.3)</f>
        <v>384.3</v>
      </c>
      <c r="D627" s="1">
        <f>IFERROR(__xludf.DUMMYFUNCTION("""COMPUTED_VALUE"""),377.44)</f>
        <v>377.44</v>
      </c>
      <c r="E627" s="1">
        <f>IFERROR(__xludf.DUMMYFUNCTION("""COMPUTED_VALUE"""),378.85)</f>
        <v>378.85</v>
      </c>
      <c r="F627" s="1">
        <f>IFERROR(__xludf.DUMMYFUNCTION("""COMPUTED_VALUE"""),2.8963399E7)</f>
        <v>28963399</v>
      </c>
    </row>
    <row r="628">
      <c r="A628" s="2">
        <f>IFERROR(__xludf.DUMMYFUNCTION("""COMPUTED_VALUE"""),45260.66666666667)</f>
        <v>45260.66667</v>
      </c>
      <c r="B628" s="1">
        <f>IFERROR(__xludf.DUMMYFUNCTION("""COMPUTED_VALUE"""),378.49)</f>
        <v>378.49</v>
      </c>
      <c r="C628" s="1">
        <f>IFERROR(__xludf.DUMMYFUNCTION("""COMPUTED_VALUE"""),380.09)</f>
        <v>380.09</v>
      </c>
      <c r="D628" s="1">
        <f>IFERROR(__xludf.DUMMYFUNCTION("""COMPUTED_VALUE"""),375.47)</f>
        <v>375.47</v>
      </c>
      <c r="E628" s="1">
        <f>IFERROR(__xludf.DUMMYFUNCTION("""COMPUTED_VALUE"""),378.91)</f>
        <v>378.91</v>
      </c>
      <c r="F628" s="1">
        <f>IFERROR(__xludf.DUMMYFUNCTION("""COMPUTED_VALUE"""),3.0554415E7)</f>
        <v>30554415</v>
      </c>
    </row>
    <row r="629">
      <c r="A629" s="2">
        <f>IFERROR(__xludf.DUMMYFUNCTION("""COMPUTED_VALUE"""),45261.66666666667)</f>
        <v>45261.66667</v>
      </c>
      <c r="B629" s="1">
        <f>IFERROR(__xludf.DUMMYFUNCTION("""COMPUTED_VALUE"""),376.76)</f>
        <v>376.76</v>
      </c>
      <c r="C629" s="1">
        <f>IFERROR(__xludf.DUMMYFUNCTION("""COMPUTED_VALUE"""),378.16)</f>
        <v>378.16</v>
      </c>
      <c r="D629" s="1">
        <f>IFERROR(__xludf.DUMMYFUNCTION("""COMPUTED_VALUE"""),371.31)</f>
        <v>371.31</v>
      </c>
      <c r="E629" s="1">
        <f>IFERROR(__xludf.DUMMYFUNCTION("""COMPUTED_VALUE"""),374.51)</f>
        <v>374.51</v>
      </c>
      <c r="F629" s="1">
        <f>IFERROR(__xludf.DUMMYFUNCTION("""COMPUTED_VALUE"""),3.3040472E7)</f>
        <v>33040472</v>
      </c>
    </row>
    <row r="630">
      <c r="A630" s="2">
        <f>IFERROR(__xludf.DUMMYFUNCTION("""COMPUTED_VALUE"""),45264.66666666667)</f>
        <v>45264.66667</v>
      </c>
      <c r="B630" s="1">
        <f>IFERROR(__xludf.DUMMYFUNCTION("""COMPUTED_VALUE"""),369.1)</f>
        <v>369.1</v>
      </c>
      <c r="C630" s="1">
        <f>IFERROR(__xludf.DUMMYFUNCTION("""COMPUTED_VALUE"""),369.52)</f>
        <v>369.52</v>
      </c>
      <c r="D630" s="1">
        <f>IFERROR(__xludf.DUMMYFUNCTION("""COMPUTED_VALUE"""),362.9)</f>
        <v>362.9</v>
      </c>
      <c r="E630" s="1">
        <f>IFERROR(__xludf.DUMMYFUNCTION("""COMPUTED_VALUE"""),369.14)</f>
        <v>369.14</v>
      </c>
      <c r="F630" s="1">
        <f>IFERROR(__xludf.DUMMYFUNCTION("""COMPUTED_VALUE"""),3.2063305E7)</f>
        <v>32063305</v>
      </c>
    </row>
    <row r="631">
      <c r="A631" s="2">
        <f>IFERROR(__xludf.DUMMYFUNCTION("""COMPUTED_VALUE"""),45265.66666666667)</f>
        <v>45265.66667</v>
      </c>
      <c r="B631" s="1">
        <f>IFERROR(__xludf.DUMMYFUNCTION("""COMPUTED_VALUE"""),366.45)</f>
        <v>366.45</v>
      </c>
      <c r="C631" s="1">
        <f>IFERROR(__xludf.DUMMYFUNCTION("""COMPUTED_VALUE"""),373.08)</f>
        <v>373.08</v>
      </c>
      <c r="D631" s="1">
        <f>IFERROR(__xludf.DUMMYFUNCTION("""COMPUTED_VALUE"""),365.62)</f>
        <v>365.62</v>
      </c>
      <c r="E631" s="1">
        <f>IFERROR(__xludf.DUMMYFUNCTION("""COMPUTED_VALUE"""),372.52)</f>
        <v>372.52</v>
      </c>
      <c r="F631" s="1">
        <f>IFERROR(__xludf.DUMMYFUNCTION("""COMPUTED_VALUE"""),2.3065035E7)</f>
        <v>23065035</v>
      </c>
    </row>
    <row r="632">
      <c r="A632" s="2">
        <f>IFERROR(__xludf.DUMMYFUNCTION("""COMPUTED_VALUE"""),45266.66666666667)</f>
        <v>45266.66667</v>
      </c>
      <c r="B632" s="1">
        <f>IFERROR(__xludf.DUMMYFUNCTION("""COMPUTED_VALUE"""),373.54)</f>
        <v>373.54</v>
      </c>
      <c r="C632" s="1">
        <f>IFERROR(__xludf.DUMMYFUNCTION("""COMPUTED_VALUE"""),374.18)</f>
        <v>374.18</v>
      </c>
      <c r="D632" s="1">
        <f>IFERROR(__xludf.DUMMYFUNCTION("""COMPUTED_VALUE"""),368.03)</f>
        <v>368.03</v>
      </c>
      <c r="E632" s="1">
        <f>IFERROR(__xludf.DUMMYFUNCTION("""COMPUTED_VALUE"""),368.8)</f>
        <v>368.8</v>
      </c>
      <c r="F632" s="1">
        <f>IFERROR(__xludf.DUMMYFUNCTION("""COMPUTED_VALUE"""),2.1182072E7)</f>
        <v>21182072</v>
      </c>
    </row>
    <row r="633">
      <c r="A633" s="2">
        <f>IFERROR(__xludf.DUMMYFUNCTION("""COMPUTED_VALUE"""),45267.66666666667)</f>
        <v>45267.66667</v>
      </c>
      <c r="B633" s="1">
        <f>IFERROR(__xludf.DUMMYFUNCTION("""COMPUTED_VALUE"""),368.23)</f>
        <v>368.23</v>
      </c>
      <c r="C633" s="1">
        <f>IFERROR(__xludf.DUMMYFUNCTION("""COMPUTED_VALUE"""),371.45)</f>
        <v>371.45</v>
      </c>
      <c r="D633" s="1">
        <f>IFERROR(__xludf.DUMMYFUNCTION("""COMPUTED_VALUE"""),366.32)</f>
        <v>366.32</v>
      </c>
      <c r="E633" s="1">
        <f>IFERROR(__xludf.DUMMYFUNCTION("""COMPUTED_VALUE"""),370.95)</f>
        <v>370.95</v>
      </c>
      <c r="F633" s="1">
        <f>IFERROR(__xludf.DUMMYFUNCTION("""COMPUTED_VALUE"""),2.3118864E7)</f>
        <v>23118864</v>
      </c>
    </row>
    <row r="634">
      <c r="A634" s="2">
        <f>IFERROR(__xludf.DUMMYFUNCTION("""COMPUTED_VALUE"""),45268.66666666667)</f>
        <v>45268.66667</v>
      </c>
      <c r="B634" s="1">
        <f>IFERROR(__xludf.DUMMYFUNCTION("""COMPUTED_VALUE"""),369.2)</f>
        <v>369.2</v>
      </c>
      <c r="C634" s="1">
        <f>IFERROR(__xludf.DUMMYFUNCTION("""COMPUTED_VALUE"""),374.46)</f>
        <v>374.46</v>
      </c>
      <c r="D634" s="1">
        <f>IFERROR(__xludf.DUMMYFUNCTION("""COMPUTED_VALUE"""),368.23)</f>
        <v>368.23</v>
      </c>
      <c r="E634" s="1">
        <f>IFERROR(__xludf.DUMMYFUNCTION("""COMPUTED_VALUE"""),374.23)</f>
        <v>374.23</v>
      </c>
      <c r="F634" s="1">
        <f>IFERROR(__xludf.DUMMYFUNCTION("""COMPUTED_VALUE"""),2.0154366E7)</f>
        <v>20154366</v>
      </c>
    </row>
    <row r="635">
      <c r="A635" s="2">
        <f>IFERROR(__xludf.DUMMYFUNCTION("""COMPUTED_VALUE"""),45271.66666666667)</f>
        <v>45271.66667</v>
      </c>
      <c r="B635" s="1">
        <f>IFERROR(__xludf.DUMMYFUNCTION("""COMPUTED_VALUE"""),368.48)</f>
        <v>368.48</v>
      </c>
      <c r="C635" s="1">
        <f>IFERROR(__xludf.DUMMYFUNCTION("""COMPUTED_VALUE"""),371.6)</f>
        <v>371.6</v>
      </c>
      <c r="D635" s="1">
        <f>IFERROR(__xludf.DUMMYFUNCTION("""COMPUTED_VALUE"""),366.1)</f>
        <v>366.1</v>
      </c>
      <c r="E635" s="1">
        <f>IFERROR(__xludf.DUMMYFUNCTION("""COMPUTED_VALUE"""),371.3)</f>
        <v>371.3</v>
      </c>
      <c r="F635" s="1">
        <f>IFERROR(__xludf.DUMMYFUNCTION("""COMPUTED_VALUE"""),2.7708757E7)</f>
        <v>27708757</v>
      </c>
    </row>
    <row r="636">
      <c r="A636" s="2">
        <f>IFERROR(__xludf.DUMMYFUNCTION("""COMPUTED_VALUE"""),45272.66666666667)</f>
        <v>45272.66667</v>
      </c>
      <c r="B636" s="1">
        <f>IFERROR(__xludf.DUMMYFUNCTION("""COMPUTED_VALUE"""),370.85)</f>
        <v>370.85</v>
      </c>
      <c r="C636" s="1">
        <f>IFERROR(__xludf.DUMMYFUNCTION("""COMPUTED_VALUE"""),374.42)</f>
        <v>374.42</v>
      </c>
      <c r="D636" s="1">
        <f>IFERROR(__xludf.DUMMYFUNCTION("""COMPUTED_VALUE"""),370.46)</f>
        <v>370.46</v>
      </c>
      <c r="E636" s="1">
        <f>IFERROR(__xludf.DUMMYFUNCTION("""COMPUTED_VALUE"""),374.38)</f>
        <v>374.38</v>
      </c>
      <c r="F636" s="1">
        <f>IFERROR(__xludf.DUMMYFUNCTION("""COMPUTED_VALUE"""),2.4838253E7)</f>
        <v>24838253</v>
      </c>
    </row>
    <row r="637">
      <c r="A637" s="2">
        <f>IFERROR(__xludf.DUMMYFUNCTION("""COMPUTED_VALUE"""),45273.66666666667)</f>
        <v>45273.66667</v>
      </c>
      <c r="B637" s="1">
        <f>IFERROR(__xludf.DUMMYFUNCTION("""COMPUTED_VALUE"""),376.02)</f>
        <v>376.02</v>
      </c>
      <c r="C637" s="1">
        <f>IFERROR(__xludf.DUMMYFUNCTION("""COMPUTED_VALUE"""),377.64)</f>
        <v>377.64</v>
      </c>
      <c r="D637" s="1">
        <f>IFERROR(__xludf.DUMMYFUNCTION("""COMPUTED_VALUE"""),370.77)</f>
        <v>370.77</v>
      </c>
      <c r="E637" s="1">
        <f>IFERROR(__xludf.DUMMYFUNCTION("""COMPUTED_VALUE"""),374.37)</f>
        <v>374.37</v>
      </c>
      <c r="F637" s="1">
        <f>IFERROR(__xludf.DUMMYFUNCTION("""COMPUTED_VALUE"""),3.0955531E7)</f>
        <v>30955531</v>
      </c>
    </row>
    <row r="638">
      <c r="A638" s="2">
        <f>IFERROR(__xludf.DUMMYFUNCTION("""COMPUTED_VALUE"""),45274.66666666667)</f>
        <v>45274.66667</v>
      </c>
      <c r="B638" s="1">
        <f>IFERROR(__xludf.DUMMYFUNCTION("""COMPUTED_VALUE"""),373.31)</f>
        <v>373.31</v>
      </c>
      <c r="C638" s="1">
        <f>IFERROR(__xludf.DUMMYFUNCTION("""COMPUTED_VALUE"""),373.76)</f>
        <v>373.76</v>
      </c>
      <c r="D638" s="1">
        <f>IFERROR(__xludf.DUMMYFUNCTION("""COMPUTED_VALUE"""),364.13)</f>
        <v>364.13</v>
      </c>
      <c r="E638" s="1">
        <f>IFERROR(__xludf.DUMMYFUNCTION("""COMPUTED_VALUE"""),365.93)</f>
        <v>365.93</v>
      </c>
      <c r="F638" s="1">
        <f>IFERROR(__xludf.DUMMYFUNCTION("""COMPUTED_VALUE"""),4.3277461E7)</f>
        <v>43277461</v>
      </c>
    </row>
    <row r="639">
      <c r="A639" s="2">
        <f>IFERROR(__xludf.DUMMYFUNCTION("""COMPUTED_VALUE"""),45275.66666666667)</f>
        <v>45275.66667</v>
      </c>
      <c r="B639" s="1">
        <f>IFERROR(__xludf.DUMMYFUNCTION("""COMPUTED_VALUE"""),366.85)</f>
        <v>366.85</v>
      </c>
      <c r="C639" s="1">
        <f>IFERROR(__xludf.DUMMYFUNCTION("""COMPUTED_VALUE"""),372.4)</f>
        <v>372.4</v>
      </c>
      <c r="D639" s="1">
        <f>IFERROR(__xludf.DUMMYFUNCTION("""COMPUTED_VALUE"""),366.28)</f>
        <v>366.28</v>
      </c>
      <c r="E639" s="1">
        <f>IFERROR(__xludf.DUMMYFUNCTION("""COMPUTED_VALUE"""),370.73)</f>
        <v>370.73</v>
      </c>
      <c r="F639" s="1">
        <f>IFERROR(__xludf.DUMMYFUNCTION("""COMPUTED_VALUE"""),7.8502324E7)</f>
        <v>78502324</v>
      </c>
    </row>
    <row r="640">
      <c r="A640" s="2">
        <f>IFERROR(__xludf.DUMMYFUNCTION("""COMPUTED_VALUE"""),45278.66666666667)</f>
        <v>45278.66667</v>
      </c>
      <c r="B640" s="1">
        <f>IFERROR(__xludf.DUMMYFUNCTION("""COMPUTED_VALUE"""),369.45)</f>
        <v>369.45</v>
      </c>
      <c r="C640" s="1">
        <f>IFERROR(__xludf.DUMMYFUNCTION("""COMPUTED_VALUE"""),373.0)</f>
        <v>373</v>
      </c>
      <c r="D640" s="1">
        <f>IFERROR(__xludf.DUMMYFUNCTION("""COMPUTED_VALUE"""),368.68)</f>
        <v>368.68</v>
      </c>
      <c r="E640" s="1">
        <f>IFERROR(__xludf.DUMMYFUNCTION("""COMPUTED_VALUE"""),372.65)</f>
        <v>372.65</v>
      </c>
      <c r="F640" s="1">
        <f>IFERROR(__xludf.DUMMYFUNCTION("""COMPUTED_VALUE"""),2.1802878E7)</f>
        <v>21802878</v>
      </c>
    </row>
    <row r="641">
      <c r="A641" s="2">
        <f>IFERROR(__xludf.DUMMYFUNCTION("""COMPUTED_VALUE"""),45279.66666666667)</f>
        <v>45279.66667</v>
      </c>
      <c r="B641" s="1">
        <f>IFERROR(__xludf.DUMMYFUNCTION("""COMPUTED_VALUE"""),371.49)</f>
        <v>371.49</v>
      </c>
      <c r="C641" s="1">
        <f>IFERROR(__xludf.DUMMYFUNCTION("""COMPUTED_VALUE"""),373.26)</f>
        <v>373.26</v>
      </c>
      <c r="D641" s="1">
        <f>IFERROR(__xludf.DUMMYFUNCTION("""COMPUTED_VALUE"""),369.84)</f>
        <v>369.84</v>
      </c>
      <c r="E641" s="1">
        <f>IFERROR(__xludf.DUMMYFUNCTION("""COMPUTED_VALUE"""),373.26)</f>
        <v>373.26</v>
      </c>
      <c r="F641" s="1">
        <f>IFERROR(__xludf.DUMMYFUNCTION("""COMPUTED_VALUE"""),2.0603658E7)</f>
        <v>20603658</v>
      </c>
    </row>
    <row r="642">
      <c r="A642" s="2">
        <f>IFERROR(__xludf.DUMMYFUNCTION("""COMPUTED_VALUE"""),45280.66666666667)</f>
        <v>45280.66667</v>
      </c>
      <c r="B642" s="1">
        <f>IFERROR(__xludf.DUMMYFUNCTION("""COMPUTED_VALUE"""),375.0)</f>
        <v>375</v>
      </c>
      <c r="C642" s="1">
        <f>IFERROR(__xludf.DUMMYFUNCTION("""COMPUTED_VALUE"""),376.03)</f>
        <v>376.03</v>
      </c>
      <c r="D642" s="1">
        <f>IFERROR(__xludf.DUMMYFUNCTION("""COMPUTED_VALUE"""),370.53)</f>
        <v>370.53</v>
      </c>
      <c r="E642" s="1">
        <f>IFERROR(__xludf.DUMMYFUNCTION("""COMPUTED_VALUE"""),370.62)</f>
        <v>370.62</v>
      </c>
      <c r="F642" s="1">
        <f>IFERROR(__xludf.DUMMYFUNCTION("""COMPUTED_VALUE"""),2.631665E7)</f>
        <v>26316650</v>
      </c>
    </row>
    <row r="643">
      <c r="A643" s="2">
        <f>IFERROR(__xludf.DUMMYFUNCTION("""COMPUTED_VALUE"""),45281.66666666667)</f>
        <v>45281.66667</v>
      </c>
      <c r="B643" s="1">
        <f>IFERROR(__xludf.DUMMYFUNCTION("""COMPUTED_VALUE"""),372.56)</f>
        <v>372.56</v>
      </c>
      <c r="C643" s="1">
        <f>IFERROR(__xludf.DUMMYFUNCTION("""COMPUTED_VALUE"""),374.41)</f>
        <v>374.41</v>
      </c>
      <c r="D643" s="1">
        <f>IFERROR(__xludf.DUMMYFUNCTION("""COMPUTED_VALUE"""),370.04)</f>
        <v>370.04</v>
      </c>
      <c r="E643" s="1">
        <f>IFERROR(__xludf.DUMMYFUNCTION("""COMPUTED_VALUE"""),373.54)</f>
        <v>373.54</v>
      </c>
      <c r="F643" s="1">
        <f>IFERROR(__xludf.DUMMYFUNCTION("""COMPUTED_VALUE"""),1.7708006E7)</f>
        <v>17708006</v>
      </c>
    </row>
    <row r="644">
      <c r="A644" s="2">
        <f>IFERROR(__xludf.DUMMYFUNCTION("""COMPUTED_VALUE"""),45282.66666666667)</f>
        <v>45282.66667</v>
      </c>
      <c r="B644" s="1">
        <f>IFERROR(__xludf.DUMMYFUNCTION("""COMPUTED_VALUE"""),373.68)</f>
        <v>373.68</v>
      </c>
      <c r="C644" s="1">
        <f>IFERROR(__xludf.DUMMYFUNCTION("""COMPUTED_VALUE"""),375.18)</f>
        <v>375.18</v>
      </c>
      <c r="D644" s="1">
        <f>IFERROR(__xludf.DUMMYFUNCTION("""COMPUTED_VALUE"""),372.71)</f>
        <v>372.71</v>
      </c>
      <c r="E644" s="1">
        <f>IFERROR(__xludf.DUMMYFUNCTION("""COMPUTED_VALUE"""),374.58)</f>
        <v>374.58</v>
      </c>
      <c r="F644" s="1">
        <f>IFERROR(__xludf.DUMMYFUNCTION("""COMPUTED_VALUE"""),1.7107484E7)</f>
        <v>17107484</v>
      </c>
    </row>
    <row r="645">
      <c r="A645" s="2">
        <f>IFERROR(__xludf.DUMMYFUNCTION("""COMPUTED_VALUE"""),45286.66666666667)</f>
        <v>45286.66667</v>
      </c>
      <c r="B645" s="1">
        <f>IFERROR(__xludf.DUMMYFUNCTION("""COMPUTED_VALUE"""),375.0)</f>
        <v>375</v>
      </c>
      <c r="C645" s="1">
        <f>IFERROR(__xludf.DUMMYFUNCTION("""COMPUTED_VALUE"""),376.94)</f>
        <v>376.94</v>
      </c>
      <c r="D645" s="1">
        <f>IFERROR(__xludf.DUMMYFUNCTION("""COMPUTED_VALUE"""),373.5)</f>
        <v>373.5</v>
      </c>
      <c r="E645" s="1">
        <f>IFERROR(__xludf.DUMMYFUNCTION("""COMPUTED_VALUE"""),374.66)</f>
        <v>374.66</v>
      </c>
      <c r="F645" s="1">
        <f>IFERROR(__xludf.DUMMYFUNCTION("""COMPUTED_VALUE"""),1.267305E7)</f>
        <v>12673050</v>
      </c>
    </row>
    <row r="646">
      <c r="A646" s="2">
        <f>IFERROR(__xludf.DUMMYFUNCTION("""COMPUTED_VALUE"""),45287.66666666667)</f>
        <v>45287.66667</v>
      </c>
      <c r="B646" s="1">
        <f>IFERROR(__xludf.DUMMYFUNCTION("""COMPUTED_VALUE"""),373.69)</f>
        <v>373.69</v>
      </c>
      <c r="C646" s="1">
        <f>IFERROR(__xludf.DUMMYFUNCTION("""COMPUTED_VALUE"""),375.06)</f>
        <v>375.06</v>
      </c>
      <c r="D646" s="1">
        <f>IFERROR(__xludf.DUMMYFUNCTION("""COMPUTED_VALUE"""),372.81)</f>
        <v>372.81</v>
      </c>
      <c r="E646" s="1">
        <f>IFERROR(__xludf.DUMMYFUNCTION("""COMPUTED_VALUE"""),374.07)</f>
        <v>374.07</v>
      </c>
      <c r="F646" s="1">
        <f>IFERROR(__xludf.DUMMYFUNCTION("""COMPUTED_VALUE"""),1.4905412E7)</f>
        <v>14905412</v>
      </c>
    </row>
    <row r="647">
      <c r="A647" s="2">
        <f>IFERROR(__xludf.DUMMYFUNCTION("""COMPUTED_VALUE"""),45288.66666666667)</f>
        <v>45288.66667</v>
      </c>
      <c r="B647" s="1">
        <f>IFERROR(__xludf.DUMMYFUNCTION("""COMPUTED_VALUE"""),375.37)</f>
        <v>375.37</v>
      </c>
      <c r="C647" s="1">
        <f>IFERROR(__xludf.DUMMYFUNCTION("""COMPUTED_VALUE"""),376.46)</f>
        <v>376.46</v>
      </c>
      <c r="D647" s="1">
        <f>IFERROR(__xludf.DUMMYFUNCTION("""COMPUTED_VALUE"""),374.16)</f>
        <v>374.16</v>
      </c>
      <c r="E647" s="1">
        <f>IFERROR(__xludf.DUMMYFUNCTION("""COMPUTED_VALUE"""),375.28)</f>
        <v>375.28</v>
      </c>
      <c r="F647" s="1">
        <f>IFERROR(__xludf.DUMMYFUNCTION("""COMPUTED_VALUE"""),1.4327013E7)</f>
        <v>14327013</v>
      </c>
    </row>
    <row r="648">
      <c r="A648" s="2">
        <f>IFERROR(__xludf.DUMMYFUNCTION("""COMPUTED_VALUE"""),45289.66666666667)</f>
        <v>45289.66667</v>
      </c>
      <c r="B648" s="1">
        <f>IFERROR(__xludf.DUMMYFUNCTION("""COMPUTED_VALUE"""),376.0)</f>
        <v>376</v>
      </c>
      <c r="C648" s="1">
        <f>IFERROR(__xludf.DUMMYFUNCTION("""COMPUTED_VALUE"""),377.16)</f>
        <v>377.16</v>
      </c>
      <c r="D648" s="1">
        <f>IFERROR(__xludf.DUMMYFUNCTION("""COMPUTED_VALUE"""),373.48)</f>
        <v>373.48</v>
      </c>
      <c r="E648" s="1">
        <f>IFERROR(__xludf.DUMMYFUNCTION("""COMPUTED_VALUE"""),376.04)</f>
        <v>376.04</v>
      </c>
      <c r="F648" s="1">
        <f>IFERROR(__xludf.DUMMYFUNCTION("""COMPUTED_VALUE"""),1.8730838E7)</f>
        <v>18730838</v>
      </c>
    </row>
    <row r="649">
      <c r="A649" s="2">
        <f>IFERROR(__xludf.DUMMYFUNCTION("""COMPUTED_VALUE"""),45293.66666666667)</f>
        <v>45293.66667</v>
      </c>
      <c r="B649" s="1">
        <f>IFERROR(__xludf.DUMMYFUNCTION("""COMPUTED_VALUE"""),373.86)</f>
        <v>373.86</v>
      </c>
      <c r="C649" s="1">
        <f>IFERROR(__xludf.DUMMYFUNCTION("""COMPUTED_VALUE"""),375.9)</f>
        <v>375.9</v>
      </c>
      <c r="D649" s="1">
        <f>IFERROR(__xludf.DUMMYFUNCTION("""COMPUTED_VALUE"""),366.77)</f>
        <v>366.77</v>
      </c>
      <c r="E649" s="1">
        <f>IFERROR(__xludf.DUMMYFUNCTION("""COMPUTED_VALUE"""),370.87)</f>
        <v>370.87</v>
      </c>
      <c r="F649" s="1">
        <f>IFERROR(__xludf.DUMMYFUNCTION("""COMPUTED_VALUE"""),2.5258633E7)</f>
        <v>25258633</v>
      </c>
    </row>
    <row r="650">
      <c r="A650" s="2">
        <f>IFERROR(__xludf.DUMMYFUNCTION("""COMPUTED_VALUE"""),45294.66666666667)</f>
        <v>45294.66667</v>
      </c>
      <c r="B650" s="1">
        <f>IFERROR(__xludf.DUMMYFUNCTION("""COMPUTED_VALUE"""),369.01)</f>
        <v>369.01</v>
      </c>
      <c r="C650" s="1">
        <f>IFERROR(__xludf.DUMMYFUNCTION("""COMPUTED_VALUE"""),373.26)</f>
        <v>373.26</v>
      </c>
      <c r="D650" s="1">
        <f>IFERROR(__xludf.DUMMYFUNCTION("""COMPUTED_VALUE"""),368.51)</f>
        <v>368.51</v>
      </c>
      <c r="E650" s="1">
        <f>IFERROR(__xludf.DUMMYFUNCTION("""COMPUTED_VALUE"""),370.6)</f>
        <v>370.6</v>
      </c>
      <c r="F650" s="1">
        <f>IFERROR(__xludf.DUMMYFUNCTION("""COMPUTED_VALUE"""),2.3083465E7)</f>
        <v>23083465</v>
      </c>
    </row>
    <row r="651">
      <c r="A651" s="2">
        <f>IFERROR(__xludf.DUMMYFUNCTION("""COMPUTED_VALUE"""),45295.66666666667)</f>
        <v>45295.66667</v>
      </c>
      <c r="B651" s="1">
        <f>IFERROR(__xludf.DUMMYFUNCTION("""COMPUTED_VALUE"""),370.67)</f>
        <v>370.67</v>
      </c>
      <c r="C651" s="1">
        <f>IFERROR(__xludf.DUMMYFUNCTION("""COMPUTED_VALUE"""),373.1)</f>
        <v>373.1</v>
      </c>
      <c r="D651" s="1">
        <f>IFERROR(__xludf.DUMMYFUNCTION("""COMPUTED_VALUE"""),367.17)</f>
        <v>367.17</v>
      </c>
      <c r="E651" s="1">
        <f>IFERROR(__xludf.DUMMYFUNCTION("""COMPUTED_VALUE"""),367.94)</f>
        <v>367.94</v>
      </c>
      <c r="F651" s="1">
        <f>IFERROR(__xludf.DUMMYFUNCTION("""COMPUTED_VALUE"""),2.0901502E7)</f>
        <v>20901502</v>
      </c>
    </row>
    <row r="652">
      <c r="A652" s="2">
        <f>IFERROR(__xludf.DUMMYFUNCTION("""COMPUTED_VALUE"""),45296.66666666667)</f>
        <v>45296.66667</v>
      </c>
      <c r="B652" s="1">
        <f>IFERROR(__xludf.DUMMYFUNCTION("""COMPUTED_VALUE"""),368.97)</f>
        <v>368.97</v>
      </c>
      <c r="C652" s="1">
        <f>IFERROR(__xludf.DUMMYFUNCTION("""COMPUTED_VALUE"""),372.06)</f>
        <v>372.06</v>
      </c>
      <c r="D652" s="1">
        <f>IFERROR(__xludf.DUMMYFUNCTION("""COMPUTED_VALUE"""),366.5)</f>
        <v>366.5</v>
      </c>
      <c r="E652" s="1">
        <f>IFERROR(__xludf.DUMMYFUNCTION("""COMPUTED_VALUE"""),367.75)</f>
        <v>367.75</v>
      </c>
      <c r="F652" s="1">
        <f>IFERROR(__xludf.DUMMYFUNCTION("""COMPUTED_VALUE"""),2.1004575E7)</f>
        <v>21004575</v>
      </c>
    </row>
    <row r="653">
      <c r="A653" s="2">
        <f>IFERROR(__xludf.DUMMYFUNCTION("""COMPUTED_VALUE"""),45299.66666666667)</f>
        <v>45299.66667</v>
      </c>
      <c r="B653" s="1">
        <f>IFERROR(__xludf.DUMMYFUNCTION("""COMPUTED_VALUE"""),369.3)</f>
        <v>369.3</v>
      </c>
      <c r="C653" s="1">
        <f>IFERROR(__xludf.DUMMYFUNCTION("""COMPUTED_VALUE"""),375.2)</f>
        <v>375.2</v>
      </c>
      <c r="D653" s="1">
        <f>IFERROR(__xludf.DUMMYFUNCTION("""COMPUTED_VALUE"""),369.01)</f>
        <v>369.01</v>
      </c>
      <c r="E653" s="1">
        <f>IFERROR(__xludf.DUMMYFUNCTION("""COMPUTED_VALUE"""),374.69)</f>
        <v>374.69</v>
      </c>
      <c r="F653" s="1">
        <f>IFERROR(__xludf.DUMMYFUNCTION("""COMPUTED_VALUE"""),2.3133967E7)</f>
        <v>23133967</v>
      </c>
    </row>
    <row r="654">
      <c r="A654" s="2">
        <f>IFERROR(__xludf.DUMMYFUNCTION("""COMPUTED_VALUE"""),45300.66666666667)</f>
        <v>45300.66667</v>
      </c>
      <c r="B654" s="1">
        <f>IFERROR(__xludf.DUMMYFUNCTION("""COMPUTED_VALUE"""),372.01)</f>
        <v>372.01</v>
      </c>
      <c r="C654" s="1">
        <f>IFERROR(__xludf.DUMMYFUNCTION("""COMPUTED_VALUE"""),375.99)</f>
        <v>375.99</v>
      </c>
      <c r="D654" s="1">
        <f>IFERROR(__xludf.DUMMYFUNCTION("""COMPUTED_VALUE"""),371.19)</f>
        <v>371.19</v>
      </c>
      <c r="E654" s="1">
        <f>IFERROR(__xludf.DUMMYFUNCTION("""COMPUTED_VALUE"""),375.79)</f>
        <v>375.79</v>
      </c>
      <c r="F654" s="1">
        <f>IFERROR(__xludf.DUMMYFUNCTION("""COMPUTED_VALUE"""),2.0829953E7)</f>
        <v>20829953</v>
      </c>
    </row>
    <row r="655">
      <c r="A655" s="2">
        <f>IFERROR(__xludf.DUMMYFUNCTION("""COMPUTED_VALUE"""),45301.66666666667)</f>
        <v>45301.66667</v>
      </c>
      <c r="B655" s="1">
        <f>IFERROR(__xludf.DUMMYFUNCTION("""COMPUTED_VALUE"""),376.37)</f>
        <v>376.37</v>
      </c>
      <c r="C655" s="1">
        <f>IFERROR(__xludf.DUMMYFUNCTION("""COMPUTED_VALUE"""),384.17)</f>
        <v>384.17</v>
      </c>
      <c r="D655" s="1">
        <f>IFERROR(__xludf.DUMMYFUNCTION("""COMPUTED_VALUE"""),376.32)</f>
        <v>376.32</v>
      </c>
      <c r="E655" s="1">
        <f>IFERROR(__xludf.DUMMYFUNCTION("""COMPUTED_VALUE"""),382.77)</f>
        <v>382.77</v>
      </c>
      <c r="F655" s="1">
        <f>IFERROR(__xludf.DUMMYFUNCTION("""COMPUTED_VALUE"""),2.5514245E7)</f>
        <v>25514245</v>
      </c>
    </row>
    <row r="656">
      <c r="A656" s="2">
        <f>IFERROR(__xludf.DUMMYFUNCTION("""COMPUTED_VALUE"""),45302.66666666667)</f>
        <v>45302.66667</v>
      </c>
      <c r="B656" s="1">
        <f>IFERROR(__xludf.DUMMYFUNCTION("""COMPUTED_VALUE"""),386.0)</f>
        <v>386</v>
      </c>
      <c r="C656" s="1">
        <f>IFERROR(__xludf.DUMMYFUNCTION("""COMPUTED_VALUE"""),390.68)</f>
        <v>390.68</v>
      </c>
      <c r="D656" s="1">
        <f>IFERROR(__xludf.DUMMYFUNCTION("""COMPUTED_VALUE"""),380.38)</f>
        <v>380.38</v>
      </c>
      <c r="E656" s="1">
        <f>IFERROR(__xludf.DUMMYFUNCTION("""COMPUTED_VALUE"""),384.63)</f>
        <v>384.63</v>
      </c>
      <c r="F656" s="1">
        <f>IFERROR(__xludf.DUMMYFUNCTION("""COMPUTED_VALUE"""),2.7850846E7)</f>
        <v>27850846</v>
      </c>
    </row>
    <row r="657">
      <c r="A657" s="2">
        <f>IFERROR(__xludf.DUMMYFUNCTION("""COMPUTED_VALUE"""),45303.66666666667)</f>
        <v>45303.66667</v>
      </c>
      <c r="B657" s="1">
        <f>IFERROR(__xludf.DUMMYFUNCTION("""COMPUTED_VALUE"""),385.49)</f>
        <v>385.49</v>
      </c>
      <c r="C657" s="1">
        <f>IFERROR(__xludf.DUMMYFUNCTION("""COMPUTED_VALUE"""),388.68)</f>
        <v>388.68</v>
      </c>
      <c r="D657" s="1">
        <f>IFERROR(__xludf.DUMMYFUNCTION("""COMPUTED_VALUE"""),384.65)</f>
        <v>384.65</v>
      </c>
      <c r="E657" s="1">
        <f>IFERROR(__xludf.DUMMYFUNCTION("""COMPUTED_VALUE"""),388.47)</f>
        <v>388.47</v>
      </c>
      <c r="F657" s="1">
        <f>IFERROR(__xludf.DUMMYFUNCTION("""COMPUTED_VALUE"""),2.1661153E7)</f>
        <v>21661153</v>
      </c>
    </row>
    <row r="658">
      <c r="A658" s="2">
        <f>IFERROR(__xludf.DUMMYFUNCTION("""COMPUTED_VALUE"""),45307.66666666667)</f>
        <v>45307.66667</v>
      </c>
      <c r="B658" s="1">
        <f>IFERROR(__xludf.DUMMYFUNCTION("""COMPUTED_VALUE"""),393.66)</f>
        <v>393.66</v>
      </c>
      <c r="C658" s="1">
        <f>IFERROR(__xludf.DUMMYFUNCTION("""COMPUTED_VALUE"""),394.03)</f>
        <v>394.03</v>
      </c>
      <c r="D658" s="1">
        <f>IFERROR(__xludf.DUMMYFUNCTION("""COMPUTED_VALUE"""),387.62)</f>
        <v>387.62</v>
      </c>
      <c r="E658" s="1">
        <f>IFERROR(__xludf.DUMMYFUNCTION("""COMPUTED_VALUE"""),390.27)</f>
        <v>390.27</v>
      </c>
      <c r="F658" s="1">
        <f>IFERROR(__xludf.DUMMYFUNCTION("""COMPUTED_VALUE"""),2.7202268E7)</f>
        <v>27202268</v>
      </c>
    </row>
    <row r="659">
      <c r="A659" s="2">
        <f>IFERROR(__xludf.DUMMYFUNCTION("""COMPUTED_VALUE"""),45308.66666666667)</f>
        <v>45308.66667</v>
      </c>
      <c r="B659" s="1">
        <f>IFERROR(__xludf.DUMMYFUNCTION("""COMPUTED_VALUE"""),387.98)</f>
        <v>387.98</v>
      </c>
      <c r="C659" s="1">
        <f>IFERROR(__xludf.DUMMYFUNCTION("""COMPUTED_VALUE"""),390.11)</f>
        <v>390.11</v>
      </c>
      <c r="D659" s="1">
        <f>IFERROR(__xludf.DUMMYFUNCTION("""COMPUTED_VALUE"""),384.81)</f>
        <v>384.81</v>
      </c>
      <c r="E659" s="1">
        <f>IFERROR(__xludf.DUMMYFUNCTION("""COMPUTED_VALUE"""),389.47)</f>
        <v>389.47</v>
      </c>
      <c r="F659" s="1">
        <f>IFERROR(__xludf.DUMMYFUNCTION("""COMPUTED_VALUE"""),2.2234108E7)</f>
        <v>22234108</v>
      </c>
    </row>
    <row r="660">
      <c r="A660" s="2">
        <f>IFERROR(__xludf.DUMMYFUNCTION("""COMPUTED_VALUE"""),45309.66666666667)</f>
        <v>45309.66667</v>
      </c>
      <c r="B660" s="1">
        <f>IFERROR(__xludf.DUMMYFUNCTION("""COMPUTED_VALUE"""),391.72)</f>
        <v>391.72</v>
      </c>
      <c r="C660" s="1">
        <f>IFERROR(__xludf.DUMMYFUNCTION("""COMPUTED_VALUE"""),393.99)</f>
        <v>393.99</v>
      </c>
      <c r="D660" s="1">
        <f>IFERROR(__xludf.DUMMYFUNCTION("""COMPUTED_VALUE"""),390.12)</f>
        <v>390.12</v>
      </c>
      <c r="E660" s="1">
        <f>IFERROR(__xludf.DUMMYFUNCTION("""COMPUTED_VALUE"""),393.87)</f>
        <v>393.87</v>
      </c>
      <c r="F660" s="1">
        <f>IFERROR(__xludf.DUMMYFUNCTION("""COMPUTED_VALUE"""),2.3392068E7)</f>
        <v>23392068</v>
      </c>
    </row>
    <row r="661">
      <c r="A661" s="2">
        <f>IFERROR(__xludf.DUMMYFUNCTION("""COMPUTED_VALUE"""),45310.66666666667)</f>
        <v>45310.66667</v>
      </c>
      <c r="B661" s="1">
        <f>IFERROR(__xludf.DUMMYFUNCTION("""COMPUTED_VALUE"""),395.76)</f>
        <v>395.76</v>
      </c>
      <c r="C661" s="1">
        <f>IFERROR(__xludf.DUMMYFUNCTION("""COMPUTED_VALUE"""),398.67)</f>
        <v>398.67</v>
      </c>
      <c r="D661" s="1">
        <f>IFERROR(__xludf.DUMMYFUNCTION("""COMPUTED_VALUE"""),393.5)</f>
        <v>393.5</v>
      </c>
      <c r="E661" s="1">
        <f>IFERROR(__xludf.DUMMYFUNCTION("""COMPUTED_VALUE"""),398.67)</f>
        <v>398.67</v>
      </c>
      <c r="F661" s="1">
        <f>IFERROR(__xludf.DUMMYFUNCTION("""COMPUTED_VALUE"""),2.9331136E7)</f>
        <v>29331136</v>
      </c>
    </row>
    <row r="662">
      <c r="A662" s="2">
        <f>IFERROR(__xludf.DUMMYFUNCTION("""COMPUTED_VALUE"""),45313.66666666667)</f>
        <v>45313.66667</v>
      </c>
      <c r="B662" s="1">
        <f>IFERROR(__xludf.DUMMYFUNCTION("""COMPUTED_VALUE"""),400.02)</f>
        <v>400.02</v>
      </c>
      <c r="C662" s="1">
        <f>IFERROR(__xludf.DUMMYFUNCTION("""COMPUTED_VALUE"""),400.62)</f>
        <v>400.62</v>
      </c>
      <c r="D662" s="1">
        <f>IFERROR(__xludf.DUMMYFUNCTION("""COMPUTED_VALUE"""),393.59)</f>
        <v>393.59</v>
      </c>
      <c r="E662" s="1">
        <f>IFERROR(__xludf.DUMMYFUNCTION("""COMPUTED_VALUE"""),396.51)</f>
        <v>396.51</v>
      </c>
      <c r="F662" s="1">
        <f>IFERROR(__xludf.DUMMYFUNCTION("""COMPUTED_VALUE"""),2.7016902E7)</f>
        <v>27016902</v>
      </c>
    </row>
    <row r="663">
      <c r="A663" s="2">
        <f>IFERROR(__xludf.DUMMYFUNCTION("""COMPUTED_VALUE"""),45314.66666666667)</f>
        <v>45314.66667</v>
      </c>
      <c r="B663" s="1">
        <f>IFERROR(__xludf.DUMMYFUNCTION("""COMPUTED_VALUE"""),395.75)</f>
        <v>395.75</v>
      </c>
      <c r="C663" s="1">
        <f>IFERROR(__xludf.DUMMYFUNCTION("""COMPUTED_VALUE"""),399.38)</f>
        <v>399.38</v>
      </c>
      <c r="D663" s="1">
        <f>IFERROR(__xludf.DUMMYFUNCTION("""COMPUTED_VALUE"""),393.93)</f>
        <v>393.93</v>
      </c>
      <c r="E663" s="1">
        <f>IFERROR(__xludf.DUMMYFUNCTION("""COMPUTED_VALUE"""),398.9)</f>
        <v>398.9</v>
      </c>
      <c r="F663" s="1">
        <f>IFERROR(__xludf.DUMMYFUNCTION("""COMPUTED_VALUE"""),2.0525882E7)</f>
        <v>20525882</v>
      </c>
    </row>
    <row r="664">
      <c r="A664" s="2">
        <f>IFERROR(__xludf.DUMMYFUNCTION("""COMPUTED_VALUE"""),45315.66666666667)</f>
        <v>45315.66667</v>
      </c>
      <c r="B664" s="1">
        <f>IFERROR(__xludf.DUMMYFUNCTION("""COMPUTED_VALUE"""),401.54)</f>
        <v>401.54</v>
      </c>
      <c r="C664" s="1">
        <f>IFERROR(__xludf.DUMMYFUNCTION("""COMPUTED_VALUE"""),405.63)</f>
        <v>405.63</v>
      </c>
      <c r="D664" s="1">
        <f>IFERROR(__xludf.DUMMYFUNCTION("""COMPUTED_VALUE"""),400.45)</f>
        <v>400.45</v>
      </c>
      <c r="E664" s="1">
        <f>IFERROR(__xludf.DUMMYFUNCTION("""COMPUTED_VALUE"""),402.56)</f>
        <v>402.56</v>
      </c>
      <c r="F664" s="1">
        <f>IFERROR(__xludf.DUMMYFUNCTION("""COMPUTED_VALUE"""),2.4866953E7)</f>
        <v>24866953</v>
      </c>
    </row>
    <row r="665">
      <c r="A665" s="2">
        <f>IFERROR(__xludf.DUMMYFUNCTION("""COMPUTED_VALUE"""),45316.66666666667)</f>
        <v>45316.66667</v>
      </c>
      <c r="B665" s="1">
        <f>IFERROR(__xludf.DUMMYFUNCTION("""COMPUTED_VALUE"""),404.32)</f>
        <v>404.32</v>
      </c>
      <c r="C665" s="1">
        <f>IFERROR(__xludf.DUMMYFUNCTION("""COMPUTED_VALUE"""),407.01)</f>
        <v>407.01</v>
      </c>
      <c r="D665" s="1">
        <f>IFERROR(__xludf.DUMMYFUNCTION("""COMPUTED_VALUE"""),402.53)</f>
        <v>402.53</v>
      </c>
      <c r="E665" s="1">
        <f>IFERROR(__xludf.DUMMYFUNCTION("""COMPUTED_VALUE"""),404.87)</f>
        <v>404.87</v>
      </c>
      <c r="F665" s="1">
        <f>IFERROR(__xludf.DUMMYFUNCTION("""COMPUTED_VALUE"""),2.1021155E7)</f>
        <v>21021155</v>
      </c>
    </row>
    <row r="666">
      <c r="A666" s="2">
        <f>IFERROR(__xludf.DUMMYFUNCTION("""COMPUTED_VALUE"""),45317.66666666667)</f>
        <v>45317.66667</v>
      </c>
      <c r="B666" s="1">
        <f>IFERROR(__xludf.DUMMYFUNCTION("""COMPUTED_VALUE"""),404.37)</f>
        <v>404.37</v>
      </c>
      <c r="C666" s="1">
        <f>IFERROR(__xludf.DUMMYFUNCTION("""COMPUTED_VALUE"""),406.17)</f>
        <v>406.17</v>
      </c>
      <c r="D666" s="1">
        <f>IFERROR(__xludf.DUMMYFUNCTION("""COMPUTED_VALUE"""),402.43)</f>
        <v>402.43</v>
      </c>
      <c r="E666" s="1">
        <f>IFERROR(__xludf.DUMMYFUNCTION("""COMPUTED_VALUE"""),403.93)</f>
        <v>403.93</v>
      </c>
      <c r="F666" s="1">
        <f>IFERROR(__xludf.DUMMYFUNCTION("""COMPUTED_VALUE"""),1.7803271E7)</f>
        <v>17803271</v>
      </c>
    </row>
    <row r="667">
      <c r="A667" s="2">
        <f>IFERROR(__xludf.DUMMYFUNCTION("""COMPUTED_VALUE"""),45320.66666666667)</f>
        <v>45320.66667</v>
      </c>
      <c r="B667" s="1">
        <f>IFERROR(__xludf.DUMMYFUNCTION("""COMPUTED_VALUE"""),406.06)</f>
        <v>406.06</v>
      </c>
      <c r="C667" s="1">
        <f>IFERROR(__xludf.DUMMYFUNCTION("""COMPUTED_VALUE"""),409.98)</f>
        <v>409.98</v>
      </c>
      <c r="D667" s="1">
        <f>IFERROR(__xludf.DUMMYFUNCTION("""COMPUTED_VALUE"""),404.33)</f>
        <v>404.33</v>
      </c>
      <c r="E667" s="1">
        <f>IFERROR(__xludf.DUMMYFUNCTION("""COMPUTED_VALUE"""),409.72)</f>
        <v>409.72</v>
      </c>
      <c r="F667" s="1">
        <f>IFERROR(__xludf.DUMMYFUNCTION("""COMPUTED_VALUE"""),2.4510236E7)</f>
        <v>24510236</v>
      </c>
    </row>
    <row r="668">
      <c r="A668" s="2">
        <f>IFERROR(__xludf.DUMMYFUNCTION("""COMPUTED_VALUE"""),45321.66666666667)</f>
        <v>45321.66667</v>
      </c>
      <c r="B668" s="1">
        <f>IFERROR(__xludf.DUMMYFUNCTION("""COMPUTED_VALUE"""),412.26)</f>
        <v>412.26</v>
      </c>
      <c r="C668" s="1">
        <f>IFERROR(__xludf.DUMMYFUNCTION("""COMPUTED_VALUE"""),413.05)</f>
        <v>413.05</v>
      </c>
      <c r="D668" s="1">
        <f>IFERROR(__xludf.DUMMYFUNCTION("""COMPUTED_VALUE"""),406.45)</f>
        <v>406.45</v>
      </c>
      <c r="E668" s="1">
        <f>IFERROR(__xludf.DUMMYFUNCTION("""COMPUTED_VALUE"""),408.59)</f>
        <v>408.59</v>
      </c>
      <c r="F668" s="1">
        <f>IFERROR(__xludf.DUMMYFUNCTION("""COMPUTED_VALUE"""),3.347761E7)</f>
        <v>33477610</v>
      </c>
    </row>
    <row r="669">
      <c r="A669" s="2">
        <f>IFERROR(__xludf.DUMMYFUNCTION("""COMPUTED_VALUE"""),45322.66666666667)</f>
        <v>45322.66667</v>
      </c>
      <c r="B669" s="1">
        <f>IFERROR(__xludf.DUMMYFUNCTION("""COMPUTED_VALUE"""),406.96)</f>
        <v>406.96</v>
      </c>
      <c r="C669" s="1">
        <f>IFERROR(__xludf.DUMMYFUNCTION("""COMPUTED_VALUE"""),415.32)</f>
        <v>415.32</v>
      </c>
      <c r="D669" s="1">
        <f>IFERROR(__xludf.DUMMYFUNCTION("""COMPUTED_VALUE"""),397.21)</f>
        <v>397.21</v>
      </c>
      <c r="E669" s="1">
        <f>IFERROR(__xludf.DUMMYFUNCTION("""COMPUTED_VALUE"""),397.58)</f>
        <v>397.58</v>
      </c>
      <c r="F669" s="1">
        <f>IFERROR(__xludf.DUMMYFUNCTION("""COMPUTED_VALUE"""),4.7871097E7)</f>
        <v>47871097</v>
      </c>
    </row>
    <row r="670">
      <c r="A670" s="2">
        <f>IFERROR(__xludf.DUMMYFUNCTION("""COMPUTED_VALUE"""),45323.66666666667)</f>
        <v>45323.66667</v>
      </c>
      <c r="B670" s="1">
        <f>IFERROR(__xludf.DUMMYFUNCTION("""COMPUTED_VALUE"""),401.83)</f>
        <v>401.83</v>
      </c>
      <c r="C670" s="1">
        <f>IFERROR(__xludf.DUMMYFUNCTION("""COMPUTED_VALUE"""),408.0)</f>
        <v>408</v>
      </c>
      <c r="D670" s="1">
        <f>IFERROR(__xludf.DUMMYFUNCTION("""COMPUTED_VALUE"""),401.8)</f>
        <v>401.8</v>
      </c>
      <c r="E670" s="1">
        <f>IFERROR(__xludf.DUMMYFUNCTION("""COMPUTED_VALUE"""),403.78)</f>
        <v>403.78</v>
      </c>
      <c r="F670" s="1">
        <f>IFERROR(__xludf.DUMMYFUNCTION("""COMPUTED_VALUE"""),3.0657726E7)</f>
        <v>30657726</v>
      </c>
    </row>
    <row r="671">
      <c r="A671" s="2">
        <f>IFERROR(__xludf.DUMMYFUNCTION("""COMPUTED_VALUE"""),45324.66666666667)</f>
        <v>45324.66667</v>
      </c>
      <c r="B671" s="1">
        <f>IFERROR(__xludf.DUMMYFUNCTION("""COMPUTED_VALUE"""),403.81)</f>
        <v>403.81</v>
      </c>
      <c r="C671" s="1">
        <f>IFERROR(__xludf.DUMMYFUNCTION("""COMPUTED_VALUE"""),412.65)</f>
        <v>412.65</v>
      </c>
      <c r="D671" s="1">
        <f>IFERROR(__xludf.DUMMYFUNCTION("""COMPUTED_VALUE"""),403.56)</f>
        <v>403.56</v>
      </c>
      <c r="E671" s="1">
        <f>IFERROR(__xludf.DUMMYFUNCTION("""COMPUTED_VALUE"""),411.22)</f>
        <v>411.22</v>
      </c>
      <c r="F671" s="1">
        <f>IFERROR(__xludf.DUMMYFUNCTION("""COMPUTED_VALUE"""),2.825667E7)</f>
        <v>28256670</v>
      </c>
    </row>
    <row r="672">
      <c r="A672" s="2">
        <f>IFERROR(__xludf.DUMMYFUNCTION("""COMPUTED_VALUE"""),45327.66666666667)</f>
        <v>45327.66667</v>
      </c>
      <c r="B672" s="1">
        <f>IFERROR(__xludf.DUMMYFUNCTION("""COMPUTED_VALUE"""),409.9)</f>
        <v>409.9</v>
      </c>
      <c r="C672" s="1">
        <f>IFERROR(__xludf.DUMMYFUNCTION("""COMPUTED_VALUE"""),411.16)</f>
        <v>411.16</v>
      </c>
      <c r="D672" s="1">
        <f>IFERROR(__xludf.DUMMYFUNCTION("""COMPUTED_VALUE"""),403.99)</f>
        <v>403.99</v>
      </c>
      <c r="E672" s="1">
        <f>IFERROR(__xludf.DUMMYFUNCTION("""COMPUTED_VALUE"""),405.65)</f>
        <v>405.65</v>
      </c>
      <c r="F672" s="1">
        <f>IFERROR(__xludf.DUMMYFUNCTION("""COMPUTED_VALUE"""),2.5352286E7)</f>
        <v>25352286</v>
      </c>
    </row>
    <row r="673">
      <c r="A673" s="2">
        <f>IFERROR(__xludf.DUMMYFUNCTION("""COMPUTED_VALUE"""),45328.66666666667)</f>
        <v>45328.66667</v>
      </c>
      <c r="B673" s="1">
        <f>IFERROR(__xludf.DUMMYFUNCTION("""COMPUTED_VALUE"""),405.88)</f>
        <v>405.88</v>
      </c>
      <c r="C673" s="1">
        <f>IFERROR(__xludf.DUMMYFUNCTION("""COMPUTED_VALUE"""),407.97)</f>
        <v>407.97</v>
      </c>
      <c r="D673" s="1">
        <f>IFERROR(__xludf.DUMMYFUNCTION("""COMPUTED_VALUE"""),402.91)</f>
        <v>402.91</v>
      </c>
      <c r="E673" s="1">
        <f>IFERROR(__xludf.DUMMYFUNCTION("""COMPUTED_VALUE"""),405.49)</f>
        <v>405.49</v>
      </c>
      <c r="F673" s="1">
        <f>IFERROR(__xludf.DUMMYFUNCTION("""COMPUTED_VALUE"""),1.8382624E7)</f>
        <v>18382624</v>
      </c>
    </row>
    <row r="674">
      <c r="A674" s="2">
        <f>IFERROR(__xludf.DUMMYFUNCTION("""COMPUTED_VALUE"""),45329.66666666667)</f>
        <v>45329.66667</v>
      </c>
      <c r="B674" s="1">
        <f>IFERROR(__xludf.DUMMYFUNCTION("""COMPUTED_VALUE"""),407.44)</f>
        <v>407.44</v>
      </c>
      <c r="C674" s="1">
        <f>IFERROR(__xludf.DUMMYFUNCTION("""COMPUTED_VALUE"""),414.3)</f>
        <v>414.3</v>
      </c>
      <c r="D674" s="1">
        <f>IFERROR(__xludf.DUMMYFUNCTION("""COMPUTED_VALUE"""),407.4)</f>
        <v>407.4</v>
      </c>
      <c r="E674" s="1">
        <f>IFERROR(__xludf.DUMMYFUNCTION("""COMPUTED_VALUE"""),414.05)</f>
        <v>414.05</v>
      </c>
      <c r="F674" s="1">
        <f>IFERROR(__xludf.DUMMYFUNCTION("""COMPUTED_VALUE"""),2.2340526E7)</f>
        <v>22340526</v>
      </c>
    </row>
    <row r="675">
      <c r="A675" s="2">
        <f>IFERROR(__xludf.DUMMYFUNCTION("""COMPUTED_VALUE"""),45330.66666666667)</f>
        <v>45330.66667</v>
      </c>
      <c r="B675" s="1">
        <f>IFERROR(__xludf.DUMMYFUNCTION("""COMPUTED_VALUE"""),414.05)</f>
        <v>414.05</v>
      </c>
      <c r="C675" s="1">
        <f>IFERROR(__xludf.DUMMYFUNCTION("""COMPUTED_VALUE"""),415.56)</f>
        <v>415.56</v>
      </c>
      <c r="D675" s="1">
        <f>IFERROR(__xludf.DUMMYFUNCTION("""COMPUTED_VALUE"""),412.53)</f>
        <v>412.53</v>
      </c>
      <c r="E675" s="1">
        <f>IFERROR(__xludf.DUMMYFUNCTION("""COMPUTED_VALUE"""),414.11)</f>
        <v>414.11</v>
      </c>
      <c r="F675" s="1">
        <f>IFERROR(__xludf.DUMMYFUNCTION("""COMPUTED_VALUE"""),2.1225257E7)</f>
        <v>21225257</v>
      </c>
    </row>
    <row r="676">
      <c r="A676" s="2">
        <f>IFERROR(__xludf.DUMMYFUNCTION("""COMPUTED_VALUE"""),45331.66666666667)</f>
        <v>45331.66667</v>
      </c>
      <c r="B676" s="1">
        <f>IFERROR(__xludf.DUMMYFUNCTION("""COMPUTED_VALUE"""),415.25)</f>
        <v>415.25</v>
      </c>
      <c r="C676" s="1">
        <f>IFERROR(__xludf.DUMMYFUNCTION("""COMPUTED_VALUE"""),420.82)</f>
        <v>420.82</v>
      </c>
      <c r="D676" s="1">
        <f>IFERROR(__xludf.DUMMYFUNCTION("""COMPUTED_VALUE"""),415.09)</f>
        <v>415.09</v>
      </c>
      <c r="E676" s="1">
        <f>IFERROR(__xludf.DUMMYFUNCTION("""COMPUTED_VALUE"""),420.55)</f>
        <v>420.55</v>
      </c>
      <c r="F676" s="1">
        <f>IFERROR(__xludf.DUMMYFUNCTION("""COMPUTED_VALUE"""),2.2032844E7)</f>
        <v>22032844</v>
      </c>
    </row>
    <row r="677">
      <c r="A677" s="2">
        <f>IFERROR(__xludf.DUMMYFUNCTION("""COMPUTED_VALUE"""),45334.66666666667)</f>
        <v>45334.66667</v>
      </c>
      <c r="B677" s="1">
        <f>IFERROR(__xludf.DUMMYFUNCTION("""COMPUTED_VALUE"""),420.56)</f>
        <v>420.56</v>
      </c>
      <c r="C677" s="1">
        <f>IFERROR(__xludf.DUMMYFUNCTION("""COMPUTED_VALUE"""),420.74)</f>
        <v>420.74</v>
      </c>
      <c r="D677" s="1">
        <f>IFERROR(__xludf.DUMMYFUNCTION("""COMPUTED_VALUE"""),414.75)</f>
        <v>414.75</v>
      </c>
      <c r="E677" s="1">
        <f>IFERROR(__xludf.DUMMYFUNCTION("""COMPUTED_VALUE"""),415.26)</f>
        <v>415.26</v>
      </c>
      <c r="F677" s="1">
        <f>IFERROR(__xludf.DUMMYFUNCTION("""COMPUTED_VALUE"""),2.1202921E7)</f>
        <v>21202921</v>
      </c>
    </row>
    <row r="678">
      <c r="A678" s="2">
        <f>IFERROR(__xludf.DUMMYFUNCTION("""COMPUTED_VALUE"""),45335.66666666667)</f>
        <v>45335.66667</v>
      </c>
      <c r="B678" s="1">
        <f>IFERROR(__xludf.DUMMYFUNCTION("""COMPUTED_VALUE"""),404.94)</f>
        <v>404.94</v>
      </c>
      <c r="C678" s="1">
        <f>IFERROR(__xludf.DUMMYFUNCTION("""COMPUTED_VALUE"""),410.07)</f>
        <v>410.07</v>
      </c>
      <c r="D678" s="1">
        <f>IFERROR(__xludf.DUMMYFUNCTION("""COMPUTED_VALUE"""),403.39)</f>
        <v>403.39</v>
      </c>
      <c r="E678" s="1">
        <f>IFERROR(__xludf.DUMMYFUNCTION("""COMPUTED_VALUE"""),406.32)</f>
        <v>406.32</v>
      </c>
      <c r="F678" s="1">
        <f>IFERROR(__xludf.DUMMYFUNCTION("""COMPUTED_VALUE"""),2.7824936E7)</f>
        <v>27824936</v>
      </c>
    </row>
    <row r="679">
      <c r="A679" s="2">
        <f>IFERROR(__xludf.DUMMYFUNCTION("""COMPUTED_VALUE"""),45336.66666666667)</f>
        <v>45336.66667</v>
      </c>
      <c r="B679" s="1">
        <f>IFERROR(__xludf.DUMMYFUNCTION("""COMPUTED_VALUE"""),408.07)</f>
        <v>408.07</v>
      </c>
      <c r="C679" s="1">
        <f>IFERROR(__xludf.DUMMYFUNCTION("""COMPUTED_VALUE"""),409.84)</f>
        <v>409.84</v>
      </c>
      <c r="D679" s="1">
        <f>IFERROR(__xludf.DUMMYFUNCTION("""COMPUTED_VALUE"""),404.57)</f>
        <v>404.57</v>
      </c>
      <c r="E679" s="1">
        <f>IFERROR(__xludf.DUMMYFUNCTION("""COMPUTED_VALUE"""),409.49)</f>
        <v>409.49</v>
      </c>
      <c r="F679" s="1">
        <f>IFERROR(__xludf.DUMMYFUNCTION("""COMPUTED_VALUE"""),2.040119E7)</f>
        <v>20401190</v>
      </c>
    </row>
    <row r="680">
      <c r="A680" s="2">
        <f>IFERROR(__xludf.DUMMYFUNCTION("""COMPUTED_VALUE"""),45337.66666666667)</f>
        <v>45337.66667</v>
      </c>
      <c r="B680" s="1">
        <f>IFERROR(__xludf.DUMMYFUNCTION("""COMPUTED_VALUE"""),408.14)</f>
        <v>408.14</v>
      </c>
      <c r="C680" s="1">
        <f>IFERROR(__xludf.DUMMYFUNCTION("""COMPUTED_VALUE"""),409.13)</f>
        <v>409.13</v>
      </c>
      <c r="D680" s="1">
        <f>IFERROR(__xludf.DUMMYFUNCTION("""COMPUTED_VALUE"""),404.29)</f>
        <v>404.29</v>
      </c>
      <c r="E680" s="1">
        <f>IFERROR(__xludf.DUMMYFUNCTION("""COMPUTED_VALUE"""),406.56)</f>
        <v>406.56</v>
      </c>
      <c r="F680" s="1">
        <f>IFERROR(__xludf.DUMMYFUNCTION("""COMPUTED_VALUE"""),2.1825525E7)</f>
        <v>21825525</v>
      </c>
    </row>
    <row r="681">
      <c r="A681" s="2">
        <f>IFERROR(__xludf.DUMMYFUNCTION("""COMPUTED_VALUE"""),45338.66666666667)</f>
        <v>45338.66667</v>
      </c>
      <c r="B681" s="1">
        <f>IFERROR(__xludf.DUMMYFUNCTION("""COMPUTED_VALUE"""),407.96)</f>
        <v>407.96</v>
      </c>
      <c r="C681" s="1">
        <f>IFERROR(__xludf.DUMMYFUNCTION("""COMPUTED_VALUE"""),408.29)</f>
        <v>408.29</v>
      </c>
      <c r="D681" s="1">
        <f>IFERROR(__xludf.DUMMYFUNCTION("""COMPUTED_VALUE"""),403.44)</f>
        <v>403.44</v>
      </c>
      <c r="E681" s="1">
        <f>IFERROR(__xludf.DUMMYFUNCTION("""COMPUTED_VALUE"""),404.06)</f>
        <v>404.06</v>
      </c>
      <c r="F681" s="1">
        <f>IFERROR(__xludf.DUMMYFUNCTION("""COMPUTED_VALUE"""),2.2296495E7)</f>
        <v>22296495</v>
      </c>
    </row>
    <row r="682">
      <c r="A682" s="2">
        <f>IFERROR(__xludf.DUMMYFUNCTION("""COMPUTED_VALUE"""),45342.66666666667)</f>
        <v>45342.66667</v>
      </c>
      <c r="B682" s="1">
        <f>IFERROR(__xludf.DUMMYFUNCTION("""COMPUTED_VALUE"""),403.24)</f>
        <v>403.24</v>
      </c>
      <c r="C682" s="1">
        <f>IFERROR(__xludf.DUMMYFUNCTION("""COMPUTED_VALUE"""),404.49)</f>
        <v>404.49</v>
      </c>
      <c r="D682" s="1">
        <f>IFERROR(__xludf.DUMMYFUNCTION("""COMPUTED_VALUE"""),398.01)</f>
        <v>398.01</v>
      </c>
      <c r="E682" s="1">
        <f>IFERROR(__xludf.DUMMYFUNCTION("""COMPUTED_VALUE"""),402.79)</f>
        <v>402.79</v>
      </c>
      <c r="F682" s="1">
        <f>IFERROR(__xludf.DUMMYFUNCTION("""COMPUTED_VALUE"""),2.4307915E7)</f>
        <v>24307915</v>
      </c>
    </row>
    <row r="683">
      <c r="A683" s="2">
        <f>IFERROR(__xludf.DUMMYFUNCTION("""COMPUTED_VALUE"""),45343.66666666667)</f>
        <v>45343.66667</v>
      </c>
      <c r="B683" s="1">
        <f>IFERROR(__xludf.DUMMYFUNCTION("""COMPUTED_VALUE"""),400.17)</f>
        <v>400.17</v>
      </c>
      <c r="C683" s="1">
        <f>IFERROR(__xludf.DUMMYFUNCTION("""COMPUTED_VALUE"""),402.29)</f>
        <v>402.29</v>
      </c>
      <c r="D683" s="1">
        <f>IFERROR(__xludf.DUMMYFUNCTION("""COMPUTED_VALUE"""),397.22)</f>
        <v>397.22</v>
      </c>
      <c r="E683" s="1">
        <f>IFERROR(__xludf.DUMMYFUNCTION("""COMPUTED_VALUE"""),402.18)</f>
        <v>402.18</v>
      </c>
      <c r="F683" s="1">
        <f>IFERROR(__xludf.DUMMYFUNCTION("""COMPUTED_VALUE"""),1.8631072E7)</f>
        <v>18631072</v>
      </c>
    </row>
    <row r="684">
      <c r="A684" s="2">
        <f>IFERROR(__xludf.DUMMYFUNCTION("""COMPUTED_VALUE"""),45344.66666666667)</f>
        <v>45344.66667</v>
      </c>
      <c r="B684" s="1">
        <f>IFERROR(__xludf.DUMMYFUNCTION("""COMPUTED_VALUE"""),410.19)</f>
        <v>410.19</v>
      </c>
      <c r="C684" s="1">
        <f>IFERROR(__xludf.DUMMYFUNCTION("""COMPUTED_VALUE"""),412.83)</f>
        <v>412.83</v>
      </c>
      <c r="D684" s="1">
        <f>IFERROR(__xludf.DUMMYFUNCTION("""COMPUTED_VALUE"""),408.57)</f>
        <v>408.57</v>
      </c>
      <c r="E684" s="1">
        <f>IFERROR(__xludf.DUMMYFUNCTION("""COMPUTED_VALUE"""),411.65)</f>
        <v>411.65</v>
      </c>
      <c r="F684" s="1">
        <f>IFERROR(__xludf.DUMMYFUNCTION("""COMPUTED_VALUE"""),2.7009869E7)</f>
        <v>27009869</v>
      </c>
    </row>
    <row r="685">
      <c r="A685" s="2">
        <f>IFERROR(__xludf.DUMMYFUNCTION("""COMPUTED_VALUE"""),45345.66666666667)</f>
        <v>45345.66667</v>
      </c>
      <c r="B685" s="1">
        <f>IFERROR(__xludf.DUMMYFUNCTION("""COMPUTED_VALUE"""),415.67)</f>
        <v>415.67</v>
      </c>
      <c r="C685" s="1">
        <f>IFERROR(__xludf.DUMMYFUNCTION("""COMPUTED_VALUE"""),415.86)</f>
        <v>415.86</v>
      </c>
      <c r="D685" s="1">
        <f>IFERROR(__xludf.DUMMYFUNCTION("""COMPUTED_VALUE"""),408.97)</f>
        <v>408.97</v>
      </c>
      <c r="E685" s="1">
        <f>IFERROR(__xludf.DUMMYFUNCTION("""COMPUTED_VALUE"""),410.34)</f>
        <v>410.34</v>
      </c>
      <c r="F685" s="1">
        <f>IFERROR(__xludf.DUMMYFUNCTION("""COMPUTED_VALUE"""),1.6295879E7)</f>
        <v>16295879</v>
      </c>
    </row>
    <row r="686">
      <c r="A686" s="2">
        <f>IFERROR(__xludf.DUMMYFUNCTION("""COMPUTED_VALUE"""),45348.66666666667)</f>
        <v>45348.66667</v>
      </c>
      <c r="B686" s="1">
        <f>IFERROR(__xludf.DUMMYFUNCTION("""COMPUTED_VALUE"""),411.46)</f>
        <v>411.46</v>
      </c>
      <c r="C686" s="1">
        <f>IFERROR(__xludf.DUMMYFUNCTION("""COMPUTED_VALUE"""),412.16)</f>
        <v>412.16</v>
      </c>
      <c r="D686" s="1">
        <f>IFERROR(__xludf.DUMMYFUNCTION("""COMPUTED_VALUE"""),407.36)</f>
        <v>407.36</v>
      </c>
      <c r="E686" s="1">
        <f>IFERROR(__xludf.DUMMYFUNCTION("""COMPUTED_VALUE"""),407.54)</f>
        <v>407.54</v>
      </c>
      <c r="F686" s="1">
        <f>IFERROR(__xludf.DUMMYFUNCTION("""COMPUTED_VALUE"""),1.6193505E7)</f>
        <v>16193505</v>
      </c>
    </row>
    <row r="687">
      <c r="A687" s="2">
        <f>IFERROR(__xludf.DUMMYFUNCTION("""COMPUTED_VALUE"""),45349.66666666667)</f>
        <v>45349.66667</v>
      </c>
      <c r="B687" s="1">
        <f>IFERROR(__xludf.DUMMYFUNCTION("""COMPUTED_VALUE"""),407.99)</f>
        <v>407.99</v>
      </c>
      <c r="C687" s="1">
        <f>IFERROR(__xludf.DUMMYFUNCTION("""COMPUTED_VALUE"""),408.32)</f>
        <v>408.32</v>
      </c>
      <c r="D687" s="1">
        <f>IFERROR(__xludf.DUMMYFUNCTION("""COMPUTED_VALUE"""),403.85)</f>
        <v>403.85</v>
      </c>
      <c r="E687" s="1">
        <f>IFERROR(__xludf.DUMMYFUNCTION("""COMPUTED_VALUE"""),407.48)</f>
        <v>407.48</v>
      </c>
      <c r="F687" s="1">
        <f>IFERROR(__xludf.DUMMYFUNCTION("""COMPUTED_VALUE"""),1.4835827E7)</f>
        <v>14835827</v>
      </c>
    </row>
    <row r="688">
      <c r="A688" s="2">
        <f>IFERROR(__xludf.DUMMYFUNCTION("""COMPUTED_VALUE"""),45350.66666666667)</f>
        <v>45350.66667</v>
      </c>
      <c r="B688" s="1">
        <f>IFERROR(__xludf.DUMMYFUNCTION("""COMPUTED_VALUE"""),408.18)</f>
        <v>408.18</v>
      </c>
      <c r="C688" s="1">
        <f>IFERROR(__xludf.DUMMYFUNCTION("""COMPUTED_VALUE"""),409.3)</f>
        <v>409.3</v>
      </c>
      <c r="D688" s="1">
        <f>IFERROR(__xludf.DUMMYFUNCTION("""COMPUTED_VALUE"""),405.32)</f>
        <v>405.32</v>
      </c>
      <c r="E688" s="1">
        <f>IFERROR(__xludf.DUMMYFUNCTION("""COMPUTED_VALUE"""),407.72)</f>
        <v>407.72</v>
      </c>
      <c r="F688" s="1">
        <f>IFERROR(__xludf.DUMMYFUNCTION("""COMPUTED_VALUE"""),1.3183125E7)</f>
        <v>13183125</v>
      </c>
    </row>
    <row r="689">
      <c r="A689" s="2">
        <f>IFERROR(__xludf.DUMMYFUNCTION("""COMPUTED_VALUE"""),45351.66666666667)</f>
        <v>45351.66667</v>
      </c>
      <c r="B689" s="1">
        <f>IFERROR(__xludf.DUMMYFUNCTION("""COMPUTED_VALUE"""),408.64)</f>
        <v>408.64</v>
      </c>
      <c r="C689" s="1">
        <f>IFERROR(__xludf.DUMMYFUNCTION("""COMPUTED_VALUE"""),414.2)</f>
        <v>414.2</v>
      </c>
      <c r="D689" s="1">
        <f>IFERROR(__xludf.DUMMYFUNCTION("""COMPUTED_VALUE"""),405.92)</f>
        <v>405.92</v>
      </c>
      <c r="E689" s="1">
        <f>IFERROR(__xludf.DUMMYFUNCTION("""COMPUTED_VALUE"""),413.64)</f>
        <v>413.64</v>
      </c>
      <c r="F689" s="1">
        <f>IFERROR(__xludf.DUMMYFUNCTION("""COMPUTED_VALUE"""),3.1947263E7)</f>
        <v>31947263</v>
      </c>
    </row>
    <row r="690">
      <c r="A690" s="2">
        <f>IFERROR(__xludf.DUMMYFUNCTION("""COMPUTED_VALUE"""),45352.66666666667)</f>
        <v>45352.66667</v>
      </c>
      <c r="B690" s="1">
        <f>IFERROR(__xludf.DUMMYFUNCTION("""COMPUTED_VALUE"""),411.27)</f>
        <v>411.27</v>
      </c>
      <c r="C690" s="1">
        <f>IFERROR(__xludf.DUMMYFUNCTION("""COMPUTED_VALUE"""),415.87)</f>
        <v>415.87</v>
      </c>
      <c r="D690" s="1">
        <f>IFERROR(__xludf.DUMMYFUNCTION("""COMPUTED_VALUE"""),410.88)</f>
        <v>410.88</v>
      </c>
      <c r="E690" s="1">
        <f>IFERROR(__xludf.DUMMYFUNCTION("""COMPUTED_VALUE"""),415.5)</f>
        <v>415.5</v>
      </c>
      <c r="F690" s="1">
        <f>IFERROR(__xludf.DUMMYFUNCTION("""COMPUTED_VALUE"""),1.7823445E7)</f>
        <v>17823445</v>
      </c>
    </row>
    <row r="691">
      <c r="A691" s="2">
        <f>IFERROR(__xludf.DUMMYFUNCTION("""COMPUTED_VALUE"""),45355.66666666667)</f>
        <v>45355.66667</v>
      </c>
      <c r="B691" s="1">
        <f>IFERROR(__xludf.DUMMYFUNCTION("""COMPUTED_VALUE"""),413.44)</f>
        <v>413.44</v>
      </c>
      <c r="C691" s="1">
        <f>IFERROR(__xludf.DUMMYFUNCTION("""COMPUTED_VALUE"""),417.35)</f>
        <v>417.35</v>
      </c>
      <c r="D691" s="1">
        <f>IFERROR(__xludf.DUMMYFUNCTION("""COMPUTED_VALUE"""),412.32)</f>
        <v>412.32</v>
      </c>
      <c r="E691" s="1">
        <f>IFERROR(__xludf.DUMMYFUNCTION("""COMPUTED_VALUE"""),414.92)</f>
        <v>414.92</v>
      </c>
      <c r="F691" s="1">
        <f>IFERROR(__xludf.DUMMYFUNCTION("""COMPUTED_VALUE"""),1.7595956E7)</f>
        <v>17595956</v>
      </c>
    </row>
    <row r="692">
      <c r="A692" s="2">
        <f>IFERROR(__xludf.DUMMYFUNCTION("""COMPUTED_VALUE"""),45356.66666666667)</f>
        <v>45356.66667</v>
      </c>
      <c r="B692" s="1">
        <f>IFERROR(__xludf.DUMMYFUNCTION("""COMPUTED_VALUE"""),413.96)</f>
        <v>413.96</v>
      </c>
      <c r="C692" s="1">
        <f>IFERROR(__xludf.DUMMYFUNCTION("""COMPUTED_VALUE"""),414.25)</f>
        <v>414.25</v>
      </c>
      <c r="D692" s="1">
        <f>IFERROR(__xludf.DUMMYFUNCTION("""COMPUTED_VALUE"""),400.64)</f>
        <v>400.64</v>
      </c>
      <c r="E692" s="1">
        <f>IFERROR(__xludf.DUMMYFUNCTION("""COMPUTED_VALUE"""),402.65)</f>
        <v>402.65</v>
      </c>
      <c r="F692" s="1">
        <f>IFERROR(__xludf.DUMMYFUNCTION("""COMPUTED_VALUE"""),2.6919177E7)</f>
        <v>26919177</v>
      </c>
    </row>
    <row r="693">
      <c r="A693" s="2">
        <f>IFERROR(__xludf.DUMMYFUNCTION("""COMPUTED_VALUE"""),45357.66666666667)</f>
        <v>45357.66667</v>
      </c>
      <c r="B693" s="1">
        <f>IFERROR(__xludf.DUMMYFUNCTION("""COMPUTED_VALUE"""),402.97)</f>
        <v>402.97</v>
      </c>
      <c r="C693" s="1">
        <f>IFERROR(__xludf.DUMMYFUNCTION("""COMPUTED_VALUE"""),405.16)</f>
        <v>405.16</v>
      </c>
      <c r="D693" s="1">
        <f>IFERROR(__xludf.DUMMYFUNCTION("""COMPUTED_VALUE"""),398.39)</f>
        <v>398.39</v>
      </c>
      <c r="E693" s="1">
        <f>IFERROR(__xludf.DUMMYFUNCTION("""COMPUTED_VALUE"""),402.09)</f>
        <v>402.09</v>
      </c>
      <c r="F693" s="1">
        <f>IFERROR(__xludf.DUMMYFUNCTION("""COMPUTED_VALUE"""),2.2344149E7)</f>
        <v>22344149</v>
      </c>
    </row>
    <row r="694">
      <c r="A694" s="2">
        <f>IFERROR(__xludf.DUMMYFUNCTION("""COMPUTED_VALUE"""),45358.66666666667)</f>
        <v>45358.66667</v>
      </c>
      <c r="B694" s="1">
        <f>IFERROR(__xludf.DUMMYFUNCTION("""COMPUTED_VALUE"""),406.12)</f>
        <v>406.12</v>
      </c>
      <c r="C694" s="1">
        <f>IFERROR(__xludf.DUMMYFUNCTION("""COMPUTED_VALUE"""),409.78)</f>
        <v>409.78</v>
      </c>
      <c r="D694" s="1">
        <f>IFERROR(__xludf.DUMMYFUNCTION("""COMPUTED_VALUE"""),402.24)</f>
        <v>402.24</v>
      </c>
      <c r="E694" s="1">
        <f>IFERROR(__xludf.DUMMYFUNCTION("""COMPUTED_VALUE"""),409.14)</f>
        <v>409.14</v>
      </c>
      <c r="F694" s="1">
        <f>IFERROR(__xludf.DUMMYFUNCTION("""COMPUTED_VALUE"""),1.8718479E7)</f>
        <v>18718479</v>
      </c>
    </row>
    <row r="695">
      <c r="A695" s="2">
        <f>IFERROR(__xludf.DUMMYFUNCTION("""COMPUTED_VALUE"""),45359.66666666667)</f>
        <v>45359.66667</v>
      </c>
      <c r="B695" s="1">
        <f>IFERROR(__xludf.DUMMYFUNCTION("""COMPUTED_VALUE"""),407.96)</f>
        <v>407.96</v>
      </c>
      <c r="C695" s="1">
        <f>IFERROR(__xludf.DUMMYFUNCTION("""COMPUTED_VALUE"""),410.42)</f>
        <v>410.42</v>
      </c>
      <c r="D695" s="1">
        <f>IFERROR(__xludf.DUMMYFUNCTION("""COMPUTED_VALUE"""),404.33)</f>
        <v>404.33</v>
      </c>
      <c r="E695" s="1">
        <f>IFERROR(__xludf.DUMMYFUNCTION("""COMPUTED_VALUE"""),406.22)</f>
        <v>406.22</v>
      </c>
      <c r="F695" s="1">
        <f>IFERROR(__xludf.DUMMYFUNCTION("""COMPUTED_VALUE"""),1.8002186E7)</f>
        <v>18002186</v>
      </c>
    </row>
    <row r="696">
      <c r="A696" s="2">
        <f>IFERROR(__xludf.DUMMYFUNCTION("""COMPUTED_VALUE"""),45362.66666666667)</f>
        <v>45362.66667</v>
      </c>
      <c r="B696" s="1">
        <f>IFERROR(__xludf.DUMMYFUNCTION("""COMPUTED_VALUE"""),403.76)</f>
        <v>403.76</v>
      </c>
      <c r="C696" s="1">
        <f>IFERROR(__xludf.DUMMYFUNCTION("""COMPUTED_VALUE"""),405.68)</f>
        <v>405.68</v>
      </c>
      <c r="D696" s="1">
        <f>IFERROR(__xludf.DUMMYFUNCTION("""COMPUTED_VALUE"""),401.26)</f>
        <v>401.26</v>
      </c>
      <c r="E696" s="1">
        <f>IFERROR(__xludf.DUMMYFUNCTION("""COMPUTED_VALUE"""),404.52)</f>
        <v>404.52</v>
      </c>
      <c r="F696" s="1">
        <f>IFERROR(__xludf.DUMMYFUNCTION("""COMPUTED_VALUE"""),1.6120752E7)</f>
        <v>16120752</v>
      </c>
    </row>
    <row r="697">
      <c r="A697" s="2">
        <f>IFERROR(__xludf.DUMMYFUNCTION("""COMPUTED_VALUE"""),45363.66666666667)</f>
        <v>45363.66667</v>
      </c>
      <c r="B697" s="1">
        <f>IFERROR(__xludf.DUMMYFUNCTION("""COMPUTED_VALUE"""),407.62)</f>
        <v>407.62</v>
      </c>
      <c r="C697" s="1">
        <f>IFERROR(__xludf.DUMMYFUNCTION("""COMPUTED_VALUE"""),415.57)</f>
        <v>415.57</v>
      </c>
      <c r="D697" s="1">
        <f>IFERROR(__xludf.DUMMYFUNCTION("""COMPUTED_VALUE"""),406.79)</f>
        <v>406.79</v>
      </c>
      <c r="E697" s="1">
        <f>IFERROR(__xludf.DUMMYFUNCTION("""COMPUTED_VALUE"""),415.28)</f>
        <v>415.28</v>
      </c>
      <c r="F697" s="1">
        <f>IFERROR(__xludf.DUMMYFUNCTION("""COMPUTED_VALUE"""),2.2457003E7)</f>
        <v>22457003</v>
      </c>
    </row>
    <row r="698">
      <c r="A698" s="2">
        <f>IFERROR(__xludf.DUMMYFUNCTION("""COMPUTED_VALUE"""),45364.66666666667)</f>
        <v>45364.66667</v>
      </c>
      <c r="B698" s="1">
        <f>IFERROR(__xludf.DUMMYFUNCTION("""COMPUTED_VALUE"""),418.1)</f>
        <v>418.1</v>
      </c>
      <c r="C698" s="1">
        <f>IFERROR(__xludf.DUMMYFUNCTION("""COMPUTED_VALUE"""),418.18)</f>
        <v>418.18</v>
      </c>
      <c r="D698" s="1">
        <f>IFERROR(__xludf.DUMMYFUNCTION("""COMPUTED_VALUE"""),411.45)</f>
        <v>411.45</v>
      </c>
      <c r="E698" s="1">
        <f>IFERROR(__xludf.DUMMYFUNCTION("""COMPUTED_VALUE"""),415.1)</f>
        <v>415.1</v>
      </c>
      <c r="F698" s="1">
        <f>IFERROR(__xludf.DUMMYFUNCTION("""COMPUTED_VALUE"""),1.7115931E7)</f>
        <v>17115931</v>
      </c>
    </row>
    <row r="699">
      <c r="A699" s="2">
        <f>IFERROR(__xludf.DUMMYFUNCTION("""COMPUTED_VALUE"""),45365.66666666667)</f>
        <v>45365.66667</v>
      </c>
      <c r="B699" s="1">
        <f>IFERROR(__xludf.DUMMYFUNCTION("""COMPUTED_VALUE"""),420.24)</f>
        <v>420.24</v>
      </c>
      <c r="C699" s="1">
        <f>IFERROR(__xludf.DUMMYFUNCTION("""COMPUTED_VALUE"""),427.82)</f>
        <v>427.82</v>
      </c>
      <c r="D699" s="1">
        <f>IFERROR(__xludf.DUMMYFUNCTION("""COMPUTED_VALUE"""),417.99)</f>
        <v>417.99</v>
      </c>
      <c r="E699" s="1">
        <f>IFERROR(__xludf.DUMMYFUNCTION("""COMPUTED_VALUE"""),425.22)</f>
        <v>425.22</v>
      </c>
      <c r="F699" s="1">
        <f>IFERROR(__xludf.DUMMYFUNCTION("""COMPUTED_VALUE"""),3.4157299E7)</f>
        <v>34157299</v>
      </c>
    </row>
    <row r="700">
      <c r="A700" s="2">
        <f>IFERROR(__xludf.DUMMYFUNCTION("""COMPUTED_VALUE"""),45366.66666666667)</f>
        <v>45366.66667</v>
      </c>
      <c r="B700" s="1">
        <f>IFERROR(__xludf.DUMMYFUNCTION("""COMPUTED_VALUE"""),419.29)</f>
        <v>419.29</v>
      </c>
      <c r="C700" s="1">
        <f>IFERROR(__xludf.DUMMYFUNCTION("""COMPUTED_VALUE"""),422.6)</f>
        <v>422.6</v>
      </c>
      <c r="D700" s="1">
        <f>IFERROR(__xludf.DUMMYFUNCTION("""COMPUTED_VALUE"""),412.79)</f>
        <v>412.79</v>
      </c>
      <c r="E700" s="1">
        <f>IFERROR(__xludf.DUMMYFUNCTION("""COMPUTED_VALUE"""),416.42)</f>
        <v>416.42</v>
      </c>
      <c r="F700" s="1">
        <f>IFERROR(__xludf.DUMMYFUNCTION("""COMPUTED_VALUE"""),4.5079903E7)</f>
        <v>45079903</v>
      </c>
    </row>
    <row r="701">
      <c r="A701" s="2">
        <f>IFERROR(__xludf.DUMMYFUNCTION("""COMPUTED_VALUE"""),45369.66666666667)</f>
        <v>45369.66667</v>
      </c>
      <c r="B701" s="1">
        <f>IFERROR(__xludf.DUMMYFUNCTION("""COMPUTED_VALUE"""),414.25)</f>
        <v>414.25</v>
      </c>
      <c r="C701" s="1">
        <f>IFERROR(__xludf.DUMMYFUNCTION("""COMPUTED_VALUE"""),420.73)</f>
        <v>420.73</v>
      </c>
      <c r="D701" s="1">
        <f>IFERROR(__xludf.DUMMYFUNCTION("""COMPUTED_VALUE"""),413.78)</f>
        <v>413.78</v>
      </c>
      <c r="E701" s="1">
        <f>IFERROR(__xludf.DUMMYFUNCTION("""COMPUTED_VALUE"""),417.32)</f>
        <v>417.32</v>
      </c>
      <c r="F701" s="1">
        <f>IFERROR(__xludf.DUMMYFUNCTION("""COMPUTED_VALUE"""),2.0105977E7)</f>
        <v>20105977</v>
      </c>
    </row>
    <row r="702">
      <c r="A702" s="2">
        <f>IFERROR(__xludf.DUMMYFUNCTION("""COMPUTED_VALUE"""),45370.66666666667)</f>
        <v>45370.66667</v>
      </c>
      <c r="B702" s="1">
        <f>IFERROR(__xludf.DUMMYFUNCTION("""COMPUTED_VALUE"""),417.83)</f>
        <v>417.83</v>
      </c>
      <c r="C702" s="1">
        <f>IFERROR(__xludf.DUMMYFUNCTION("""COMPUTED_VALUE"""),421.67)</f>
        <v>421.67</v>
      </c>
      <c r="D702" s="1">
        <f>IFERROR(__xludf.DUMMYFUNCTION("""COMPUTED_VALUE"""),415.55)</f>
        <v>415.55</v>
      </c>
      <c r="E702" s="1">
        <f>IFERROR(__xludf.DUMMYFUNCTION("""COMPUTED_VALUE"""),421.41)</f>
        <v>421.41</v>
      </c>
      <c r="F702" s="1">
        <f>IFERROR(__xludf.DUMMYFUNCTION("""COMPUTED_VALUE"""),1.9837915E7)</f>
        <v>19837915</v>
      </c>
    </row>
    <row r="703">
      <c r="A703" s="2">
        <f>IFERROR(__xludf.DUMMYFUNCTION("""COMPUTED_VALUE"""),45371.66666666667)</f>
        <v>45371.66667</v>
      </c>
      <c r="B703" s="1">
        <f>IFERROR(__xludf.DUMMYFUNCTION("""COMPUTED_VALUE"""),422.0)</f>
        <v>422</v>
      </c>
      <c r="C703" s="1">
        <f>IFERROR(__xludf.DUMMYFUNCTION("""COMPUTED_VALUE"""),425.96)</f>
        <v>425.96</v>
      </c>
      <c r="D703" s="1">
        <f>IFERROR(__xludf.DUMMYFUNCTION("""COMPUTED_VALUE"""),420.66)</f>
        <v>420.66</v>
      </c>
      <c r="E703" s="1">
        <f>IFERROR(__xludf.DUMMYFUNCTION("""COMPUTED_VALUE"""),425.23)</f>
        <v>425.23</v>
      </c>
      <c r="F703" s="1">
        <f>IFERROR(__xludf.DUMMYFUNCTION("""COMPUTED_VALUE"""),1.7860085E7)</f>
        <v>17860085</v>
      </c>
    </row>
    <row r="704">
      <c r="A704" s="2">
        <f>IFERROR(__xludf.DUMMYFUNCTION("""COMPUTED_VALUE"""),45372.66666666667)</f>
        <v>45372.66667</v>
      </c>
      <c r="B704" s="1">
        <f>IFERROR(__xludf.DUMMYFUNCTION("""COMPUTED_VALUE"""),429.83)</f>
        <v>429.83</v>
      </c>
      <c r="C704" s="1">
        <f>IFERROR(__xludf.DUMMYFUNCTION("""COMPUTED_VALUE"""),430.82)</f>
        <v>430.82</v>
      </c>
      <c r="D704" s="1">
        <f>IFERROR(__xludf.DUMMYFUNCTION("""COMPUTED_VALUE"""),427.16)</f>
        <v>427.16</v>
      </c>
      <c r="E704" s="1">
        <f>IFERROR(__xludf.DUMMYFUNCTION("""COMPUTED_VALUE"""),429.37)</f>
        <v>429.37</v>
      </c>
      <c r="F704" s="1">
        <f>IFERROR(__xludf.DUMMYFUNCTION("""COMPUTED_VALUE"""),2.1296222E7)</f>
        <v>21296222</v>
      </c>
    </row>
    <row r="705">
      <c r="A705" s="2">
        <f>IFERROR(__xludf.DUMMYFUNCTION("""COMPUTED_VALUE"""),45373.66666666667)</f>
        <v>45373.66667</v>
      </c>
      <c r="B705" s="1">
        <f>IFERROR(__xludf.DUMMYFUNCTION("""COMPUTED_VALUE"""),429.7)</f>
        <v>429.7</v>
      </c>
      <c r="C705" s="1">
        <f>IFERROR(__xludf.DUMMYFUNCTION("""COMPUTED_VALUE"""),429.86)</f>
        <v>429.86</v>
      </c>
      <c r="D705" s="1">
        <f>IFERROR(__xludf.DUMMYFUNCTION("""COMPUTED_VALUE"""),426.07)</f>
        <v>426.07</v>
      </c>
      <c r="E705" s="1">
        <f>IFERROR(__xludf.DUMMYFUNCTION("""COMPUTED_VALUE"""),428.74)</f>
        <v>428.74</v>
      </c>
      <c r="F705" s="1">
        <f>IFERROR(__xludf.DUMMYFUNCTION("""COMPUTED_VALUE"""),1.7648473E7)</f>
        <v>17648473</v>
      </c>
    </row>
    <row r="706">
      <c r="A706" s="2">
        <f>IFERROR(__xludf.DUMMYFUNCTION("""COMPUTED_VALUE"""),45376.66666666667)</f>
        <v>45376.66667</v>
      </c>
      <c r="B706" s="1">
        <f>IFERROR(__xludf.DUMMYFUNCTION("""COMPUTED_VALUE"""),425.24)</f>
        <v>425.24</v>
      </c>
      <c r="C706" s="1">
        <f>IFERROR(__xludf.DUMMYFUNCTION("""COMPUTED_VALUE"""),427.41)</f>
        <v>427.41</v>
      </c>
      <c r="D706" s="1">
        <f>IFERROR(__xludf.DUMMYFUNCTION("""COMPUTED_VALUE"""),421.61)</f>
        <v>421.61</v>
      </c>
      <c r="E706" s="1">
        <f>IFERROR(__xludf.DUMMYFUNCTION("""COMPUTED_VALUE"""),422.86)</f>
        <v>422.86</v>
      </c>
      <c r="F706" s="1">
        <f>IFERROR(__xludf.DUMMYFUNCTION("""COMPUTED_VALUE"""),1.806045E7)</f>
        <v>18060450</v>
      </c>
    </row>
    <row r="707">
      <c r="A707" s="2">
        <f>IFERROR(__xludf.DUMMYFUNCTION("""COMPUTED_VALUE"""),45377.66666666667)</f>
        <v>45377.66667</v>
      </c>
      <c r="B707" s="1">
        <f>IFERROR(__xludf.DUMMYFUNCTION("""COMPUTED_VALUE"""),425.61)</f>
        <v>425.61</v>
      </c>
      <c r="C707" s="1">
        <f>IFERROR(__xludf.DUMMYFUNCTION("""COMPUTED_VALUE"""),425.99)</f>
        <v>425.99</v>
      </c>
      <c r="D707" s="1">
        <f>IFERROR(__xludf.DUMMYFUNCTION("""COMPUTED_VALUE"""),421.35)</f>
        <v>421.35</v>
      </c>
      <c r="E707" s="1">
        <f>IFERROR(__xludf.DUMMYFUNCTION("""COMPUTED_VALUE"""),421.65)</f>
        <v>421.65</v>
      </c>
      <c r="F707" s="1">
        <f>IFERROR(__xludf.DUMMYFUNCTION("""COMPUTED_VALUE"""),1.6725647E7)</f>
        <v>16725647</v>
      </c>
    </row>
    <row r="708">
      <c r="A708" s="2">
        <f>IFERROR(__xludf.DUMMYFUNCTION("""COMPUTED_VALUE"""),45378.66666666667)</f>
        <v>45378.66667</v>
      </c>
      <c r="B708" s="1">
        <f>IFERROR(__xludf.DUMMYFUNCTION("""COMPUTED_VALUE"""),424.44)</f>
        <v>424.44</v>
      </c>
      <c r="C708" s="1">
        <f>IFERROR(__xludf.DUMMYFUNCTION("""COMPUTED_VALUE"""),424.45)</f>
        <v>424.45</v>
      </c>
      <c r="D708" s="1">
        <f>IFERROR(__xludf.DUMMYFUNCTION("""COMPUTED_VALUE"""),419.01)</f>
        <v>419.01</v>
      </c>
      <c r="E708" s="1">
        <f>IFERROR(__xludf.DUMMYFUNCTION("""COMPUTED_VALUE"""),421.43)</f>
        <v>421.43</v>
      </c>
      <c r="F708" s="1">
        <f>IFERROR(__xludf.DUMMYFUNCTION("""COMPUTED_VALUE"""),1.6704978E7)</f>
        <v>16704978</v>
      </c>
    </row>
    <row r="709">
      <c r="A709" s="2">
        <f>IFERROR(__xludf.DUMMYFUNCTION("""COMPUTED_VALUE"""),45379.66666666667)</f>
        <v>45379.66667</v>
      </c>
      <c r="B709" s="1">
        <f>IFERROR(__xludf.DUMMYFUNCTION("""COMPUTED_VALUE"""),420.96)</f>
        <v>420.96</v>
      </c>
      <c r="C709" s="1">
        <f>IFERROR(__xludf.DUMMYFUNCTION("""COMPUTED_VALUE"""),421.87)</f>
        <v>421.87</v>
      </c>
      <c r="D709" s="1">
        <f>IFERROR(__xludf.DUMMYFUNCTION("""COMPUTED_VALUE"""),419.12)</f>
        <v>419.12</v>
      </c>
      <c r="E709" s="1">
        <f>IFERROR(__xludf.DUMMYFUNCTION("""COMPUTED_VALUE"""),420.72)</f>
        <v>420.72</v>
      </c>
      <c r="F709" s="1">
        <f>IFERROR(__xludf.DUMMYFUNCTION("""COMPUTED_VALUE"""),2.1871161E7)</f>
        <v>21871161</v>
      </c>
    </row>
    <row r="710">
      <c r="A710" s="2">
        <f>IFERROR(__xludf.DUMMYFUNCTION("""COMPUTED_VALUE"""),45383.66666666667)</f>
        <v>45383.66667</v>
      </c>
      <c r="B710" s="1">
        <f>IFERROR(__xludf.DUMMYFUNCTION("""COMPUTED_VALUE"""),423.95)</f>
        <v>423.95</v>
      </c>
      <c r="C710" s="1">
        <f>IFERROR(__xludf.DUMMYFUNCTION("""COMPUTED_VALUE"""),427.89)</f>
        <v>427.89</v>
      </c>
      <c r="D710" s="1">
        <f>IFERROR(__xludf.DUMMYFUNCTION("""COMPUTED_VALUE"""),422.22)</f>
        <v>422.22</v>
      </c>
      <c r="E710" s="1">
        <f>IFERROR(__xludf.DUMMYFUNCTION("""COMPUTED_VALUE"""),424.57)</f>
        <v>424.57</v>
      </c>
      <c r="F710" s="1">
        <f>IFERROR(__xludf.DUMMYFUNCTION("""COMPUTED_VALUE"""),1.6315961E7)</f>
        <v>16315961</v>
      </c>
    </row>
    <row r="711">
      <c r="A711" s="2">
        <f>IFERROR(__xludf.DUMMYFUNCTION("""COMPUTED_VALUE"""),45384.66666666667)</f>
        <v>45384.66667</v>
      </c>
      <c r="B711" s="1">
        <f>IFERROR(__xludf.DUMMYFUNCTION("""COMPUTED_VALUE"""),420.11)</f>
        <v>420.11</v>
      </c>
      <c r="C711" s="1">
        <f>IFERROR(__xludf.DUMMYFUNCTION("""COMPUTED_VALUE"""),422.38)</f>
        <v>422.38</v>
      </c>
      <c r="D711" s="1">
        <f>IFERROR(__xludf.DUMMYFUNCTION("""COMPUTED_VALUE"""),417.84)</f>
        <v>417.84</v>
      </c>
      <c r="E711" s="1">
        <f>IFERROR(__xludf.DUMMYFUNCTION("""COMPUTED_VALUE"""),421.44)</f>
        <v>421.44</v>
      </c>
      <c r="F711" s="1">
        <f>IFERROR(__xludf.DUMMYFUNCTION("""COMPUTED_VALUE"""),1.7911992E7)</f>
        <v>17911992</v>
      </c>
    </row>
    <row r="712">
      <c r="A712" s="2">
        <f>IFERROR(__xludf.DUMMYFUNCTION("""COMPUTED_VALUE"""),45385.66666666667)</f>
        <v>45385.66667</v>
      </c>
      <c r="B712" s="1">
        <f>IFERROR(__xludf.DUMMYFUNCTION("""COMPUTED_VALUE"""),419.73)</f>
        <v>419.73</v>
      </c>
      <c r="C712" s="1">
        <f>IFERROR(__xludf.DUMMYFUNCTION("""COMPUTED_VALUE"""),423.26)</f>
        <v>423.26</v>
      </c>
      <c r="D712" s="1">
        <f>IFERROR(__xludf.DUMMYFUNCTION("""COMPUTED_VALUE"""),419.09)</f>
        <v>419.09</v>
      </c>
      <c r="E712" s="1">
        <f>IFERROR(__xludf.DUMMYFUNCTION("""COMPUTED_VALUE"""),420.45)</f>
        <v>420.45</v>
      </c>
      <c r="F712" s="1">
        <f>IFERROR(__xludf.DUMMYFUNCTION("""COMPUTED_VALUE"""),1.6502264E7)</f>
        <v>16502264</v>
      </c>
    </row>
    <row r="713">
      <c r="A713" s="2">
        <f>IFERROR(__xludf.DUMMYFUNCTION("""COMPUTED_VALUE"""),45386.66666666667)</f>
        <v>45386.66667</v>
      </c>
      <c r="B713" s="1">
        <f>IFERROR(__xludf.DUMMYFUNCTION("""COMPUTED_VALUE"""),424.99)</f>
        <v>424.99</v>
      </c>
      <c r="C713" s="1">
        <f>IFERROR(__xludf.DUMMYFUNCTION("""COMPUTED_VALUE"""),428.67)</f>
        <v>428.67</v>
      </c>
      <c r="D713" s="1">
        <f>IFERROR(__xludf.DUMMYFUNCTION("""COMPUTED_VALUE"""),417.57)</f>
        <v>417.57</v>
      </c>
      <c r="E713" s="1">
        <f>IFERROR(__xludf.DUMMYFUNCTION("""COMPUTED_VALUE"""),417.88)</f>
        <v>417.88</v>
      </c>
      <c r="F713" s="1">
        <f>IFERROR(__xludf.DUMMYFUNCTION("""COMPUTED_VALUE"""),1.9370875E7)</f>
        <v>19370875</v>
      </c>
    </row>
    <row r="714">
      <c r="A714" s="2">
        <f>IFERROR(__xludf.DUMMYFUNCTION("""COMPUTED_VALUE"""),45387.66666666667)</f>
        <v>45387.66667</v>
      </c>
      <c r="B714" s="1">
        <f>IFERROR(__xludf.DUMMYFUNCTION("""COMPUTED_VALUE"""),420.01)</f>
        <v>420.01</v>
      </c>
      <c r="C714" s="1">
        <f>IFERROR(__xludf.DUMMYFUNCTION("""COMPUTED_VALUE"""),426.51)</f>
        <v>426.51</v>
      </c>
      <c r="D714" s="1">
        <f>IFERROR(__xludf.DUMMYFUNCTION("""COMPUTED_VALUE"""),418.32)</f>
        <v>418.32</v>
      </c>
      <c r="E714" s="1">
        <f>IFERROR(__xludf.DUMMYFUNCTION("""COMPUTED_VALUE"""),425.52)</f>
        <v>425.52</v>
      </c>
      <c r="F714" s="1">
        <f>IFERROR(__xludf.DUMMYFUNCTION("""COMPUTED_VALUE"""),1.6554761E7)</f>
        <v>16554761</v>
      </c>
    </row>
    <row r="715">
      <c r="A715" s="2">
        <f>IFERROR(__xludf.DUMMYFUNCTION("""COMPUTED_VALUE"""),45390.66666666667)</f>
        <v>45390.66667</v>
      </c>
      <c r="B715" s="1">
        <f>IFERROR(__xludf.DUMMYFUNCTION("""COMPUTED_VALUE"""),425.17)</f>
        <v>425.17</v>
      </c>
      <c r="C715" s="1">
        <f>IFERROR(__xludf.DUMMYFUNCTION("""COMPUTED_VALUE"""),427.28)</f>
        <v>427.28</v>
      </c>
      <c r="D715" s="1">
        <f>IFERROR(__xludf.DUMMYFUNCTION("""COMPUTED_VALUE"""),423.3)</f>
        <v>423.3</v>
      </c>
      <c r="E715" s="1">
        <f>IFERROR(__xludf.DUMMYFUNCTION("""COMPUTED_VALUE"""),424.59)</f>
        <v>424.59</v>
      </c>
      <c r="F715" s="1">
        <f>IFERROR(__xludf.DUMMYFUNCTION("""COMPUTED_VALUE"""),1.4272387E7)</f>
        <v>14272387</v>
      </c>
    </row>
    <row r="716">
      <c r="A716" s="2">
        <f>IFERROR(__xludf.DUMMYFUNCTION("""COMPUTED_VALUE"""),45391.66666666667)</f>
        <v>45391.66667</v>
      </c>
      <c r="B716" s="1">
        <f>IFERROR(__xludf.DUMMYFUNCTION("""COMPUTED_VALUE"""),426.44)</f>
        <v>426.44</v>
      </c>
      <c r="C716" s="1">
        <f>IFERROR(__xludf.DUMMYFUNCTION("""COMPUTED_VALUE"""),427.74)</f>
        <v>427.74</v>
      </c>
      <c r="D716" s="1">
        <f>IFERROR(__xludf.DUMMYFUNCTION("""COMPUTED_VALUE"""),421.62)</f>
        <v>421.62</v>
      </c>
      <c r="E716" s="1">
        <f>IFERROR(__xludf.DUMMYFUNCTION("""COMPUTED_VALUE"""),426.28)</f>
        <v>426.28</v>
      </c>
      <c r="F716" s="1">
        <f>IFERROR(__xludf.DUMMYFUNCTION("""COMPUTED_VALUE"""),1.2512289E7)</f>
        <v>12512289</v>
      </c>
    </row>
    <row r="717">
      <c r="A717" s="2">
        <f>IFERROR(__xludf.DUMMYFUNCTION("""COMPUTED_VALUE"""),45392.66666666667)</f>
        <v>45392.66667</v>
      </c>
      <c r="B717" s="1">
        <f>IFERROR(__xludf.DUMMYFUNCTION("""COMPUTED_VALUE"""),422.19)</f>
        <v>422.19</v>
      </c>
      <c r="C717" s="1">
        <f>IFERROR(__xludf.DUMMYFUNCTION("""COMPUTED_VALUE"""),424.03)</f>
        <v>424.03</v>
      </c>
      <c r="D717" s="1">
        <f>IFERROR(__xludf.DUMMYFUNCTION("""COMPUTED_VALUE"""),419.7)</f>
        <v>419.7</v>
      </c>
      <c r="E717" s="1">
        <f>IFERROR(__xludf.DUMMYFUNCTION("""COMPUTED_VALUE"""),423.26)</f>
        <v>423.26</v>
      </c>
      <c r="F717" s="1">
        <f>IFERROR(__xludf.DUMMYFUNCTION("""COMPUTED_VALUE"""),1.6216581E7)</f>
        <v>16216581</v>
      </c>
    </row>
    <row r="718">
      <c r="A718" s="2">
        <f>IFERROR(__xludf.DUMMYFUNCTION("""COMPUTED_VALUE"""),45393.66666666667)</f>
        <v>45393.66667</v>
      </c>
      <c r="B718" s="1">
        <f>IFERROR(__xludf.DUMMYFUNCTION("""COMPUTED_VALUE"""),425.82)</f>
        <v>425.82</v>
      </c>
      <c r="C718" s="1">
        <f>IFERROR(__xludf.DUMMYFUNCTION("""COMPUTED_VALUE"""),429.37)</f>
        <v>429.37</v>
      </c>
      <c r="D718" s="1">
        <f>IFERROR(__xludf.DUMMYFUNCTION("""COMPUTED_VALUE"""),422.36)</f>
        <v>422.36</v>
      </c>
      <c r="E718" s="1">
        <f>IFERROR(__xludf.DUMMYFUNCTION("""COMPUTED_VALUE"""),427.93)</f>
        <v>427.93</v>
      </c>
      <c r="F718" s="1">
        <f>IFERROR(__xludf.DUMMYFUNCTION("""COMPUTED_VALUE"""),1.7966423E7)</f>
        <v>17966423</v>
      </c>
    </row>
    <row r="719">
      <c r="A719" s="2">
        <f>IFERROR(__xludf.DUMMYFUNCTION("""COMPUTED_VALUE"""),45394.66666666667)</f>
        <v>45394.66667</v>
      </c>
      <c r="B719" s="1">
        <f>IFERROR(__xludf.DUMMYFUNCTION("""COMPUTED_VALUE"""),424.05)</f>
        <v>424.05</v>
      </c>
      <c r="C719" s="1">
        <f>IFERROR(__xludf.DUMMYFUNCTION("""COMPUTED_VALUE"""),425.18)</f>
        <v>425.18</v>
      </c>
      <c r="D719" s="1">
        <f>IFERROR(__xludf.DUMMYFUNCTION("""COMPUTED_VALUE"""),419.77)</f>
        <v>419.77</v>
      </c>
      <c r="E719" s="1">
        <f>IFERROR(__xludf.DUMMYFUNCTION("""COMPUTED_VALUE"""),421.9)</f>
        <v>421.9</v>
      </c>
      <c r="F719" s="1">
        <f>IFERROR(__xludf.DUMMYFUNCTION("""COMPUTED_VALUE"""),1.925375E7)</f>
        <v>19253750</v>
      </c>
    </row>
    <row r="720">
      <c r="A720" s="2">
        <f>IFERROR(__xludf.DUMMYFUNCTION("""COMPUTED_VALUE"""),45397.66666666667)</f>
        <v>45397.66667</v>
      </c>
      <c r="B720" s="1">
        <f>IFERROR(__xludf.DUMMYFUNCTION("""COMPUTED_VALUE"""),426.6)</f>
        <v>426.6</v>
      </c>
      <c r="C720" s="1">
        <f>IFERROR(__xludf.DUMMYFUNCTION("""COMPUTED_VALUE"""),426.82)</f>
        <v>426.82</v>
      </c>
      <c r="D720" s="1">
        <f>IFERROR(__xludf.DUMMYFUNCTION("""COMPUTED_VALUE"""),413.43)</f>
        <v>413.43</v>
      </c>
      <c r="E720" s="1">
        <f>IFERROR(__xludf.DUMMYFUNCTION("""COMPUTED_VALUE"""),413.64)</f>
        <v>413.64</v>
      </c>
      <c r="F720" s="1">
        <f>IFERROR(__xludf.DUMMYFUNCTION("""COMPUTED_VALUE"""),2.0273538E7)</f>
        <v>20273538</v>
      </c>
    </row>
    <row r="721">
      <c r="A721" s="2">
        <f>IFERROR(__xludf.DUMMYFUNCTION("""COMPUTED_VALUE"""),45398.66666666667)</f>
        <v>45398.66667</v>
      </c>
      <c r="B721" s="1">
        <f>IFERROR(__xludf.DUMMYFUNCTION("""COMPUTED_VALUE"""),414.57)</f>
        <v>414.57</v>
      </c>
      <c r="C721" s="1">
        <f>IFERROR(__xludf.DUMMYFUNCTION("""COMPUTED_VALUE"""),418.4)</f>
        <v>418.4</v>
      </c>
      <c r="D721" s="1">
        <f>IFERROR(__xludf.DUMMYFUNCTION("""COMPUTED_VALUE"""),413.73)</f>
        <v>413.73</v>
      </c>
      <c r="E721" s="1">
        <f>IFERROR(__xludf.DUMMYFUNCTION("""COMPUTED_VALUE"""),414.58)</f>
        <v>414.58</v>
      </c>
      <c r="F721" s="1">
        <f>IFERROR(__xludf.DUMMYFUNCTION("""COMPUTED_VALUE"""),1.6765616E7)</f>
        <v>16765616</v>
      </c>
    </row>
    <row r="722">
      <c r="A722" s="2">
        <f>IFERROR(__xludf.DUMMYFUNCTION("""COMPUTED_VALUE"""),45399.66666666667)</f>
        <v>45399.66667</v>
      </c>
      <c r="B722" s="1">
        <f>IFERROR(__xludf.DUMMYFUNCTION("""COMPUTED_VALUE"""),417.25)</f>
        <v>417.25</v>
      </c>
      <c r="C722" s="1">
        <f>IFERROR(__xludf.DUMMYFUNCTION("""COMPUTED_VALUE"""),418.88)</f>
        <v>418.88</v>
      </c>
      <c r="D722" s="1">
        <f>IFERROR(__xludf.DUMMYFUNCTION("""COMPUTED_VALUE"""),410.33)</f>
        <v>410.33</v>
      </c>
      <c r="E722" s="1">
        <f>IFERROR(__xludf.DUMMYFUNCTION("""COMPUTED_VALUE"""),411.84)</f>
        <v>411.84</v>
      </c>
      <c r="F722" s="1">
        <f>IFERROR(__xludf.DUMMYFUNCTION("""COMPUTED_VALUE"""),1.5855485E7)</f>
        <v>15855485</v>
      </c>
    </row>
    <row r="723">
      <c r="A723" s="2">
        <f>IFERROR(__xludf.DUMMYFUNCTION("""COMPUTED_VALUE"""),45400.66666666667)</f>
        <v>45400.66667</v>
      </c>
      <c r="B723" s="1">
        <f>IFERROR(__xludf.DUMMYFUNCTION("""COMPUTED_VALUE"""),410.63)</f>
        <v>410.63</v>
      </c>
      <c r="C723" s="1">
        <f>IFERROR(__xludf.DUMMYFUNCTION("""COMPUTED_VALUE"""),411.89)</f>
        <v>411.89</v>
      </c>
      <c r="D723" s="1">
        <f>IFERROR(__xludf.DUMMYFUNCTION("""COMPUTED_VALUE"""),403.95)</f>
        <v>403.95</v>
      </c>
      <c r="E723" s="1">
        <f>IFERROR(__xludf.DUMMYFUNCTION("""COMPUTED_VALUE"""),404.27)</f>
        <v>404.27</v>
      </c>
      <c r="F723" s="1">
        <f>IFERROR(__xludf.DUMMYFUNCTION("""COMPUTED_VALUE"""),2.1029917E7)</f>
        <v>21029917</v>
      </c>
    </row>
    <row r="724">
      <c r="A724" s="2">
        <f>IFERROR(__xludf.DUMMYFUNCTION("""COMPUTED_VALUE"""),45401.66666666667)</f>
        <v>45401.66667</v>
      </c>
      <c r="B724" s="1">
        <f>IFERROR(__xludf.DUMMYFUNCTION("""COMPUTED_VALUE"""),404.03)</f>
        <v>404.03</v>
      </c>
      <c r="C724" s="1">
        <f>IFERROR(__xludf.DUMMYFUNCTION("""COMPUTED_VALUE"""),405.48)</f>
        <v>405.48</v>
      </c>
      <c r="D724" s="1">
        <f>IFERROR(__xludf.DUMMYFUNCTION("""COMPUTED_VALUE"""),397.77)</f>
        <v>397.77</v>
      </c>
      <c r="E724" s="1">
        <f>IFERROR(__xludf.DUMMYFUNCTION("""COMPUTED_VALUE"""),399.12)</f>
        <v>399.12</v>
      </c>
      <c r="F724" s="1">
        <f>IFERROR(__xludf.DUMMYFUNCTION("""COMPUTED_VALUE"""),3.0565789E7)</f>
        <v>30565789</v>
      </c>
    </row>
    <row r="725">
      <c r="A725" s="2">
        <f>IFERROR(__xludf.DUMMYFUNCTION("""COMPUTED_VALUE"""),45404.66666666667)</f>
        <v>45404.66667</v>
      </c>
      <c r="B725" s="1">
        <f>IFERROR(__xludf.DUMMYFUNCTION("""COMPUTED_VALUE"""),400.08)</f>
        <v>400.08</v>
      </c>
      <c r="C725" s="1">
        <f>IFERROR(__xludf.DUMMYFUNCTION("""COMPUTED_VALUE"""),402.85)</f>
        <v>402.85</v>
      </c>
      <c r="D725" s="1">
        <f>IFERROR(__xludf.DUMMYFUNCTION("""COMPUTED_VALUE"""),395.75)</f>
        <v>395.75</v>
      </c>
      <c r="E725" s="1">
        <f>IFERROR(__xludf.DUMMYFUNCTION("""COMPUTED_VALUE"""),400.96)</f>
        <v>400.96</v>
      </c>
      <c r="F725" s="1">
        <f>IFERROR(__xludf.DUMMYFUNCTION("""COMPUTED_VALUE"""),2.0286875E7)</f>
        <v>20286875</v>
      </c>
    </row>
    <row r="726">
      <c r="A726" s="2">
        <f>IFERROR(__xludf.DUMMYFUNCTION("""COMPUTED_VALUE"""),45405.66666666667)</f>
        <v>45405.66667</v>
      </c>
      <c r="B726" s="1">
        <f>IFERROR(__xludf.DUMMYFUNCTION("""COMPUTED_VALUE"""),404.24)</f>
        <v>404.24</v>
      </c>
      <c r="C726" s="1">
        <f>IFERROR(__xludf.DUMMYFUNCTION("""COMPUTED_VALUE"""),408.2)</f>
        <v>408.2</v>
      </c>
      <c r="D726" s="1">
        <f>IFERROR(__xludf.DUMMYFUNCTION("""COMPUTED_VALUE"""),403.06)</f>
        <v>403.06</v>
      </c>
      <c r="E726" s="1">
        <f>IFERROR(__xludf.DUMMYFUNCTION("""COMPUTED_VALUE"""),407.57)</f>
        <v>407.57</v>
      </c>
      <c r="F726" s="1">
        <f>IFERROR(__xludf.DUMMYFUNCTION("""COMPUTED_VALUE"""),1.5734501E7)</f>
        <v>15734501</v>
      </c>
    </row>
    <row r="727">
      <c r="A727" s="2">
        <f>IFERROR(__xludf.DUMMYFUNCTION("""COMPUTED_VALUE"""),45406.66666666667)</f>
        <v>45406.66667</v>
      </c>
      <c r="B727" s="1">
        <f>IFERROR(__xludf.DUMMYFUNCTION("""COMPUTED_VALUE"""),409.56)</f>
        <v>409.56</v>
      </c>
      <c r="C727" s="1">
        <f>IFERROR(__xludf.DUMMYFUNCTION("""COMPUTED_VALUE"""),412.47)</f>
        <v>412.47</v>
      </c>
      <c r="D727" s="1">
        <f>IFERROR(__xludf.DUMMYFUNCTION("""COMPUTED_VALUE"""),406.78)</f>
        <v>406.78</v>
      </c>
      <c r="E727" s="1">
        <f>IFERROR(__xludf.DUMMYFUNCTION("""COMPUTED_VALUE"""),409.06)</f>
        <v>409.06</v>
      </c>
      <c r="F727" s="1">
        <f>IFERROR(__xludf.DUMMYFUNCTION("""COMPUTED_VALUE"""),1.506533E7)</f>
        <v>15065330</v>
      </c>
    </row>
    <row r="728">
      <c r="A728" s="2">
        <f>IFERROR(__xludf.DUMMYFUNCTION("""COMPUTED_VALUE"""),45407.66666666667)</f>
        <v>45407.66667</v>
      </c>
      <c r="B728" s="1">
        <f>IFERROR(__xludf.DUMMYFUNCTION("""COMPUTED_VALUE"""),394.03)</f>
        <v>394.03</v>
      </c>
      <c r="C728" s="1">
        <f>IFERROR(__xludf.DUMMYFUNCTION("""COMPUTED_VALUE"""),399.89)</f>
        <v>399.89</v>
      </c>
      <c r="D728" s="1">
        <f>IFERROR(__xludf.DUMMYFUNCTION("""COMPUTED_VALUE"""),388.03)</f>
        <v>388.03</v>
      </c>
      <c r="E728" s="1">
        <f>IFERROR(__xludf.DUMMYFUNCTION("""COMPUTED_VALUE"""),399.04)</f>
        <v>399.04</v>
      </c>
      <c r="F728" s="1">
        <f>IFERROR(__xludf.DUMMYFUNCTION("""COMPUTED_VALUE"""),4.058645E7)</f>
        <v>40586450</v>
      </c>
    </row>
    <row r="729">
      <c r="A729" s="2">
        <f>IFERROR(__xludf.DUMMYFUNCTION("""COMPUTED_VALUE"""),45408.66666666667)</f>
        <v>45408.66667</v>
      </c>
      <c r="B729" s="1">
        <f>IFERROR(__xludf.DUMMYFUNCTION("""COMPUTED_VALUE"""),412.17)</f>
        <v>412.17</v>
      </c>
      <c r="C729" s="1">
        <f>IFERROR(__xludf.DUMMYFUNCTION("""COMPUTED_VALUE"""),413.0)</f>
        <v>413</v>
      </c>
      <c r="D729" s="1">
        <f>IFERROR(__xludf.DUMMYFUNCTION("""COMPUTED_VALUE"""),405.76)</f>
        <v>405.76</v>
      </c>
      <c r="E729" s="1">
        <f>IFERROR(__xludf.DUMMYFUNCTION("""COMPUTED_VALUE"""),406.32)</f>
        <v>406.32</v>
      </c>
      <c r="F729" s="1">
        <f>IFERROR(__xludf.DUMMYFUNCTION("""COMPUTED_VALUE"""),2.9694654E7)</f>
        <v>29694654</v>
      </c>
    </row>
    <row r="730">
      <c r="A730" s="2">
        <f>IFERROR(__xludf.DUMMYFUNCTION("""COMPUTED_VALUE"""),45411.66666666667)</f>
        <v>45411.66667</v>
      </c>
      <c r="B730" s="1">
        <f>IFERROR(__xludf.DUMMYFUNCTION("""COMPUTED_VALUE"""),405.25)</f>
        <v>405.25</v>
      </c>
      <c r="C730" s="1">
        <f>IFERROR(__xludf.DUMMYFUNCTION("""COMPUTED_VALUE"""),406.32)</f>
        <v>406.32</v>
      </c>
      <c r="D730" s="1">
        <f>IFERROR(__xludf.DUMMYFUNCTION("""COMPUTED_VALUE"""),399.19)</f>
        <v>399.19</v>
      </c>
      <c r="E730" s="1">
        <f>IFERROR(__xludf.DUMMYFUNCTION("""COMPUTED_VALUE"""),402.25)</f>
        <v>402.25</v>
      </c>
      <c r="F730" s="1">
        <f>IFERROR(__xludf.DUMMYFUNCTION("""COMPUTED_VALUE"""),1.9582091E7)</f>
        <v>19582091</v>
      </c>
    </row>
    <row r="731">
      <c r="A731" s="2">
        <f>IFERROR(__xludf.DUMMYFUNCTION("""COMPUTED_VALUE"""),45412.66666666667)</f>
        <v>45412.66667</v>
      </c>
      <c r="B731" s="1">
        <f>IFERROR(__xludf.DUMMYFUNCTION("""COMPUTED_VALUE"""),401.49)</f>
        <v>401.49</v>
      </c>
      <c r="C731" s="1">
        <f>IFERROR(__xludf.DUMMYFUNCTION("""COMPUTED_VALUE"""),402.16)</f>
        <v>402.16</v>
      </c>
      <c r="D731" s="1">
        <f>IFERROR(__xludf.DUMMYFUNCTION("""COMPUTED_VALUE"""),389.17)</f>
        <v>389.17</v>
      </c>
      <c r="E731" s="1">
        <f>IFERROR(__xludf.DUMMYFUNCTION("""COMPUTED_VALUE"""),389.33)</f>
        <v>389.33</v>
      </c>
      <c r="F731" s="1">
        <f>IFERROR(__xludf.DUMMYFUNCTION("""COMPUTED_VALUE"""),2.8781374E7)</f>
        <v>28781374</v>
      </c>
    </row>
    <row r="732">
      <c r="A732" s="2">
        <f>IFERROR(__xludf.DUMMYFUNCTION("""COMPUTED_VALUE"""),45413.66666666667)</f>
        <v>45413.66667</v>
      </c>
      <c r="B732" s="1">
        <f>IFERROR(__xludf.DUMMYFUNCTION("""COMPUTED_VALUE"""),392.61)</f>
        <v>392.61</v>
      </c>
      <c r="C732" s="1">
        <f>IFERROR(__xludf.DUMMYFUNCTION("""COMPUTED_VALUE"""),401.72)</f>
        <v>401.72</v>
      </c>
      <c r="D732" s="1">
        <f>IFERROR(__xludf.DUMMYFUNCTION("""COMPUTED_VALUE"""),390.31)</f>
        <v>390.31</v>
      </c>
      <c r="E732" s="1">
        <f>IFERROR(__xludf.DUMMYFUNCTION("""COMPUTED_VALUE"""),394.94)</f>
        <v>394.94</v>
      </c>
      <c r="F732" s="1">
        <f>IFERROR(__xludf.DUMMYFUNCTION("""COMPUTED_VALUE"""),2.3562481E7)</f>
        <v>23562481</v>
      </c>
    </row>
    <row r="733">
      <c r="A733" s="2">
        <f>IFERROR(__xludf.DUMMYFUNCTION("""COMPUTED_VALUE"""),45414.66666666667)</f>
        <v>45414.66667</v>
      </c>
      <c r="B733" s="1">
        <f>IFERROR(__xludf.DUMMYFUNCTION("""COMPUTED_VALUE"""),397.66)</f>
        <v>397.66</v>
      </c>
      <c r="C733" s="1">
        <f>IFERROR(__xludf.DUMMYFUNCTION("""COMPUTED_VALUE"""),399.93)</f>
        <v>399.93</v>
      </c>
      <c r="D733" s="1">
        <f>IFERROR(__xludf.DUMMYFUNCTION("""COMPUTED_VALUE"""),394.65)</f>
        <v>394.65</v>
      </c>
      <c r="E733" s="1">
        <f>IFERROR(__xludf.DUMMYFUNCTION("""COMPUTED_VALUE"""),397.84)</f>
        <v>397.84</v>
      </c>
      <c r="F733" s="1">
        <f>IFERROR(__xludf.DUMMYFUNCTION("""COMPUTED_VALUE"""),1.7709364E7)</f>
        <v>17709364</v>
      </c>
    </row>
    <row r="734">
      <c r="A734" s="2">
        <f>IFERROR(__xludf.DUMMYFUNCTION("""COMPUTED_VALUE"""),45415.66666666667)</f>
        <v>45415.66667</v>
      </c>
      <c r="B734" s="1">
        <f>IFERROR(__xludf.DUMMYFUNCTION("""COMPUTED_VALUE"""),402.28)</f>
        <v>402.28</v>
      </c>
      <c r="C734" s="1">
        <f>IFERROR(__xludf.DUMMYFUNCTION("""COMPUTED_VALUE"""),407.15)</f>
        <v>407.15</v>
      </c>
      <c r="D734" s="1">
        <f>IFERROR(__xludf.DUMMYFUNCTION("""COMPUTED_VALUE"""),401.86)</f>
        <v>401.86</v>
      </c>
      <c r="E734" s="1">
        <f>IFERROR(__xludf.DUMMYFUNCTION("""COMPUTED_VALUE"""),406.66)</f>
        <v>406.66</v>
      </c>
      <c r="F734" s="1">
        <f>IFERROR(__xludf.DUMMYFUNCTION("""COMPUTED_VALUE"""),1.7446724E7)</f>
        <v>17446724</v>
      </c>
    </row>
    <row r="735">
      <c r="A735" s="2">
        <f>IFERROR(__xludf.DUMMYFUNCTION("""COMPUTED_VALUE"""),45418.66666666667)</f>
        <v>45418.66667</v>
      </c>
      <c r="B735" s="1">
        <f>IFERROR(__xludf.DUMMYFUNCTION("""COMPUTED_VALUE"""),408.76)</f>
        <v>408.76</v>
      </c>
      <c r="C735" s="1">
        <f>IFERROR(__xludf.DUMMYFUNCTION("""COMPUTED_VALUE"""),413.93)</f>
        <v>413.93</v>
      </c>
      <c r="D735" s="1">
        <f>IFERROR(__xludf.DUMMYFUNCTION("""COMPUTED_VALUE"""),406.37)</f>
        <v>406.37</v>
      </c>
      <c r="E735" s="1">
        <f>IFERROR(__xludf.DUMMYFUNCTION("""COMPUTED_VALUE"""),413.54)</f>
        <v>413.54</v>
      </c>
      <c r="F735" s="1">
        <f>IFERROR(__xludf.DUMMYFUNCTION("""COMPUTED_VALUE"""),1.6996639E7)</f>
        <v>16996639</v>
      </c>
    </row>
    <row r="736">
      <c r="A736" s="2">
        <f>IFERROR(__xludf.DUMMYFUNCTION("""COMPUTED_VALUE"""),45419.66666666667)</f>
        <v>45419.66667</v>
      </c>
      <c r="B736" s="1">
        <f>IFERROR(__xludf.DUMMYFUNCTION("""COMPUTED_VALUE"""),414.66)</f>
        <v>414.66</v>
      </c>
      <c r="C736" s="1">
        <f>IFERROR(__xludf.DUMMYFUNCTION("""COMPUTED_VALUE"""),414.67)</f>
        <v>414.67</v>
      </c>
      <c r="D736" s="1">
        <f>IFERROR(__xludf.DUMMYFUNCTION("""COMPUTED_VALUE"""),409.09)</f>
        <v>409.09</v>
      </c>
      <c r="E736" s="1">
        <f>IFERROR(__xludf.DUMMYFUNCTION("""COMPUTED_VALUE"""),409.34)</f>
        <v>409.34</v>
      </c>
      <c r="F736" s="1">
        <f>IFERROR(__xludf.DUMMYFUNCTION("""COMPUTED_VALUE"""),2.0018228E7)</f>
        <v>20018228</v>
      </c>
    </row>
    <row r="737">
      <c r="A737" s="2">
        <f>IFERROR(__xludf.DUMMYFUNCTION("""COMPUTED_VALUE"""),45420.66666666667)</f>
        <v>45420.66667</v>
      </c>
      <c r="B737" s="1">
        <f>IFERROR(__xludf.DUMMYFUNCTION("""COMPUTED_VALUE"""),408.17)</f>
        <v>408.17</v>
      </c>
      <c r="C737" s="1">
        <f>IFERROR(__xludf.DUMMYFUNCTION("""COMPUTED_VALUE"""),412.23)</f>
        <v>412.23</v>
      </c>
      <c r="D737" s="1">
        <f>IFERROR(__xludf.DUMMYFUNCTION("""COMPUTED_VALUE"""),406.71)</f>
        <v>406.71</v>
      </c>
      <c r="E737" s="1">
        <f>IFERROR(__xludf.DUMMYFUNCTION("""COMPUTED_VALUE"""),410.54)</f>
        <v>410.54</v>
      </c>
      <c r="F737" s="1">
        <f>IFERROR(__xludf.DUMMYFUNCTION("""COMPUTED_VALUE"""),1.1792308E7)</f>
        <v>11792308</v>
      </c>
    </row>
    <row r="738">
      <c r="A738" s="2">
        <f>IFERROR(__xludf.DUMMYFUNCTION("""COMPUTED_VALUE"""),45421.66666666667)</f>
        <v>45421.66667</v>
      </c>
      <c r="B738" s="1">
        <f>IFERROR(__xludf.DUMMYFUNCTION("""COMPUTED_VALUE"""),410.57)</f>
        <v>410.57</v>
      </c>
      <c r="C738" s="1">
        <f>IFERROR(__xludf.DUMMYFUNCTION("""COMPUTED_VALUE"""),412.72)</f>
        <v>412.72</v>
      </c>
      <c r="D738" s="1">
        <f>IFERROR(__xludf.DUMMYFUNCTION("""COMPUTED_VALUE"""),409.1)</f>
        <v>409.1</v>
      </c>
      <c r="E738" s="1">
        <f>IFERROR(__xludf.DUMMYFUNCTION("""COMPUTED_VALUE"""),412.32)</f>
        <v>412.32</v>
      </c>
      <c r="F738" s="1">
        <f>IFERROR(__xludf.DUMMYFUNCTION("""COMPUTED_VALUE"""),1.4689727E7)</f>
        <v>14689727</v>
      </c>
    </row>
    <row r="739">
      <c r="A739" s="2">
        <f>IFERROR(__xludf.DUMMYFUNCTION("""COMPUTED_VALUE"""),45422.66666666667)</f>
        <v>45422.66667</v>
      </c>
      <c r="B739" s="1">
        <f>IFERROR(__xludf.DUMMYFUNCTION("""COMPUTED_VALUE"""),412.94)</f>
        <v>412.94</v>
      </c>
      <c r="C739" s="1">
        <f>IFERROR(__xludf.DUMMYFUNCTION("""COMPUTED_VALUE"""),415.38)</f>
        <v>415.38</v>
      </c>
      <c r="D739" s="1">
        <f>IFERROR(__xludf.DUMMYFUNCTION("""COMPUTED_VALUE"""),411.8)</f>
        <v>411.8</v>
      </c>
      <c r="E739" s="1">
        <f>IFERROR(__xludf.DUMMYFUNCTION("""COMPUTED_VALUE"""),414.74)</f>
        <v>414.74</v>
      </c>
      <c r="F739" s="1">
        <f>IFERROR(__xludf.DUMMYFUNCTION("""COMPUTED_VALUE"""),1.3402281E7)</f>
        <v>13402281</v>
      </c>
    </row>
    <row r="740">
      <c r="A740" s="2">
        <f>IFERROR(__xludf.DUMMYFUNCTION("""COMPUTED_VALUE"""),45425.66666666667)</f>
        <v>45425.66667</v>
      </c>
      <c r="B740" s="1">
        <f>IFERROR(__xludf.DUMMYFUNCTION("""COMPUTED_VALUE"""),418.01)</f>
        <v>418.01</v>
      </c>
      <c r="C740" s="1">
        <f>IFERROR(__xludf.DUMMYFUNCTION("""COMPUTED_VALUE"""),418.35)</f>
        <v>418.35</v>
      </c>
      <c r="D740" s="1">
        <f>IFERROR(__xludf.DUMMYFUNCTION("""COMPUTED_VALUE"""),410.82)</f>
        <v>410.82</v>
      </c>
      <c r="E740" s="1">
        <f>IFERROR(__xludf.DUMMYFUNCTION("""COMPUTED_VALUE"""),413.72)</f>
        <v>413.72</v>
      </c>
      <c r="F740" s="1">
        <f>IFERROR(__xludf.DUMMYFUNCTION("""COMPUTED_VALUE"""),1.5440226E7)</f>
        <v>15440226</v>
      </c>
    </row>
    <row r="741">
      <c r="A741" s="2">
        <f>IFERROR(__xludf.DUMMYFUNCTION("""COMPUTED_VALUE"""),45426.66666666667)</f>
        <v>45426.66667</v>
      </c>
      <c r="B741" s="1">
        <f>IFERROR(__xludf.DUMMYFUNCTION("""COMPUTED_VALUE"""),412.02)</f>
        <v>412.02</v>
      </c>
      <c r="C741" s="1">
        <f>IFERROR(__xludf.DUMMYFUNCTION("""COMPUTED_VALUE"""),417.49)</f>
        <v>417.49</v>
      </c>
      <c r="D741" s="1">
        <f>IFERROR(__xludf.DUMMYFUNCTION("""COMPUTED_VALUE"""),411.55)</f>
        <v>411.55</v>
      </c>
      <c r="E741" s="1">
        <f>IFERROR(__xludf.DUMMYFUNCTION("""COMPUTED_VALUE"""),416.56)</f>
        <v>416.56</v>
      </c>
      <c r="F741" s="1">
        <f>IFERROR(__xludf.DUMMYFUNCTION("""COMPUTED_VALUE"""),1.5109306E7)</f>
        <v>15109306</v>
      </c>
    </row>
    <row r="742">
      <c r="A742" s="2">
        <f>IFERROR(__xludf.DUMMYFUNCTION("""COMPUTED_VALUE"""),45427.66666666667)</f>
        <v>45427.66667</v>
      </c>
      <c r="B742" s="1">
        <f>IFERROR(__xludf.DUMMYFUNCTION("""COMPUTED_VALUE"""),417.9)</f>
        <v>417.9</v>
      </c>
      <c r="C742" s="1">
        <f>IFERROR(__xludf.DUMMYFUNCTION("""COMPUTED_VALUE"""),423.81)</f>
        <v>423.81</v>
      </c>
      <c r="D742" s="1">
        <f>IFERROR(__xludf.DUMMYFUNCTION("""COMPUTED_VALUE"""),417.27)</f>
        <v>417.27</v>
      </c>
      <c r="E742" s="1">
        <f>IFERROR(__xludf.DUMMYFUNCTION("""COMPUTED_VALUE"""),423.08)</f>
        <v>423.08</v>
      </c>
      <c r="F742" s="1">
        <f>IFERROR(__xludf.DUMMYFUNCTION("""COMPUTED_VALUE"""),2.2239533E7)</f>
        <v>22239533</v>
      </c>
    </row>
    <row r="743">
      <c r="A743" s="2">
        <f>IFERROR(__xludf.DUMMYFUNCTION("""COMPUTED_VALUE"""),45428.66666666667)</f>
        <v>45428.66667</v>
      </c>
      <c r="B743" s="1">
        <f>IFERROR(__xludf.DUMMYFUNCTION("""COMPUTED_VALUE"""),421.8)</f>
        <v>421.8</v>
      </c>
      <c r="C743" s="1">
        <f>IFERROR(__xludf.DUMMYFUNCTION("""COMPUTED_VALUE"""),425.42)</f>
        <v>425.42</v>
      </c>
      <c r="D743" s="1">
        <f>IFERROR(__xludf.DUMMYFUNCTION("""COMPUTED_VALUE"""),420.35)</f>
        <v>420.35</v>
      </c>
      <c r="E743" s="1">
        <f>IFERROR(__xludf.DUMMYFUNCTION("""COMPUTED_VALUE"""),420.99)</f>
        <v>420.99</v>
      </c>
      <c r="F743" s="1">
        <f>IFERROR(__xludf.DUMMYFUNCTION("""COMPUTED_VALUE"""),1.753005E7)</f>
        <v>17530050</v>
      </c>
    </row>
    <row r="744">
      <c r="A744" s="2">
        <f>IFERROR(__xludf.DUMMYFUNCTION("""COMPUTED_VALUE"""),45429.66666666667)</f>
        <v>45429.66667</v>
      </c>
      <c r="B744" s="1">
        <f>IFERROR(__xludf.DUMMYFUNCTION("""COMPUTED_VALUE"""),422.54)</f>
        <v>422.54</v>
      </c>
      <c r="C744" s="1">
        <f>IFERROR(__xludf.DUMMYFUNCTION("""COMPUTED_VALUE"""),422.92)</f>
        <v>422.92</v>
      </c>
      <c r="D744" s="1">
        <f>IFERROR(__xludf.DUMMYFUNCTION("""COMPUTED_VALUE"""),418.03)</f>
        <v>418.03</v>
      </c>
      <c r="E744" s="1">
        <f>IFERROR(__xludf.DUMMYFUNCTION("""COMPUTED_VALUE"""),420.21)</f>
        <v>420.21</v>
      </c>
      <c r="F744" s="1">
        <f>IFERROR(__xludf.DUMMYFUNCTION("""COMPUTED_VALUE"""),1.5352239E7)</f>
        <v>15352239</v>
      </c>
    </row>
    <row r="745">
      <c r="A745" s="2">
        <f>IFERROR(__xludf.DUMMYFUNCTION("""COMPUTED_VALUE"""),45432.66666666667)</f>
        <v>45432.66667</v>
      </c>
      <c r="B745" s="1">
        <f>IFERROR(__xludf.DUMMYFUNCTION("""COMPUTED_VALUE"""),420.21)</f>
        <v>420.21</v>
      </c>
      <c r="C745" s="1">
        <f>IFERROR(__xludf.DUMMYFUNCTION("""COMPUTED_VALUE"""),426.77)</f>
        <v>426.77</v>
      </c>
      <c r="D745" s="1">
        <f>IFERROR(__xludf.DUMMYFUNCTION("""COMPUTED_VALUE"""),419.99)</f>
        <v>419.99</v>
      </c>
      <c r="E745" s="1">
        <f>IFERROR(__xludf.DUMMYFUNCTION("""COMPUTED_VALUE"""),425.34)</f>
        <v>425.34</v>
      </c>
      <c r="F745" s="1">
        <f>IFERROR(__xludf.DUMMYFUNCTION("""COMPUTED_VALUE"""),1.6272137E7)</f>
        <v>16272137</v>
      </c>
    </row>
    <row r="746">
      <c r="A746" s="2">
        <f>IFERROR(__xludf.DUMMYFUNCTION("""COMPUTED_VALUE"""),45433.66666666667)</f>
        <v>45433.66667</v>
      </c>
      <c r="B746" s="1">
        <f>IFERROR(__xludf.DUMMYFUNCTION("""COMPUTED_VALUE"""),426.83)</f>
        <v>426.83</v>
      </c>
      <c r="C746" s="1">
        <f>IFERROR(__xludf.DUMMYFUNCTION("""COMPUTED_VALUE"""),432.97)</f>
        <v>432.97</v>
      </c>
      <c r="D746" s="1">
        <f>IFERROR(__xludf.DUMMYFUNCTION("""COMPUTED_VALUE"""),424.85)</f>
        <v>424.85</v>
      </c>
      <c r="E746" s="1">
        <f>IFERROR(__xludf.DUMMYFUNCTION("""COMPUTED_VALUE"""),429.04)</f>
        <v>429.04</v>
      </c>
      <c r="F746" s="1">
        <f>IFERROR(__xludf.DUMMYFUNCTION("""COMPUTED_VALUE"""),2.1453255E7)</f>
        <v>21453255</v>
      </c>
    </row>
    <row r="747">
      <c r="A747" s="2">
        <f>IFERROR(__xludf.DUMMYFUNCTION("""COMPUTED_VALUE"""),45434.66666666667)</f>
        <v>45434.66667</v>
      </c>
      <c r="B747" s="1">
        <f>IFERROR(__xludf.DUMMYFUNCTION("""COMPUTED_VALUE"""),430.09)</f>
        <v>430.09</v>
      </c>
      <c r="C747" s="1">
        <f>IFERROR(__xludf.DUMMYFUNCTION("""COMPUTED_VALUE"""),432.41)</f>
        <v>432.41</v>
      </c>
      <c r="D747" s="1">
        <f>IFERROR(__xludf.DUMMYFUNCTION("""COMPUTED_VALUE"""),427.13)</f>
        <v>427.13</v>
      </c>
      <c r="E747" s="1">
        <f>IFERROR(__xludf.DUMMYFUNCTION("""COMPUTED_VALUE"""),430.52)</f>
        <v>430.52</v>
      </c>
      <c r="F747" s="1">
        <f>IFERROR(__xludf.DUMMYFUNCTION("""COMPUTED_VALUE"""),1.8073698E7)</f>
        <v>18073698</v>
      </c>
    </row>
    <row r="748">
      <c r="A748" s="2">
        <f>IFERROR(__xludf.DUMMYFUNCTION("""COMPUTED_VALUE"""),45435.66666666667)</f>
        <v>45435.66667</v>
      </c>
      <c r="B748" s="1">
        <f>IFERROR(__xludf.DUMMYFUNCTION("""COMPUTED_VALUE"""),432.97)</f>
        <v>432.97</v>
      </c>
      <c r="C748" s="1">
        <f>IFERROR(__xludf.DUMMYFUNCTION("""COMPUTED_VALUE"""),433.6)</f>
        <v>433.6</v>
      </c>
      <c r="D748" s="1">
        <f>IFERROR(__xludf.DUMMYFUNCTION("""COMPUTED_VALUE"""),425.42)</f>
        <v>425.42</v>
      </c>
      <c r="E748" s="1">
        <f>IFERROR(__xludf.DUMMYFUNCTION("""COMPUTED_VALUE"""),427.0)</f>
        <v>427</v>
      </c>
      <c r="F748" s="1">
        <f>IFERROR(__xludf.DUMMYFUNCTION("""COMPUTED_VALUE"""),1.7211689E7)</f>
        <v>17211689</v>
      </c>
    </row>
    <row r="749">
      <c r="A749" s="2">
        <f>IFERROR(__xludf.DUMMYFUNCTION("""COMPUTED_VALUE"""),45436.66666666667)</f>
        <v>45436.66667</v>
      </c>
      <c r="B749" s="1">
        <f>IFERROR(__xludf.DUMMYFUNCTION("""COMPUTED_VALUE"""),427.19)</f>
        <v>427.19</v>
      </c>
      <c r="C749" s="1">
        <f>IFERROR(__xludf.DUMMYFUNCTION("""COMPUTED_VALUE"""),431.06)</f>
        <v>431.06</v>
      </c>
      <c r="D749" s="1">
        <f>IFERROR(__xludf.DUMMYFUNCTION("""COMPUTED_VALUE"""),424.41)</f>
        <v>424.41</v>
      </c>
      <c r="E749" s="1">
        <f>IFERROR(__xludf.DUMMYFUNCTION("""COMPUTED_VALUE"""),430.16)</f>
        <v>430.16</v>
      </c>
      <c r="F749" s="1">
        <f>IFERROR(__xludf.DUMMYFUNCTION("""COMPUTED_VALUE"""),1.1855285E7)</f>
        <v>11855285</v>
      </c>
    </row>
    <row r="750">
      <c r="A750" s="2">
        <f>IFERROR(__xludf.DUMMYFUNCTION("""COMPUTED_VALUE"""),45440.66666666667)</f>
        <v>45440.66667</v>
      </c>
      <c r="B750" s="1">
        <f>IFERROR(__xludf.DUMMYFUNCTION("""COMPUTED_VALUE"""),429.63)</f>
        <v>429.63</v>
      </c>
      <c r="C750" s="1">
        <f>IFERROR(__xludf.DUMMYFUNCTION("""COMPUTED_VALUE"""),430.82)</f>
        <v>430.82</v>
      </c>
      <c r="D750" s="1">
        <f>IFERROR(__xludf.DUMMYFUNCTION("""COMPUTED_VALUE"""),426.6)</f>
        <v>426.6</v>
      </c>
      <c r="E750" s="1">
        <f>IFERROR(__xludf.DUMMYFUNCTION("""COMPUTED_VALUE"""),430.32)</f>
        <v>430.32</v>
      </c>
      <c r="F750" s="1">
        <f>IFERROR(__xludf.DUMMYFUNCTION("""COMPUTED_VALUE"""),1.5718024E7)</f>
        <v>15718024</v>
      </c>
    </row>
    <row r="751">
      <c r="A751" s="2">
        <f>IFERROR(__xludf.DUMMYFUNCTION("""COMPUTED_VALUE"""),45441.66666666667)</f>
        <v>45441.66667</v>
      </c>
      <c r="B751" s="1">
        <f>IFERROR(__xludf.DUMMYFUNCTION("""COMPUTED_VALUE"""),425.69)</f>
        <v>425.69</v>
      </c>
      <c r="C751" s="1">
        <f>IFERROR(__xludf.DUMMYFUNCTION("""COMPUTED_VALUE"""),430.94)</f>
        <v>430.94</v>
      </c>
      <c r="D751" s="1">
        <f>IFERROR(__xludf.DUMMYFUNCTION("""COMPUTED_VALUE"""),425.69)</f>
        <v>425.69</v>
      </c>
      <c r="E751" s="1">
        <f>IFERROR(__xludf.DUMMYFUNCTION("""COMPUTED_VALUE"""),429.17)</f>
        <v>429.17</v>
      </c>
      <c r="F751" s="1">
        <f>IFERROR(__xludf.DUMMYFUNCTION("""COMPUTED_VALUE"""),1.551713E7)</f>
        <v>15517130</v>
      </c>
    </row>
    <row r="752">
      <c r="A752" s="2">
        <f>IFERROR(__xludf.DUMMYFUNCTION("""COMPUTED_VALUE"""),45442.66666666667)</f>
        <v>45442.66667</v>
      </c>
      <c r="B752" s="1">
        <f>IFERROR(__xludf.DUMMYFUNCTION("""COMPUTED_VALUE"""),424.3)</f>
        <v>424.3</v>
      </c>
      <c r="C752" s="1">
        <f>IFERROR(__xludf.DUMMYFUNCTION("""COMPUTED_VALUE"""),424.3)</f>
        <v>424.3</v>
      </c>
      <c r="D752" s="1">
        <f>IFERROR(__xludf.DUMMYFUNCTION("""COMPUTED_VALUE"""),414.24)</f>
        <v>414.24</v>
      </c>
      <c r="E752" s="1">
        <f>IFERROR(__xludf.DUMMYFUNCTION("""COMPUTED_VALUE"""),414.67)</f>
        <v>414.67</v>
      </c>
      <c r="F752" s="1">
        <f>IFERROR(__xludf.DUMMYFUNCTION("""COMPUTED_VALUE"""),2.8424847E7)</f>
        <v>28424847</v>
      </c>
    </row>
    <row r="753">
      <c r="A753" s="2">
        <f>IFERROR(__xludf.DUMMYFUNCTION("""COMPUTED_VALUE"""),45443.66666666667)</f>
        <v>45443.66667</v>
      </c>
      <c r="B753" s="1">
        <f>IFERROR(__xludf.DUMMYFUNCTION("""COMPUTED_VALUE"""),416.75)</f>
        <v>416.75</v>
      </c>
      <c r="C753" s="1">
        <f>IFERROR(__xludf.DUMMYFUNCTION("""COMPUTED_VALUE"""),416.75)</f>
        <v>416.75</v>
      </c>
      <c r="D753" s="1">
        <f>IFERROR(__xludf.DUMMYFUNCTION("""COMPUTED_VALUE"""),404.51)</f>
        <v>404.51</v>
      </c>
      <c r="E753" s="1">
        <f>IFERROR(__xludf.DUMMYFUNCTION("""COMPUTED_VALUE"""),415.13)</f>
        <v>415.13</v>
      </c>
      <c r="F753" s="1">
        <f>IFERROR(__xludf.DUMMYFUNCTION("""COMPUTED_VALUE"""),4.799525E7)</f>
        <v>47995250</v>
      </c>
    </row>
    <row r="754">
      <c r="A754" s="2">
        <f>IFERROR(__xludf.DUMMYFUNCTION("""COMPUTED_VALUE"""),45446.66666666667)</f>
        <v>45446.66667</v>
      </c>
      <c r="B754" s="1">
        <f>IFERROR(__xludf.DUMMYFUNCTION("""COMPUTED_VALUE"""),415.53)</f>
        <v>415.53</v>
      </c>
      <c r="C754" s="1">
        <f>IFERROR(__xludf.DUMMYFUNCTION("""COMPUTED_VALUE"""),416.43)</f>
        <v>416.43</v>
      </c>
      <c r="D754" s="1">
        <f>IFERROR(__xludf.DUMMYFUNCTION("""COMPUTED_VALUE"""),408.92)</f>
        <v>408.92</v>
      </c>
      <c r="E754" s="1">
        <f>IFERROR(__xludf.DUMMYFUNCTION("""COMPUTED_VALUE"""),413.52)</f>
        <v>413.52</v>
      </c>
      <c r="F754" s="1">
        <f>IFERROR(__xludf.DUMMYFUNCTION("""COMPUTED_VALUE"""),1.7484675E7)</f>
        <v>17484675</v>
      </c>
    </row>
    <row r="755">
      <c r="A755" s="2">
        <f>IFERROR(__xludf.DUMMYFUNCTION("""COMPUTED_VALUE"""),45447.66666666667)</f>
        <v>45447.66667</v>
      </c>
      <c r="B755" s="1">
        <f>IFERROR(__xludf.DUMMYFUNCTION("""COMPUTED_VALUE"""),412.43)</f>
        <v>412.43</v>
      </c>
      <c r="C755" s="1">
        <f>IFERROR(__xludf.DUMMYFUNCTION("""COMPUTED_VALUE"""),416.44)</f>
        <v>416.44</v>
      </c>
      <c r="D755" s="1">
        <f>IFERROR(__xludf.DUMMYFUNCTION("""COMPUTED_VALUE"""),409.68)</f>
        <v>409.68</v>
      </c>
      <c r="E755" s="1">
        <f>IFERROR(__xludf.DUMMYFUNCTION("""COMPUTED_VALUE"""),416.07)</f>
        <v>416.07</v>
      </c>
      <c r="F755" s="1">
        <f>IFERROR(__xludf.DUMMYFUNCTION("""COMPUTED_VALUE"""),1.4348917E7)</f>
        <v>14348917</v>
      </c>
    </row>
    <row r="756">
      <c r="A756" s="2">
        <f>IFERROR(__xludf.DUMMYFUNCTION("""COMPUTED_VALUE"""),45448.66666666667)</f>
        <v>45448.66667</v>
      </c>
      <c r="B756" s="1">
        <f>IFERROR(__xludf.DUMMYFUNCTION("""COMPUTED_VALUE"""),417.81)</f>
        <v>417.81</v>
      </c>
      <c r="C756" s="1">
        <f>IFERROR(__xludf.DUMMYFUNCTION("""COMPUTED_VALUE"""),424.08)</f>
        <v>424.08</v>
      </c>
      <c r="D756" s="1">
        <f>IFERROR(__xludf.DUMMYFUNCTION("""COMPUTED_VALUE"""),416.3)</f>
        <v>416.3</v>
      </c>
      <c r="E756" s="1">
        <f>IFERROR(__xludf.DUMMYFUNCTION("""COMPUTED_VALUE"""),424.01)</f>
        <v>424.01</v>
      </c>
      <c r="F756" s="1">
        <f>IFERROR(__xludf.DUMMYFUNCTION("""COMPUTED_VALUE"""),1.6988038E7)</f>
        <v>16988038</v>
      </c>
    </row>
    <row r="757">
      <c r="A757" s="2">
        <f>IFERROR(__xludf.DUMMYFUNCTION("""COMPUTED_VALUE"""),45449.66666666667)</f>
        <v>45449.66667</v>
      </c>
      <c r="B757" s="1">
        <f>IFERROR(__xludf.DUMMYFUNCTION("""COMPUTED_VALUE"""),424.01)</f>
        <v>424.01</v>
      </c>
      <c r="C757" s="1">
        <f>IFERROR(__xludf.DUMMYFUNCTION("""COMPUTED_VALUE"""),425.31)</f>
        <v>425.31</v>
      </c>
      <c r="D757" s="1">
        <f>IFERROR(__xludf.DUMMYFUNCTION("""COMPUTED_VALUE"""),420.58)</f>
        <v>420.58</v>
      </c>
      <c r="E757" s="1">
        <f>IFERROR(__xludf.DUMMYFUNCTION("""COMPUTED_VALUE"""),424.52)</f>
        <v>424.52</v>
      </c>
      <c r="F757" s="1">
        <f>IFERROR(__xludf.DUMMYFUNCTION("""COMPUTED_VALUE"""),1.4861251E7)</f>
        <v>14861251</v>
      </c>
    </row>
    <row r="758">
      <c r="A758" s="2">
        <f>IFERROR(__xludf.DUMMYFUNCTION("""COMPUTED_VALUE"""),45450.66666666667)</f>
        <v>45450.66667</v>
      </c>
      <c r="B758" s="1">
        <f>IFERROR(__xludf.DUMMYFUNCTION("""COMPUTED_VALUE"""),426.2)</f>
        <v>426.2</v>
      </c>
      <c r="C758" s="1">
        <f>IFERROR(__xludf.DUMMYFUNCTION("""COMPUTED_VALUE"""),426.28)</f>
        <v>426.28</v>
      </c>
      <c r="D758" s="1">
        <f>IFERROR(__xludf.DUMMYFUNCTION("""COMPUTED_VALUE"""),423.0)</f>
        <v>423</v>
      </c>
      <c r="E758" s="1">
        <f>IFERROR(__xludf.DUMMYFUNCTION("""COMPUTED_VALUE"""),423.85)</f>
        <v>423.85</v>
      </c>
      <c r="F758" s="1">
        <f>IFERROR(__xludf.DUMMYFUNCTION("""COMPUTED_VALUE"""),1.362165E7)</f>
        <v>13621650</v>
      </c>
    </row>
    <row r="759">
      <c r="A759" s="2">
        <f>IFERROR(__xludf.DUMMYFUNCTION("""COMPUTED_VALUE"""),45453.66666666667)</f>
        <v>45453.66667</v>
      </c>
      <c r="B759" s="1">
        <f>IFERROR(__xludf.DUMMYFUNCTION("""COMPUTED_VALUE"""),424.7)</f>
        <v>424.7</v>
      </c>
      <c r="C759" s="1">
        <f>IFERROR(__xludf.DUMMYFUNCTION("""COMPUTED_VALUE"""),428.08)</f>
        <v>428.08</v>
      </c>
      <c r="D759" s="1">
        <f>IFERROR(__xludf.DUMMYFUNCTION("""COMPUTED_VALUE"""),423.89)</f>
        <v>423.89</v>
      </c>
      <c r="E759" s="1">
        <f>IFERROR(__xludf.DUMMYFUNCTION("""COMPUTED_VALUE"""),427.87)</f>
        <v>427.87</v>
      </c>
      <c r="F759" s="1">
        <f>IFERROR(__xludf.DUMMYFUNCTION("""COMPUTED_VALUE"""),1.4003034E7)</f>
        <v>14003034</v>
      </c>
    </row>
    <row r="760">
      <c r="A760" s="2">
        <f>IFERROR(__xludf.DUMMYFUNCTION("""COMPUTED_VALUE"""),45454.66666666667)</f>
        <v>45454.66667</v>
      </c>
      <c r="B760" s="1">
        <f>IFERROR(__xludf.DUMMYFUNCTION("""COMPUTED_VALUE"""),425.48)</f>
        <v>425.48</v>
      </c>
      <c r="C760" s="1">
        <f>IFERROR(__xludf.DUMMYFUNCTION("""COMPUTED_VALUE"""),432.82)</f>
        <v>432.82</v>
      </c>
      <c r="D760" s="1">
        <f>IFERROR(__xludf.DUMMYFUNCTION("""COMPUTED_VALUE"""),425.25)</f>
        <v>425.25</v>
      </c>
      <c r="E760" s="1">
        <f>IFERROR(__xludf.DUMMYFUNCTION("""COMPUTED_VALUE"""),432.68)</f>
        <v>432.68</v>
      </c>
      <c r="F760" s="1">
        <f>IFERROR(__xludf.DUMMYFUNCTION("""COMPUTED_VALUE"""),1.4551101E7)</f>
        <v>14551101</v>
      </c>
    </row>
    <row r="761">
      <c r="A761" s="2">
        <f>IFERROR(__xludf.DUMMYFUNCTION("""COMPUTED_VALUE"""),45455.66666666667)</f>
        <v>45455.66667</v>
      </c>
      <c r="B761" s="1">
        <f>IFERROR(__xludf.DUMMYFUNCTION("""COMPUTED_VALUE"""),435.32)</f>
        <v>435.32</v>
      </c>
      <c r="C761" s="1">
        <f>IFERROR(__xludf.DUMMYFUNCTION("""COMPUTED_VALUE"""),443.4)</f>
        <v>443.4</v>
      </c>
      <c r="D761" s="1">
        <f>IFERROR(__xludf.DUMMYFUNCTION("""COMPUTED_VALUE"""),433.25)</f>
        <v>433.25</v>
      </c>
      <c r="E761" s="1">
        <f>IFERROR(__xludf.DUMMYFUNCTION("""COMPUTED_VALUE"""),441.06)</f>
        <v>441.06</v>
      </c>
      <c r="F761" s="1">
        <f>IFERROR(__xludf.DUMMYFUNCTION("""COMPUTED_VALUE"""),2.2366233E7)</f>
        <v>22366233</v>
      </c>
    </row>
    <row r="762">
      <c r="A762" s="2">
        <f>IFERROR(__xludf.DUMMYFUNCTION("""COMPUTED_VALUE"""),45456.66666666667)</f>
        <v>45456.66667</v>
      </c>
      <c r="B762" s="1">
        <f>IFERROR(__xludf.DUMMYFUNCTION("""COMPUTED_VALUE"""),440.85)</f>
        <v>440.85</v>
      </c>
      <c r="C762" s="1">
        <f>IFERROR(__xludf.DUMMYFUNCTION("""COMPUTED_VALUE"""),443.39)</f>
        <v>443.39</v>
      </c>
      <c r="D762" s="1">
        <f>IFERROR(__xludf.DUMMYFUNCTION("""COMPUTED_VALUE"""),439.37)</f>
        <v>439.37</v>
      </c>
      <c r="E762" s="1">
        <f>IFERROR(__xludf.DUMMYFUNCTION("""COMPUTED_VALUE"""),441.58)</f>
        <v>441.58</v>
      </c>
      <c r="F762" s="1">
        <f>IFERROR(__xludf.DUMMYFUNCTION("""COMPUTED_VALUE"""),1.5960565E7)</f>
        <v>15960565</v>
      </c>
    </row>
    <row r="763">
      <c r="A763" s="2">
        <f>IFERROR(__xludf.DUMMYFUNCTION("""COMPUTED_VALUE"""),45457.66666666667)</f>
        <v>45457.66667</v>
      </c>
      <c r="B763" s="1">
        <f>IFERROR(__xludf.DUMMYFUNCTION("""COMPUTED_VALUE"""),438.28)</f>
        <v>438.28</v>
      </c>
      <c r="C763" s="1">
        <f>IFERROR(__xludf.DUMMYFUNCTION("""COMPUTED_VALUE"""),443.14)</f>
        <v>443.14</v>
      </c>
      <c r="D763" s="1">
        <f>IFERROR(__xludf.DUMMYFUNCTION("""COMPUTED_VALUE"""),436.72)</f>
        <v>436.72</v>
      </c>
      <c r="E763" s="1">
        <f>IFERROR(__xludf.DUMMYFUNCTION("""COMPUTED_VALUE"""),442.57)</f>
        <v>442.57</v>
      </c>
      <c r="F763" s="1">
        <f>IFERROR(__xludf.DUMMYFUNCTION("""COMPUTED_VALUE"""),1.3581985E7)</f>
        <v>13581985</v>
      </c>
    </row>
    <row r="764">
      <c r="A764" s="2">
        <f>IFERROR(__xludf.DUMMYFUNCTION("""COMPUTED_VALUE"""),45460.66666666667)</f>
        <v>45460.66667</v>
      </c>
      <c r="B764" s="1">
        <f>IFERROR(__xludf.DUMMYFUNCTION("""COMPUTED_VALUE"""),442.59)</f>
        <v>442.59</v>
      </c>
      <c r="C764" s="1">
        <f>IFERROR(__xludf.DUMMYFUNCTION("""COMPUTED_VALUE"""),450.94)</f>
        <v>450.94</v>
      </c>
      <c r="D764" s="1">
        <f>IFERROR(__xludf.DUMMYFUNCTION("""COMPUTED_VALUE"""),440.72)</f>
        <v>440.72</v>
      </c>
      <c r="E764" s="1">
        <f>IFERROR(__xludf.DUMMYFUNCTION("""COMPUTED_VALUE"""),448.37)</f>
        <v>448.37</v>
      </c>
      <c r="F764" s="1">
        <f>IFERROR(__xludf.DUMMYFUNCTION("""COMPUTED_VALUE"""),2.079003E7)</f>
        <v>20790030</v>
      </c>
    </row>
    <row r="765">
      <c r="A765" s="2">
        <f>IFERROR(__xludf.DUMMYFUNCTION("""COMPUTED_VALUE"""),45461.66666666667)</f>
        <v>45461.66667</v>
      </c>
      <c r="B765" s="1">
        <f>IFERROR(__xludf.DUMMYFUNCTION("""COMPUTED_VALUE"""),449.71)</f>
        <v>449.71</v>
      </c>
      <c r="C765" s="1">
        <f>IFERROR(__xludf.DUMMYFUNCTION("""COMPUTED_VALUE"""),450.14)</f>
        <v>450.14</v>
      </c>
      <c r="D765" s="1">
        <f>IFERROR(__xludf.DUMMYFUNCTION("""COMPUTED_VALUE"""),444.89)</f>
        <v>444.89</v>
      </c>
      <c r="E765" s="1">
        <f>IFERROR(__xludf.DUMMYFUNCTION("""COMPUTED_VALUE"""),446.34)</f>
        <v>446.34</v>
      </c>
      <c r="F765" s="1">
        <f>IFERROR(__xludf.DUMMYFUNCTION("""COMPUTED_VALUE"""),1.7112504E7)</f>
        <v>17112504</v>
      </c>
    </row>
    <row r="766">
      <c r="A766" s="2">
        <f>IFERROR(__xludf.DUMMYFUNCTION("""COMPUTED_VALUE"""),45463.66666666667)</f>
        <v>45463.66667</v>
      </c>
      <c r="B766" s="1">
        <f>IFERROR(__xludf.DUMMYFUNCTION("""COMPUTED_VALUE"""),446.3)</f>
        <v>446.3</v>
      </c>
      <c r="C766" s="1">
        <f>IFERROR(__xludf.DUMMYFUNCTION("""COMPUTED_VALUE"""),446.53)</f>
        <v>446.53</v>
      </c>
      <c r="D766" s="1">
        <f>IFERROR(__xludf.DUMMYFUNCTION("""COMPUTED_VALUE"""),441.27)</f>
        <v>441.27</v>
      </c>
      <c r="E766" s="1">
        <f>IFERROR(__xludf.DUMMYFUNCTION("""COMPUTED_VALUE"""),445.7)</f>
        <v>445.7</v>
      </c>
      <c r="F766" s="1">
        <f>IFERROR(__xludf.DUMMYFUNCTION("""COMPUTED_VALUE"""),1.9877378E7)</f>
        <v>19877378</v>
      </c>
    </row>
    <row r="767">
      <c r="A767" s="2">
        <f>IFERROR(__xludf.DUMMYFUNCTION("""COMPUTED_VALUE"""),45464.66666666667)</f>
        <v>45464.66667</v>
      </c>
      <c r="B767" s="1">
        <f>IFERROR(__xludf.DUMMYFUNCTION("""COMPUTED_VALUE"""),447.38)</f>
        <v>447.38</v>
      </c>
      <c r="C767" s="1">
        <f>IFERROR(__xludf.DUMMYFUNCTION("""COMPUTED_VALUE"""),450.58)</f>
        <v>450.58</v>
      </c>
      <c r="D767" s="1">
        <f>IFERROR(__xludf.DUMMYFUNCTION("""COMPUTED_VALUE"""),446.51)</f>
        <v>446.51</v>
      </c>
      <c r="E767" s="1">
        <f>IFERROR(__xludf.DUMMYFUNCTION("""COMPUTED_VALUE"""),449.78)</f>
        <v>449.78</v>
      </c>
      <c r="F767" s="1">
        <f>IFERROR(__xludf.DUMMYFUNCTION("""COMPUTED_VALUE"""),3.4486172E7)</f>
        <v>34486172</v>
      </c>
    </row>
    <row r="768">
      <c r="A768" s="2">
        <f>IFERROR(__xludf.DUMMYFUNCTION("""COMPUTED_VALUE"""),45467.66666666667)</f>
        <v>45467.66667</v>
      </c>
      <c r="B768" s="1">
        <f>IFERROR(__xludf.DUMMYFUNCTION("""COMPUTED_VALUE"""),449.8)</f>
        <v>449.8</v>
      </c>
      <c r="C768" s="1">
        <f>IFERROR(__xludf.DUMMYFUNCTION("""COMPUTED_VALUE"""),452.75)</f>
        <v>452.75</v>
      </c>
      <c r="D768" s="1">
        <f>IFERROR(__xludf.DUMMYFUNCTION("""COMPUTED_VALUE"""),446.41)</f>
        <v>446.41</v>
      </c>
      <c r="E768" s="1">
        <f>IFERROR(__xludf.DUMMYFUNCTION("""COMPUTED_VALUE"""),447.67)</f>
        <v>447.67</v>
      </c>
      <c r="F768" s="1">
        <f>IFERROR(__xludf.DUMMYFUNCTION("""COMPUTED_VALUE"""),1.5913719E7)</f>
        <v>15913719</v>
      </c>
    </row>
    <row r="769">
      <c r="A769" s="2">
        <f>IFERROR(__xludf.DUMMYFUNCTION("""COMPUTED_VALUE"""),45468.66666666667)</f>
        <v>45468.66667</v>
      </c>
      <c r="B769" s="1">
        <f>IFERROR(__xludf.DUMMYFUNCTION("""COMPUTED_VALUE"""),448.25)</f>
        <v>448.25</v>
      </c>
      <c r="C769" s="1">
        <f>IFERROR(__xludf.DUMMYFUNCTION("""COMPUTED_VALUE"""),451.42)</f>
        <v>451.42</v>
      </c>
      <c r="D769" s="1">
        <f>IFERROR(__xludf.DUMMYFUNCTION("""COMPUTED_VALUE"""),446.75)</f>
        <v>446.75</v>
      </c>
      <c r="E769" s="1">
        <f>IFERROR(__xludf.DUMMYFUNCTION("""COMPUTED_VALUE"""),450.95)</f>
        <v>450.95</v>
      </c>
      <c r="F769" s="1">
        <f>IFERROR(__xludf.DUMMYFUNCTION("""COMPUTED_VALUE"""),1.6747529E7)</f>
        <v>16747529</v>
      </c>
    </row>
    <row r="770">
      <c r="A770" s="2">
        <f>IFERROR(__xludf.DUMMYFUNCTION("""COMPUTED_VALUE"""),45469.66666666667)</f>
        <v>45469.66667</v>
      </c>
      <c r="B770" s="1">
        <f>IFERROR(__xludf.DUMMYFUNCTION("""COMPUTED_VALUE"""),449.0)</f>
        <v>449</v>
      </c>
      <c r="C770" s="1">
        <f>IFERROR(__xludf.DUMMYFUNCTION("""COMPUTED_VALUE"""),453.6)</f>
        <v>453.6</v>
      </c>
      <c r="D770" s="1">
        <f>IFERROR(__xludf.DUMMYFUNCTION("""COMPUTED_VALUE"""),448.19)</f>
        <v>448.19</v>
      </c>
      <c r="E770" s="1">
        <f>IFERROR(__xludf.DUMMYFUNCTION("""COMPUTED_VALUE"""),452.16)</f>
        <v>452.16</v>
      </c>
      <c r="F770" s="1">
        <f>IFERROR(__xludf.DUMMYFUNCTION("""COMPUTED_VALUE"""),1.650703E7)</f>
        <v>16507030</v>
      </c>
    </row>
    <row r="771">
      <c r="A771" s="2">
        <f>IFERROR(__xludf.DUMMYFUNCTION("""COMPUTED_VALUE"""),45470.66666666667)</f>
        <v>45470.66667</v>
      </c>
      <c r="B771" s="1">
        <f>IFERROR(__xludf.DUMMYFUNCTION("""COMPUTED_VALUE"""),452.18)</f>
        <v>452.18</v>
      </c>
      <c r="C771" s="1">
        <f>IFERROR(__xludf.DUMMYFUNCTION("""COMPUTED_VALUE"""),456.17)</f>
        <v>456.17</v>
      </c>
      <c r="D771" s="1">
        <f>IFERROR(__xludf.DUMMYFUNCTION("""COMPUTED_VALUE"""),451.77)</f>
        <v>451.77</v>
      </c>
      <c r="E771" s="1">
        <f>IFERROR(__xludf.DUMMYFUNCTION("""COMPUTED_VALUE"""),452.85)</f>
        <v>452.85</v>
      </c>
      <c r="F771" s="1">
        <f>IFERROR(__xludf.DUMMYFUNCTION("""COMPUTED_VALUE"""),1.4806324E7)</f>
        <v>14806324</v>
      </c>
    </row>
    <row r="772">
      <c r="A772" s="2">
        <f>IFERROR(__xludf.DUMMYFUNCTION("""COMPUTED_VALUE"""),45471.66666666667)</f>
        <v>45471.66667</v>
      </c>
      <c r="B772" s="1">
        <f>IFERROR(__xludf.DUMMYFUNCTION("""COMPUTED_VALUE"""),453.07)</f>
        <v>453.07</v>
      </c>
      <c r="C772" s="1">
        <f>IFERROR(__xludf.DUMMYFUNCTION("""COMPUTED_VALUE"""),455.38)</f>
        <v>455.38</v>
      </c>
      <c r="D772" s="1">
        <f>IFERROR(__xludf.DUMMYFUNCTION("""COMPUTED_VALUE"""),446.41)</f>
        <v>446.41</v>
      </c>
      <c r="E772" s="1">
        <f>IFERROR(__xludf.DUMMYFUNCTION("""COMPUTED_VALUE"""),446.95)</f>
        <v>446.95</v>
      </c>
      <c r="F772" s="1">
        <f>IFERROR(__xludf.DUMMYFUNCTION("""COMPUTED_VALUE"""),2.8362271E7)</f>
        <v>28362271</v>
      </c>
    </row>
    <row r="773">
      <c r="A773" s="2">
        <f>IFERROR(__xludf.DUMMYFUNCTION("""COMPUTED_VALUE"""),45474.66666666667)</f>
        <v>45474.66667</v>
      </c>
      <c r="B773" s="1">
        <f>IFERROR(__xludf.DUMMYFUNCTION("""COMPUTED_VALUE"""),448.66)</f>
        <v>448.66</v>
      </c>
      <c r="C773" s="1">
        <f>IFERROR(__xludf.DUMMYFUNCTION("""COMPUTED_VALUE"""),457.37)</f>
        <v>457.37</v>
      </c>
      <c r="D773" s="1">
        <f>IFERROR(__xludf.DUMMYFUNCTION("""COMPUTED_VALUE"""),445.66)</f>
        <v>445.66</v>
      </c>
      <c r="E773" s="1">
        <f>IFERROR(__xludf.DUMMYFUNCTION("""COMPUTED_VALUE"""),456.73)</f>
        <v>456.73</v>
      </c>
      <c r="F773" s="1">
        <f>IFERROR(__xludf.DUMMYFUNCTION("""COMPUTED_VALUE"""),1.7662818E7)</f>
        <v>17662818</v>
      </c>
    </row>
    <row r="774">
      <c r="A774" s="2">
        <f>IFERROR(__xludf.DUMMYFUNCTION("""COMPUTED_VALUE"""),45475.66666666667)</f>
        <v>45475.66667</v>
      </c>
      <c r="B774" s="1">
        <f>IFERROR(__xludf.DUMMYFUNCTION("""COMPUTED_VALUE"""),453.2)</f>
        <v>453.2</v>
      </c>
      <c r="C774" s="1">
        <f>IFERROR(__xludf.DUMMYFUNCTION("""COMPUTED_VALUE"""),459.59)</f>
        <v>459.59</v>
      </c>
      <c r="D774" s="1">
        <f>IFERROR(__xludf.DUMMYFUNCTION("""COMPUTED_VALUE"""),453.11)</f>
        <v>453.11</v>
      </c>
      <c r="E774" s="1">
        <f>IFERROR(__xludf.DUMMYFUNCTION("""COMPUTED_VALUE"""),459.28)</f>
        <v>459.28</v>
      </c>
      <c r="F774" s="1">
        <f>IFERROR(__xludf.DUMMYFUNCTION("""COMPUTED_VALUE"""),1.3979779E7)</f>
        <v>13979779</v>
      </c>
    </row>
    <row r="775">
      <c r="A775" s="2">
        <f>IFERROR(__xludf.DUMMYFUNCTION("""COMPUTED_VALUE"""),45476.54513888889)</f>
        <v>45476.54514</v>
      </c>
      <c r="B775" s="1">
        <f>IFERROR(__xludf.DUMMYFUNCTION("""COMPUTED_VALUE"""),458.19)</f>
        <v>458.19</v>
      </c>
      <c r="C775" s="1">
        <f>IFERROR(__xludf.DUMMYFUNCTION("""COMPUTED_VALUE"""),461.02)</f>
        <v>461.02</v>
      </c>
      <c r="D775" s="1">
        <f>IFERROR(__xludf.DUMMYFUNCTION("""COMPUTED_VALUE"""),457.88)</f>
        <v>457.88</v>
      </c>
      <c r="E775" s="1">
        <f>IFERROR(__xludf.DUMMYFUNCTION("""COMPUTED_VALUE"""),460.77)</f>
        <v>460.77</v>
      </c>
      <c r="F775" s="1">
        <f>IFERROR(__xludf.DUMMYFUNCTION("""COMPUTED_VALUE"""),9932830.0)</f>
        <v>9932830</v>
      </c>
    </row>
    <row r="776">
      <c r="A776" s="2">
        <f>IFERROR(__xludf.DUMMYFUNCTION("""COMPUTED_VALUE"""),45478.66666666667)</f>
        <v>45478.66667</v>
      </c>
      <c r="B776" s="1">
        <f>IFERROR(__xludf.DUMMYFUNCTION("""COMPUTED_VALUE"""),459.61)</f>
        <v>459.61</v>
      </c>
      <c r="C776" s="1">
        <f>IFERROR(__xludf.DUMMYFUNCTION("""COMPUTED_VALUE"""),468.35)</f>
        <v>468.35</v>
      </c>
      <c r="D776" s="1">
        <f>IFERROR(__xludf.DUMMYFUNCTION("""COMPUTED_VALUE"""),458.97)</f>
        <v>458.97</v>
      </c>
      <c r="E776" s="1">
        <f>IFERROR(__xludf.DUMMYFUNCTION("""COMPUTED_VALUE"""),467.56)</f>
        <v>467.56</v>
      </c>
      <c r="F776" s="1">
        <f>IFERROR(__xludf.DUMMYFUNCTION("""COMPUTED_VALUE"""),1.600029E7)</f>
        <v>16000290</v>
      </c>
    </row>
    <row r="777">
      <c r="A777" s="2">
        <f>IFERROR(__xludf.DUMMYFUNCTION("""COMPUTED_VALUE"""),45481.66666666667)</f>
        <v>45481.66667</v>
      </c>
      <c r="B777" s="1">
        <f>IFERROR(__xludf.DUMMYFUNCTION("""COMPUTED_VALUE"""),466.55)</f>
        <v>466.55</v>
      </c>
      <c r="C777" s="1">
        <f>IFERROR(__xludf.DUMMYFUNCTION("""COMPUTED_VALUE"""),467.7)</f>
        <v>467.7</v>
      </c>
      <c r="D777" s="1">
        <f>IFERROR(__xludf.DUMMYFUNCTION("""COMPUTED_VALUE"""),464.46)</f>
        <v>464.46</v>
      </c>
      <c r="E777" s="1">
        <f>IFERROR(__xludf.DUMMYFUNCTION("""COMPUTED_VALUE"""),466.24)</f>
        <v>466.24</v>
      </c>
      <c r="F777" s="1">
        <f>IFERROR(__xludf.DUMMYFUNCTION("""COMPUTED_VALUE"""),1.2962321E7)</f>
        <v>12962321</v>
      </c>
    </row>
    <row r="778">
      <c r="A778" s="2">
        <f>IFERROR(__xludf.DUMMYFUNCTION("""COMPUTED_VALUE"""),45482.66666666667)</f>
        <v>45482.66667</v>
      </c>
      <c r="B778" s="1">
        <f>IFERROR(__xludf.DUMMYFUNCTION("""COMPUTED_VALUE"""),467.0)</f>
        <v>467</v>
      </c>
      <c r="C778" s="1">
        <f>IFERROR(__xludf.DUMMYFUNCTION("""COMPUTED_VALUE"""),467.33)</f>
        <v>467.33</v>
      </c>
      <c r="D778" s="1">
        <f>IFERROR(__xludf.DUMMYFUNCTION("""COMPUTED_VALUE"""),458.0)</f>
        <v>458</v>
      </c>
      <c r="E778" s="1">
        <f>IFERROR(__xludf.DUMMYFUNCTION("""COMPUTED_VALUE"""),459.54)</f>
        <v>459.54</v>
      </c>
      <c r="F778" s="1">
        <f>IFERROR(__xludf.DUMMYFUNCTION("""COMPUTED_VALUE"""),1.7228507E7)</f>
        <v>17228507</v>
      </c>
    </row>
    <row r="779">
      <c r="A779" s="2">
        <f>IFERROR(__xludf.DUMMYFUNCTION("""COMPUTED_VALUE"""),45483.66666666667)</f>
        <v>45483.66667</v>
      </c>
      <c r="B779" s="1">
        <f>IFERROR(__xludf.DUMMYFUNCTION("""COMPUTED_VALUE"""),461.22)</f>
        <v>461.22</v>
      </c>
      <c r="C779" s="1">
        <f>IFERROR(__xludf.DUMMYFUNCTION("""COMPUTED_VALUE"""),466.46)</f>
        <v>466.46</v>
      </c>
      <c r="D779" s="1">
        <f>IFERROR(__xludf.DUMMYFUNCTION("""COMPUTED_VALUE"""),458.86)</f>
        <v>458.86</v>
      </c>
      <c r="E779" s="1">
        <f>IFERROR(__xludf.DUMMYFUNCTION("""COMPUTED_VALUE"""),466.25)</f>
        <v>466.25</v>
      </c>
      <c r="F779" s="1">
        <f>IFERROR(__xludf.DUMMYFUNCTION("""COMPUTED_VALUE"""),1.81961E7)</f>
        <v>18196100</v>
      </c>
    </row>
    <row r="780">
      <c r="A780" s="2">
        <f>IFERROR(__xludf.DUMMYFUNCTION("""COMPUTED_VALUE"""),45484.66666666667)</f>
        <v>45484.66667</v>
      </c>
      <c r="B780" s="1">
        <f>IFERROR(__xludf.DUMMYFUNCTION("""COMPUTED_VALUE"""),462.98)</f>
        <v>462.98</v>
      </c>
      <c r="C780" s="1">
        <f>IFERROR(__xludf.DUMMYFUNCTION("""COMPUTED_VALUE"""),464.78)</f>
        <v>464.78</v>
      </c>
      <c r="D780" s="1">
        <f>IFERROR(__xludf.DUMMYFUNCTION("""COMPUTED_VALUE"""),451.55)</f>
        <v>451.55</v>
      </c>
      <c r="E780" s="1">
        <f>IFERROR(__xludf.DUMMYFUNCTION("""COMPUTED_VALUE"""),454.7)</f>
        <v>454.7</v>
      </c>
      <c r="F780" s="1">
        <f>IFERROR(__xludf.DUMMYFUNCTION("""COMPUTED_VALUE"""),2.3111175E7)</f>
        <v>23111175</v>
      </c>
    </row>
    <row r="781">
      <c r="A781" s="2">
        <f>IFERROR(__xludf.DUMMYFUNCTION("""COMPUTED_VALUE"""),45485.66666666667)</f>
        <v>45485.66667</v>
      </c>
      <c r="B781" s="1">
        <f>IFERROR(__xludf.DUMMYFUNCTION("""COMPUTED_VALUE"""),454.33)</f>
        <v>454.33</v>
      </c>
      <c r="C781" s="1">
        <f>IFERROR(__xludf.DUMMYFUNCTION("""COMPUTED_VALUE"""),456.36)</f>
        <v>456.36</v>
      </c>
      <c r="D781" s="1">
        <f>IFERROR(__xludf.DUMMYFUNCTION("""COMPUTED_VALUE"""),450.65)</f>
        <v>450.65</v>
      </c>
      <c r="E781" s="1">
        <f>IFERROR(__xludf.DUMMYFUNCTION("""COMPUTED_VALUE"""),453.55)</f>
        <v>453.55</v>
      </c>
      <c r="F781" s="1">
        <f>IFERROR(__xludf.DUMMYFUNCTION("""COMPUTED_VALUE"""),1.6324274E7)</f>
        <v>16324274</v>
      </c>
    </row>
    <row r="782">
      <c r="A782" s="2">
        <f>IFERROR(__xludf.DUMMYFUNCTION("""COMPUTED_VALUE"""),45488.66666666667)</f>
        <v>45488.66667</v>
      </c>
      <c r="B782" s="1">
        <f>IFERROR(__xludf.DUMMYFUNCTION("""COMPUTED_VALUE"""),453.3)</f>
        <v>453.3</v>
      </c>
      <c r="C782" s="1">
        <f>IFERROR(__xludf.DUMMYFUNCTION("""COMPUTED_VALUE"""),457.26)</f>
        <v>457.26</v>
      </c>
      <c r="D782" s="1">
        <f>IFERROR(__xludf.DUMMYFUNCTION("""COMPUTED_VALUE"""),451.43)</f>
        <v>451.43</v>
      </c>
      <c r="E782" s="1">
        <f>IFERROR(__xludf.DUMMYFUNCTION("""COMPUTED_VALUE"""),453.96)</f>
        <v>453.96</v>
      </c>
      <c r="F782" s="1">
        <f>IFERROR(__xludf.DUMMYFUNCTION("""COMPUTED_VALUE"""),1.4429447E7)</f>
        <v>14429447</v>
      </c>
    </row>
    <row r="783">
      <c r="A783" s="2">
        <f>IFERROR(__xludf.DUMMYFUNCTION("""COMPUTED_VALUE"""),45489.66666666667)</f>
        <v>45489.66667</v>
      </c>
      <c r="B783" s="1">
        <f>IFERROR(__xludf.DUMMYFUNCTION("""COMPUTED_VALUE"""),454.22)</f>
        <v>454.22</v>
      </c>
      <c r="C783" s="1">
        <f>IFERROR(__xludf.DUMMYFUNCTION("""COMPUTED_VALUE"""),454.3)</f>
        <v>454.3</v>
      </c>
      <c r="D783" s="1">
        <f>IFERROR(__xludf.DUMMYFUNCTION("""COMPUTED_VALUE"""),446.66)</f>
        <v>446.66</v>
      </c>
      <c r="E783" s="1">
        <f>IFERROR(__xludf.DUMMYFUNCTION("""COMPUTED_VALUE"""),449.52)</f>
        <v>449.52</v>
      </c>
      <c r="F783" s="1">
        <f>IFERROR(__xludf.DUMMYFUNCTION("""COMPUTED_VALUE"""),1.7175679E7)</f>
        <v>17175679</v>
      </c>
    </row>
    <row r="784">
      <c r="A784" s="2">
        <f>IFERROR(__xludf.DUMMYFUNCTION("""COMPUTED_VALUE"""),45490.66666666667)</f>
        <v>45490.66667</v>
      </c>
      <c r="B784" s="1">
        <f>IFERROR(__xludf.DUMMYFUNCTION("""COMPUTED_VALUE"""),442.59)</f>
        <v>442.59</v>
      </c>
      <c r="C784" s="1">
        <f>IFERROR(__xludf.DUMMYFUNCTION("""COMPUTED_VALUE"""),444.85)</f>
        <v>444.85</v>
      </c>
      <c r="D784" s="1">
        <f>IFERROR(__xludf.DUMMYFUNCTION("""COMPUTED_VALUE"""),439.18)</f>
        <v>439.18</v>
      </c>
      <c r="E784" s="1">
        <f>IFERROR(__xludf.DUMMYFUNCTION("""COMPUTED_VALUE"""),443.52)</f>
        <v>443.52</v>
      </c>
      <c r="F784" s="1">
        <f>IFERROR(__xludf.DUMMYFUNCTION("""COMPUTED_VALUE"""),2.1754021E7)</f>
        <v>21754021</v>
      </c>
    </row>
    <row r="785">
      <c r="A785" s="2">
        <f>IFERROR(__xludf.DUMMYFUNCTION("""COMPUTED_VALUE"""),45491.66666666667)</f>
        <v>45491.66667</v>
      </c>
      <c r="B785" s="1">
        <f>IFERROR(__xludf.DUMMYFUNCTION("""COMPUTED_VALUE"""),444.34)</f>
        <v>444.34</v>
      </c>
      <c r="C785" s="1">
        <f>IFERROR(__xludf.DUMMYFUNCTION("""COMPUTED_VALUE"""),444.65)</f>
        <v>444.65</v>
      </c>
      <c r="D785" s="1">
        <f>IFERROR(__xludf.DUMMYFUNCTION("""COMPUTED_VALUE"""),434.4)</f>
        <v>434.4</v>
      </c>
      <c r="E785" s="1">
        <f>IFERROR(__xludf.DUMMYFUNCTION("""COMPUTED_VALUE"""),440.37)</f>
        <v>440.37</v>
      </c>
      <c r="F785" s="1">
        <f>IFERROR(__xludf.DUMMYFUNCTION("""COMPUTED_VALUE"""),2.0794822E7)</f>
        <v>20794822</v>
      </c>
    </row>
    <row r="786">
      <c r="A786" s="2">
        <f>IFERROR(__xludf.DUMMYFUNCTION("""COMPUTED_VALUE"""),45492.66666666667)</f>
        <v>45492.66667</v>
      </c>
      <c r="B786" s="1">
        <f>IFERROR(__xludf.DUMMYFUNCTION("""COMPUTED_VALUE"""),433.1)</f>
        <v>433.1</v>
      </c>
      <c r="C786" s="1">
        <f>IFERROR(__xludf.DUMMYFUNCTION("""COMPUTED_VALUE"""),441.14)</f>
        <v>441.14</v>
      </c>
      <c r="D786" s="1">
        <f>IFERROR(__xludf.DUMMYFUNCTION("""COMPUTED_VALUE"""),432.0)</f>
        <v>432</v>
      </c>
      <c r="E786" s="1">
        <f>IFERROR(__xludf.DUMMYFUNCTION("""COMPUTED_VALUE"""),437.11)</f>
        <v>437.11</v>
      </c>
      <c r="F786" s="1">
        <f>IFERROR(__xludf.DUMMYFUNCTION("""COMPUTED_VALUE"""),2.0940417E7)</f>
        <v>20940417</v>
      </c>
    </row>
    <row r="787">
      <c r="A787" s="2">
        <f>IFERROR(__xludf.DUMMYFUNCTION("""COMPUTED_VALUE"""),45495.66666666667)</f>
        <v>45495.66667</v>
      </c>
      <c r="B787" s="1">
        <f>IFERROR(__xludf.DUMMYFUNCTION("""COMPUTED_VALUE"""),441.79)</f>
        <v>441.79</v>
      </c>
      <c r="C787" s="1">
        <f>IFERROR(__xludf.DUMMYFUNCTION("""COMPUTED_VALUE"""),444.6)</f>
        <v>444.6</v>
      </c>
      <c r="D787" s="1">
        <f>IFERROR(__xludf.DUMMYFUNCTION("""COMPUTED_VALUE"""),438.91)</f>
        <v>438.91</v>
      </c>
      <c r="E787" s="1">
        <f>IFERROR(__xludf.DUMMYFUNCTION("""COMPUTED_VALUE"""),442.94)</f>
        <v>442.94</v>
      </c>
      <c r="F787" s="1">
        <f>IFERROR(__xludf.DUMMYFUNCTION("""COMPUTED_VALUE"""),1.5808755E7)</f>
        <v>15808755</v>
      </c>
    </row>
    <row r="788">
      <c r="A788" s="2">
        <f>IFERROR(__xludf.DUMMYFUNCTION("""COMPUTED_VALUE"""),45496.66666666667)</f>
        <v>45496.66667</v>
      </c>
      <c r="B788" s="1">
        <f>IFERROR(__xludf.DUMMYFUNCTION("""COMPUTED_VALUE"""),443.9)</f>
        <v>443.9</v>
      </c>
      <c r="C788" s="1">
        <f>IFERROR(__xludf.DUMMYFUNCTION("""COMPUTED_VALUE"""),448.39)</f>
        <v>448.39</v>
      </c>
      <c r="D788" s="1">
        <f>IFERROR(__xludf.DUMMYFUNCTION("""COMPUTED_VALUE"""),443.1)</f>
        <v>443.1</v>
      </c>
      <c r="E788" s="1">
        <f>IFERROR(__xludf.DUMMYFUNCTION("""COMPUTED_VALUE"""),444.85)</f>
        <v>444.85</v>
      </c>
      <c r="F788" s="1">
        <f>IFERROR(__xludf.DUMMYFUNCTION("""COMPUTED_VALUE"""),1.310705E7)</f>
        <v>13107050</v>
      </c>
    </row>
    <row r="789">
      <c r="A789" s="2">
        <f>IFERROR(__xludf.DUMMYFUNCTION("""COMPUTED_VALUE"""),45497.66666666667)</f>
        <v>45497.66667</v>
      </c>
      <c r="B789" s="1">
        <f>IFERROR(__xludf.DUMMYFUNCTION("""COMPUTED_VALUE"""),440.45)</f>
        <v>440.45</v>
      </c>
      <c r="C789" s="1">
        <f>IFERROR(__xludf.DUMMYFUNCTION("""COMPUTED_VALUE"""),441.48)</f>
        <v>441.48</v>
      </c>
      <c r="D789" s="1">
        <f>IFERROR(__xludf.DUMMYFUNCTION("""COMPUTED_VALUE"""),427.59)</f>
        <v>427.59</v>
      </c>
      <c r="E789" s="1">
        <f>IFERROR(__xludf.DUMMYFUNCTION("""COMPUTED_VALUE"""),428.9)</f>
        <v>428.9</v>
      </c>
      <c r="F789" s="1">
        <f>IFERROR(__xludf.DUMMYFUNCTION("""COMPUTED_VALUE"""),2.68058E7)</f>
        <v>26805800</v>
      </c>
    </row>
    <row r="790">
      <c r="A790" s="2">
        <f>IFERROR(__xludf.DUMMYFUNCTION("""COMPUTED_VALUE"""),45498.66666666667)</f>
        <v>45498.66667</v>
      </c>
      <c r="B790" s="1">
        <f>IFERROR(__xludf.DUMMYFUNCTION("""COMPUTED_VALUE"""),428.8)</f>
        <v>428.8</v>
      </c>
      <c r="C790" s="1">
        <f>IFERROR(__xludf.DUMMYFUNCTION("""COMPUTED_VALUE"""),429.8)</f>
        <v>429.8</v>
      </c>
      <c r="D790" s="1">
        <f>IFERROR(__xludf.DUMMYFUNCTION("""COMPUTED_VALUE"""),417.51)</f>
        <v>417.51</v>
      </c>
      <c r="E790" s="1">
        <f>IFERROR(__xludf.DUMMYFUNCTION("""COMPUTED_VALUE"""),418.4)</f>
        <v>418.4</v>
      </c>
      <c r="F790" s="1">
        <f>IFERROR(__xludf.DUMMYFUNCTION("""COMPUTED_VALUE"""),2.9943795E7)</f>
        <v>29943795</v>
      </c>
    </row>
    <row r="791">
      <c r="A791" s="2">
        <f>IFERROR(__xludf.DUMMYFUNCTION("""COMPUTED_VALUE"""),45499.66666666667)</f>
        <v>45499.66667</v>
      </c>
      <c r="B791" s="1">
        <f>IFERROR(__xludf.DUMMYFUNCTION("""COMPUTED_VALUE"""),418.2)</f>
        <v>418.2</v>
      </c>
      <c r="C791" s="1">
        <f>IFERROR(__xludf.DUMMYFUNCTION("""COMPUTED_VALUE"""),428.92)</f>
        <v>428.92</v>
      </c>
      <c r="D791" s="1">
        <f>IFERROR(__xludf.DUMMYFUNCTION("""COMPUTED_VALUE"""),417.27)</f>
        <v>417.27</v>
      </c>
      <c r="E791" s="1">
        <f>IFERROR(__xludf.DUMMYFUNCTION("""COMPUTED_VALUE"""),425.27)</f>
        <v>425.27</v>
      </c>
      <c r="F791" s="1">
        <f>IFERROR(__xludf.DUMMYFUNCTION("""COMPUTED_VALUE"""),2.3583839E7)</f>
        <v>23583839</v>
      </c>
    </row>
    <row r="792">
      <c r="A792" s="2">
        <f>IFERROR(__xludf.DUMMYFUNCTION("""COMPUTED_VALUE"""),45502.66666666667)</f>
        <v>45502.66667</v>
      </c>
      <c r="B792" s="1">
        <f>IFERROR(__xludf.DUMMYFUNCTION("""COMPUTED_VALUE"""),431.58)</f>
        <v>431.58</v>
      </c>
      <c r="C792" s="1">
        <f>IFERROR(__xludf.DUMMYFUNCTION("""COMPUTED_VALUE"""),432.15)</f>
        <v>432.15</v>
      </c>
      <c r="D792" s="1">
        <f>IFERROR(__xludf.DUMMYFUNCTION("""COMPUTED_VALUE"""),424.7)</f>
        <v>424.7</v>
      </c>
      <c r="E792" s="1">
        <f>IFERROR(__xludf.DUMMYFUNCTION("""COMPUTED_VALUE"""),426.73)</f>
        <v>426.73</v>
      </c>
      <c r="F792" s="1">
        <f>IFERROR(__xludf.DUMMYFUNCTION("""COMPUTED_VALUE"""),1.5125836E7)</f>
        <v>15125836</v>
      </c>
    </row>
    <row r="793">
      <c r="A793" s="2">
        <f>IFERROR(__xludf.DUMMYFUNCTION("""COMPUTED_VALUE"""),45503.66666666667)</f>
        <v>45503.66667</v>
      </c>
      <c r="B793" s="1">
        <f>IFERROR(__xludf.DUMMYFUNCTION("""COMPUTED_VALUE"""),427.72)</f>
        <v>427.72</v>
      </c>
      <c r="C793" s="1">
        <f>IFERROR(__xludf.DUMMYFUNCTION("""COMPUTED_VALUE"""),429.05)</f>
        <v>429.05</v>
      </c>
      <c r="D793" s="1">
        <f>IFERROR(__xludf.DUMMYFUNCTION("""COMPUTED_VALUE"""),417.36)</f>
        <v>417.36</v>
      </c>
      <c r="E793" s="1">
        <f>IFERROR(__xludf.DUMMYFUNCTION("""COMPUTED_VALUE"""),422.92)</f>
        <v>422.92</v>
      </c>
      <c r="F793" s="1">
        <f>IFERROR(__xludf.DUMMYFUNCTION("""COMPUTED_VALUE"""),3.2687578E7)</f>
        <v>32687578</v>
      </c>
    </row>
    <row r="794">
      <c r="A794" s="2">
        <f>IFERROR(__xludf.DUMMYFUNCTION("""COMPUTED_VALUE"""),45504.66666666667)</f>
        <v>45504.66667</v>
      </c>
      <c r="B794" s="1">
        <f>IFERROR(__xludf.DUMMYFUNCTION("""COMPUTED_VALUE"""),420.5)</f>
        <v>420.5</v>
      </c>
      <c r="C794" s="1">
        <f>IFERROR(__xludf.DUMMYFUNCTION("""COMPUTED_VALUE"""),421.78)</f>
        <v>421.78</v>
      </c>
      <c r="D794" s="1">
        <f>IFERROR(__xludf.DUMMYFUNCTION("""COMPUTED_VALUE"""),412.21)</f>
        <v>412.21</v>
      </c>
      <c r="E794" s="1">
        <f>IFERROR(__xludf.DUMMYFUNCTION("""COMPUTED_VALUE"""),418.35)</f>
        <v>418.35</v>
      </c>
      <c r="F794" s="1">
        <f>IFERROR(__xludf.DUMMYFUNCTION("""COMPUTED_VALUE"""),4.2891366E7)</f>
        <v>42891366</v>
      </c>
    </row>
    <row r="795">
      <c r="A795" s="2">
        <f>IFERROR(__xludf.DUMMYFUNCTION("""COMPUTED_VALUE"""),45505.66666666667)</f>
        <v>45505.66667</v>
      </c>
      <c r="B795" s="1">
        <f>IFERROR(__xludf.DUMMYFUNCTION("""COMPUTED_VALUE"""),420.79)</f>
        <v>420.79</v>
      </c>
      <c r="C795" s="1">
        <f>IFERROR(__xludf.DUMMYFUNCTION("""COMPUTED_VALUE"""),427.46)</f>
        <v>427.46</v>
      </c>
      <c r="D795" s="1">
        <f>IFERROR(__xludf.DUMMYFUNCTION("""COMPUTED_VALUE"""),413.09)</f>
        <v>413.09</v>
      </c>
      <c r="E795" s="1">
        <f>IFERROR(__xludf.DUMMYFUNCTION("""COMPUTED_VALUE"""),417.11)</f>
        <v>417.11</v>
      </c>
      <c r="F795" s="1">
        <f>IFERROR(__xludf.DUMMYFUNCTION("""COMPUTED_VALUE"""),3.02964E7)</f>
        <v>30296400</v>
      </c>
    </row>
    <row r="796">
      <c r="A796" s="2">
        <f>IFERROR(__xludf.DUMMYFUNCTION("""COMPUTED_VALUE"""),45506.66666666667)</f>
        <v>45506.66667</v>
      </c>
      <c r="B796" s="1">
        <f>IFERROR(__xludf.DUMMYFUNCTION("""COMPUTED_VALUE"""),412.49)</f>
        <v>412.49</v>
      </c>
      <c r="C796" s="1">
        <f>IFERROR(__xludf.DUMMYFUNCTION("""COMPUTED_VALUE"""),415.0)</f>
        <v>415</v>
      </c>
      <c r="D796" s="1">
        <f>IFERROR(__xludf.DUMMYFUNCTION("""COMPUTED_VALUE"""),404.34)</f>
        <v>404.34</v>
      </c>
      <c r="E796" s="1">
        <f>IFERROR(__xludf.DUMMYFUNCTION("""COMPUTED_VALUE"""),408.49)</f>
        <v>408.49</v>
      </c>
      <c r="F796" s="1">
        <f>IFERROR(__xludf.DUMMYFUNCTION("""COMPUTED_VALUE"""),2.94379E7)</f>
        <v>29437900</v>
      </c>
    </row>
    <row r="797">
      <c r="A797" s="2">
        <f>IFERROR(__xludf.DUMMYFUNCTION("""COMPUTED_VALUE"""),45509.66666666667)</f>
        <v>45509.66667</v>
      </c>
      <c r="B797" s="1">
        <f>IFERROR(__xludf.DUMMYFUNCTION("""COMPUTED_VALUE"""),389.17)</f>
        <v>389.17</v>
      </c>
      <c r="C797" s="1">
        <f>IFERROR(__xludf.DUMMYFUNCTION("""COMPUTED_VALUE"""),401.04)</f>
        <v>401.04</v>
      </c>
      <c r="D797" s="1">
        <f>IFERROR(__xludf.DUMMYFUNCTION("""COMPUTED_VALUE"""),385.58)</f>
        <v>385.58</v>
      </c>
      <c r="E797" s="1">
        <f>IFERROR(__xludf.DUMMYFUNCTION("""COMPUTED_VALUE"""),395.15)</f>
        <v>395.15</v>
      </c>
      <c r="F797" s="1">
        <f>IFERROR(__xludf.DUMMYFUNCTION("""COMPUTED_VALUE"""),4.0709238E7)</f>
        <v>40709238</v>
      </c>
    </row>
    <row r="798">
      <c r="A798" s="2">
        <f>IFERROR(__xludf.DUMMYFUNCTION("""COMPUTED_VALUE"""),45510.66666666667)</f>
        <v>45510.66667</v>
      </c>
      <c r="B798" s="1">
        <f>IFERROR(__xludf.DUMMYFUNCTION("""COMPUTED_VALUE"""),400.0)</f>
        <v>400</v>
      </c>
      <c r="C798" s="1">
        <f>IFERROR(__xludf.DUMMYFUNCTION("""COMPUTED_VALUE"""),405.67)</f>
        <v>405.67</v>
      </c>
      <c r="D798" s="1">
        <f>IFERROR(__xludf.DUMMYFUNCTION("""COMPUTED_VALUE"""),398.5)</f>
        <v>398.5</v>
      </c>
      <c r="E798" s="1">
        <f>IFERROR(__xludf.DUMMYFUNCTION("""COMPUTED_VALUE"""),399.61)</f>
        <v>399.61</v>
      </c>
      <c r="F798" s="1">
        <f>IFERROR(__xludf.DUMMYFUNCTION("""COMPUTED_VALUE"""),2.4946525E7)</f>
        <v>24946525</v>
      </c>
    </row>
    <row r="799">
      <c r="A799" s="2">
        <f>IFERROR(__xludf.DUMMYFUNCTION("""COMPUTED_VALUE"""),45511.66666666667)</f>
        <v>45511.66667</v>
      </c>
      <c r="B799" s="1">
        <f>IFERROR(__xludf.DUMMYFUNCTION("""COMPUTED_VALUE"""),408.64)</f>
        <v>408.64</v>
      </c>
      <c r="C799" s="1">
        <f>IFERROR(__xludf.DUMMYFUNCTION("""COMPUTED_VALUE"""),410.08)</f>
        <v>410.08</v>
      </c>
      <c r="D799" s="1">
        <f>IFERROR(__xludf.DUMMYFUNCTION("""COMPUTED_VALUE"""),397.47)</f>
        <v>397.47</v>
      </c>
      <c r="E799" s="1">
        <f>IFERROR(__xludf.DUMMYFUNCTION("""COMPUTED_VALUE"""),398.43)</f>
        <v>398.43</v>
      </c>
      <c r="F799" s="1">
        <f>IFERROR(__xludf.DUMMYFUNCTION("""COMPUTED_VALUE"""),2.0650906E7)</f>
        <v>20650906</v>
      </c>
    </row>
    <row r="800">
      <c r="A800" s="2">
        <f>IFERROR(__xludf.DUMMYFUNCTION("""COMPUTED_VALUE"""),45512.66666666667)</f>
        <v>45512.66667</v>
      </c>
      <c r="B800" s="1">
        <f>IFERROR(__xludf.DUMMYFUNCTION("""COMPUTED_VALUE"""),402.44)</f>
        <v>402.44</v>
      </c>
      <c r="C800" s="1">
        <f>IFERROR(__xludf.DUMMYFUNCTION("""COMPUTED_VALUE"""),405.86)</f>
        <v>405.86</v>
      </c>
      <c r="D800" s="1">
        <f>IFERROR(__xludf.DUMMYFUNCTION("""COMPUTED_VALUE"""),399.94)</f>
        <v>399.94</v>
      </c>
      <c r="E800" s="1">
        <f>IFERROR(__xludf.DUMMYFUNCTION("""COMPUTED_VALUE"""),402.69)</f>
        <v>402.69</v>
      </c>
      <c r="F800" s="1">
        <f>IFERROR(__xludf.DUMMYFUNCTION("""COMPUTED_VALUE"""),2.020303E7)</f>
        <v>20203030</v>
      </c>
    </row>
    <row r="801">
      <c r="A801" s="2">
        <f>IFERROR(__xludf.DUMMYFUNCTION("""COMPUTED_VALUE"""),45513.66666666667)</f>
        <v>45513.66667</v>
      </c>
      <c r="B801" s="1">
        <f>IFERROR(__xludf.DUMMYFUNCTION("""COMPUTED_VALUE"""),404.03)</f>
        <v>404.03</v>
      </c>
      <c r="C801" s="1">
        <f>IFERROR(__xludf.DUMMYFUNCTION("""COMPUTED_VALUE"""),408.05)</f>
        <v>408.05</v>
      </c>
      <c r="D801" s="1">
        <f>IFERROR(__xludf.DUMMYFUNCTION("""COMPUTED_VALUE"""),402.26)</f>
        <v>402.26</v>
      </c>
      <c r="E801" s="1">
        <f>IFERROR(__xludf.DUMMYFUNCTION("""COMPUTED_VALUE"""),406.02)</f>
        <v>406.02</v>
      </c>
      <c r="F801" s="1">
        <f>IFERROR(__xludf.DUMMYFUNCTION("""COMPUTED_VALUE"""),1.9276666E7)</f>
        <v>19276666</v>
      </c>
    </row>
    <row r="802">
      <c r="A802" s="2">
        <f>IFERROR(__xludf.DUMMYFUNCTION("""COMPUTED_VALUE"""),45516.66666666667)</f>
        <v>45516.66667</v>
      </c>
      <c r="B802" s="1">
        <f>IFERROR(__xludf.DUMMYFUNCTION("""COMPUTED_VALUE"""),407.06)</f>
        <v>407.06</v>
      </c>
      <c r="C802" s="1">
        <f>IFERROR(__xludf.DUMMYFUNCTION("""COMPUTED_VALUE"""),408.76)</f>
        <v>408.76</v>
      </c>
      <c r="D802" s="1">
        <f>IFERROR(__xludf.DUMMYFUNCTION("""COMPUTED_VALUE"""),404.24)</f>
        <v>404.24</v>
      </c>
      <c r="E802" s="1">
        <f>IFERROR(__xludf.DUMMYFUNCTION("""COMPUTED_VALUE"""),406.81)</f>
        <v>406.81</v>
      </c>
      <c r="F802" s="1">
        <f>IFERROR(__xludf.DUMMYFUNCTION("""COMPUTED_VALUE"""),1.6762883E7)</f>
        <v>16762883</v>
      </c>
    </row>
    <row r="803">
      <c r="A803" s="2">
        <f>IFERROR(__xludf.DUMMYFUNCTION("""COMPUTED_VALUE"""),45517.66666666667)</f>
        <v>45517.66667</v>
      </c>
      <c r="B803" s="1">
        <f>IFERROR(__xludf.DUMMYFUNCTION("""COMPUTED_VALUE"""),409.59)</f>
        <v>409.59</v>
      </c>
      <c r="C803" s="1">
        <f>IFERROR(__xludf.DUMMYFUNCTION("""COMPUTED_VALUE"""),414.95)</f>
        <v>414.95</v>
      </c>
      <c r="D803" s="1">
        <f>IFERROR(__xludf.DUMMYFUNCTION("""COMPUTED_VALUE"""),409.57)</f>
        <v>409.57</v>
      </c>
      <c r="E803" s="1">
        <f>IFERROR(__xludf.DUMMYFUNCTION("""COMPUTED_VALUE"""),414.01)</f>
        <v>414.01</v>
      </c>
      <c r="F803" s="1">
        <f>IFERROR(__xludf.DUMMYFUNCTION("""COMPUTED_VALUE"""),1.9414271E7)</f>
        <v>19414271</v>
      </c>
    </row>
    <row r="804">
      <c r="A804" s="2">
        <f>IFERROR(__xludf.DUMMYFUNCTION("""COMPUTED_VALUE"""),45518.66666666667)</f>
        <v>45518.66667</v>
      </c>
      <c r="B804" s="1">
        <f>IFERROR(__xludf.DUMMYFUNCTION("""COMPUTED_VALUE"""),414.8)</f>
        <v>414.8</v>
      </c>
      <c r="C804" s="1">
        <f>IFERROR(__xludf.DUMMYFUNCTION("""COMPUTED_VALUE"""),417.72)</f>
        <v>417.72</v>
      </c>
      <c r="D804" s="1">
        <f>IFERROR(__xludf.DUMMYFUNCTION("""COMPUTED_VALUE"""),412.45)</f>
        <v>412.45</v>
      </c>
      <c r="E804" s="1">
        <f>IFERROR(__xludf.DUMMYFUNCTION("""COMPUTED_VALUE"""),416.86)</f>
        <v>416.86</v>
      </c>
      <c r="F804" s="1">
        <f>IFERROR(__xludf.DUMMYFUNCTION("""COMPUTED_VALUE"""),1.826698E7)</f>
        <v>18266980</v>
      </c>
    </row>
    <row r="805">
      <c r="A805" s="2">
        <f>IFERROR(__xludf.DUMMYFUNCTION("""COMPUTED_VALUE"""),45519.66666666667)</f>
        <v>45519.66667</v>
      </c>
      <c r="B805" s="1">
        <f>IFERROR(__xludf.DUMMYFUNCTION("""COMPUTED_VALUE"""),419.8)</f>
        <v>419.8</v>
      </c>
      <c r="C805" s="1">
        <f>IFERROR(__xludf.DUMMYFUNCTION("""COMPUTED_VALUE"""),421.11)</f>
        <v>421.11</v>
      </c>
      <c r="D805" s="1">
        <f>IFERROR(__xludf.DUMMYFUNCTION("""COMPUTED_VALUE"""),417.66)</f>
        <v>417.66</v>
      </c>
      <c r="E805" s="1">
        <f>IFERROR(__xludf.DUMMYFUNCTION("""COMPUTED_VALUE"""),421.03)</f>
        <v>421.03</v>
      </c>
      <c r="F805" s="1">
        <f>IFERROR(__xludf.DUMMYFUNCTION("""COMPUTED_VALUE"""),2.0752144E7)</f>
        <v>20752144</v>
      </c>
    </row>
    <row r="806">
      <c r="A806" s="2">
        <f>IFERROR(__xludf.DUMMYFUNCTION("""COMPUTED_VALUE"""),45520.66666666667)</f>
        <v>45520.66667</v>
      </c>
      <c r="B806" s="1">
        <f>IFERROR(__xludf.DUMMYFUNCTION("""COMPUTED_VALUE"""),420.6)</f>
        <v>420.6</v>
      </c>
      <c r="C806" s="1">
        <f>IFERROR(__xludf.DUMMYFUNCTION("""COMPUTED_VALUE"""),421.34)</f>
        <v>421.34</v>
      </c>
      <c r="D806" s="1">
        <f>IFERROR(__xludf.DUMMYFUNCTION("""COMPUTED_VALUE"""),417.3)</f>
        <v>417.3</v>
      </c>
      <c r="E806" s="1">
        <f>IFERROR(__xludf.DUMMYFUNCTION("""COMPUTED_VALUE"""),418.47)</f>
        <v>418.47</v>
      </c>
      <c r="F806" s="1">
        <f>IFERROR(__xludf.DUMMYFUNCTION("""COMPUTED_VALUE"""),2.2775593E7)</f>
        <v>22775593</v>
      </c>
    </row>
    <row r="807">
      <c r="A807" s="2">
        <f>IFERROR(__xludf.DUMMYFUNCTION("""COMPUTED_VALUE"""),45523.66666666667)</f>
        <v>45523.66667</v>
      </c>
      <c r="B807" s="1">
        <f>IFERROR(__xludf.DUMMYFUNCTION("""COMPUTED_VALUE"""),418.96)</f>
        <v>418.96</v>
      </c>
      <c r="C807" s="1">
        <f>IFERROR(__xludf.DUMMYFUNCTION("""COMPUTED_VALUE"""),421.75)</f>
        <v>421.75</v>
      </c>
      <c r="D807" s="1">
        <f>IFERROR(__xludf.DUMMYFUNCTION("""COMPUTED_VALUE"""),416.46)</f>
        <v>416.46</v>
      </c>
      <c r="E807" s="1">
        <f>IFERROR(__xludf.DUMMYFUNCTION("""COMPUTED_VALUE"""),421.53)</f>
        <v>421.53</v>
      </c>
      <c r="F807" s="1">
        <f>IFERROR(__xludf.DUMMYFUNCTION("""COMPUTED_VALUE"""),1.5233957E7)</f>
        <v>15233957</v>
      </c>
    </row>
    <row r="808">
      <c r="A808" s="2">
        <f>IFERROR(__xludf.DUMMYFUNCTION("""COMPUTED_VALUE"""),45524.66666666667)</f>
        <v>45524.66667</v>
      </c>
      <c r="B808" s="1">
        <f>IFERROR(__xludf.DUMMYFUNCTION("""COMPUTED_VALUE"""),421.7)</f>
        <v>421.7</v>
      </c>
      <c r="C808" s="1">
        <f>IFERROR(__xludf.DUMMYFUNCTION("""COMPUTED_VALUE"""),425.86)</f>
        <v>425.86</v>
      </c>
      <c r="D808" s="1">
        <f>IFERROR(__xludf.DUMMYFUNCTION("""COMPUTED_VALUE"""),421.64)</f>
        <v>421.64</v>
      </c>
      <c r="E808" s="1">
        <f>IFERROR(__xludf.DUMMYFUNCTION("""COMPUTED_VALUE"""),424.8)</f>
        <v>424.8</v>
      </c>
      <c r="F808" s="1">
        <f>IFERROR(__xludf.DUMMYFUNCTION("""COMPUTED_VALUE"""),1.6387581E7)</f>
        <v>16387581</v>
      </c>
    </row>
    <row r="809">
      <c r="A809" s="2">
        <f>IFERROR(__xludf.DUMMYFUNCTION("""COMPUTED_VALUE"""),45525.66666666667)</f>
        <v>45525.66667</v>
      </c>
      <c r="B809" s="1">
        <f>IFERROR(__xludf.DUMMYFUNCTION("""COMPUTED_VALUE"""),424.08)</f>
        <v>424.08</v>
      </c>
      <c r="C809" s="1">
        <f>IFERROR(__xludf.DUMMYFUNCTION("""COMPUTED_VALUE"""),426.4)</f>
        <v>426.4</v>
      </c>
      <c r="D809" s="1">
        <f>IFERROR(__xludf.DUMMYFUNCTION("""COMPUTED_VALUE"""),421.72)</f>
        <v>421.72</v>
      </c>
      <c r="E809" s="1">
        <f>IFERROR(__xludf.DUMMYFUNCTION("""COMPUTED_VALUE"""),424.14)</f>
        <v>424.14</v>
      </c>
      <c r="F809" s="1">
        <f>IFERROR(__xludf.DUMMYFUNCTION("""COMPUTED_VALUE"""),1.6067298E7)</f>
        <v>16067298</v>
      </c>
    </row>
    <row r="810">
      <c r="A810" s="2">
        <f>IFERROR(__xludf.DUMMYFUNCTION("""COMPUTED_VALUE"""),45526.66666666667)</f>
        <v>45526.66667</v>
      </c>
      <c r="B810" s="1">
        <f>IFERROR(__xludf.DUMMYFUNCTION("""COMPUTED_VALUE"""),424.36)</f>
        <v>424.36</v>
      </c>
      <c r="C810" s="1">
        <f>IFERROR(__xludf.DUMMYFUNCTION("""COMPUTED_VALUE"""),426.79)</f>
        <v>426.79</v>
      </c>
      <c r="D810" s="1">
        <f>IFERROR(__xludf.DUMMYFUNCTION("""COMPUTED_VALUE"""),414.61)</f>
        <v>414.61</v>
      </c>
      <c r="E810" s="1">
        <f>IFERROR(__xludf.DUMMYFUNCTION("""COMPUTED_VALUE"""),415.55)</f>
        <v>415.55</v>
      </c>
      <c r="F810" s="1">
        <f>IFERROR(__xludf.DUMMYFUNCTION("""COMPUTED_VALUE"""),1.9361901E7)</f>
        <v>19361901</v>
      </c>
    </row>
    <row r="811">
      <c r="A811" s="2">
        <f>IFERROR(__xludf.DUMMYFUNCTION("""COMPUTED_VALUE"""),45527.66666666667)</f>
        <v>45527.66667</v>
      </c>
      <c r="B811" s="1">
        <f>IFERROR(__xludf.DUMMYFUNCTION("""COMPUTED_VALUE"""),416.98)</f>
        <v>416.98</v>
      </c>
      <c r="C811" s="1">
        <f>IFERROR(__xludf.DUMMYFUNCTION("""COMPUTED_VALUE"""),419.26)</f>
        <v>419.26</v>
      </c>
      <c r="D811" s="1">
        <f>IFERROR(__xludf.DUMMYFUNCTION("""COMPUTED_VALUE"""),412.09)</f>
        <v>412.09</v>
      </c>
      <c r="E811" s="1">
        <f>IFERROR(__xludf.DUMMYFUNCTION("""COMPUTED_VALUE"""),416.79)</f>
        <v>416.79</v>
      </c>
      <c r="F811" s="1">
        <f>IFERROR(__xludf.DUMMYFUNCTION("""COMPUTED_VALUE"""),1.8493784E7)</f>
        <v>18493784</v>
      </c>
    </row>
    <row r="812">
      <c r="A812" s="2">
        <f>IFERROR(__xludf.DUMMYFUNCTION("""COMPUTED_VALUE"""),45530.66666666667)</f>
        <v>45530.66667</v>
      </c>
      <c r="B812" s="1">
        <f>IFERROR(__xludf.DUMMYFUNCTION("""COMPUTED_VALUE"""),416.37)</f>
        <v>416.37</v>
      </c>
      <c r="C812" s="1">
        <f>IFERROR(__xludf.DUMMYFUNCTION("""COMPUTED_VALUE"""),417.28)</f>
        <v>417.28</v>
      </c>
      <c r="D812" s="1">
        <f>IFERROR(__xludf.DUMMYFUNCTION("""COMPUTED_VALUE"""),411.34)</f>
        <v>411.34</v>
      </c>
      <c r="E812" s="1">
        <f>IFERROR(__xludf.DUMMYFUNCTION("""COMPUTED_VALUE"""),413.49)</f>
        <v>413.49</v>
      </c>
      <c r="F812" s="1">
        <f>IFERROR(__xludf.DUMMYFUNCTION("""COMPUTED_VALUE"""),1.315283E7)</f>
        <v>13152830</v>
      </c>
    </row>
    <row r="813">
      <c r="A813" s="2">
        <f>IFERROR(__xludf.DUMMYFUNCTION("""COMPUTED_VALUE"""),45531.66666666667)</f>
        <v>45531.66667</v>
      </c>
      <c r="B813" s="1">
        <f>IFERROR(__xludf.DUMMYFUNCTION("""COMPUTED_VALUE"""),412.86)</f>
        <v>412.86</v>
      </c>
      <c r="C813" s="1">
        <f>IFERROR(__xludf.DUMMYFUNCTION("""COMPUTED_VALUE"""),414.36)</f>
        <v>414.36</v>
      </c>
      <c r="D813" s="1">
        <f>IFERROR(__xludf.DUMMYFUNCTION("""COMPUTED_VALUE"""),410.25)</f>
        <v>410.25</v>
      </c>
      <c r="E813" s="1">
        <f>IFERROR(__xludf.DUMMYFUNCTION("""COMPUTED_VALUE"""),413.84)</f>
        <v>413.84</v>
      </c>
      <c r="F813" s="1">
        <f>IFERROR(__xludf.DUMMYFUNCTION("""COMPUTED_VALUE"""),1.3492911E7)</f>
        <v>13492911</v>
      </c>
    </row>
    <row r="814">
      <c r="A814" s="2">
        <f>IFERROR(__xludf.DUMMYFUNCTION("""COMPUTED_VALUE"""),45532.66666666667)</f>
        <v>45532.66667</v>
      </c>
      <c r="B814" s="1">
        <f>IFERROR(__xludf.DUMMYFUNCTION("""COMPUTED_VALUE"""),414.88)</f>
        <v>414.88</v>
      </c>
      <c r="C814" s="1">
        <f>IFERROR(__xludf.DUMMYFUNCTION("""COMPUTED_VALUE"""),415.0)</f>
        <v>415</v>
      </c>
      <c r="D814" s="1">
        <f>IFERROR(__xludf.DUMMYFUNCTION("""COMPUTED_VALUE"""),407.31)</f>
        <v>407.31</v>
      </c>
      <c r="E814" s="1">
        <f>IFERROR(__xludf.DUMMYFUNCTION("""COMPUTED_VALUE"""),410.6)</f>
        <v>410.6</v>
      </c>
      <c r="F814" s="1">
        <f>IFERROR(__xludf.DUMMYFUNCTION("""COMPUTED_VALUE"""),1.488266E7)</f>
        <v>14882660</v>
      </c>
    </row>
    <row r="815">
      <c r="A815" s="2">
        <f>IFERROR(__xludf.DUMMYFUNCTION("""COMPUTED_VALUE"""),45533.66666666667)</f>
        <v>45533.66667</v>
      </c>
      <c r="B815" s="1">
        <f>IFERROR(__xludf.DUMMYFUNCTION("""COMPUTED_VALUE"""),414.94)</f>
        <v>414.94</v>
      </c>
      <c r="C815" s="1">
        <f>IFERROR(__xludf.DUMMYFUNCTION("""COMPUTED_VALUE"""),422.05)</f>
        <v>422.05</v>
      </c>
      <c r="D815" s="1">
        <f>IFERROR(__xludf.DUMMYFUNCTION("""COMPUTED_VALUE"""),410.6)</f>
        <v>410.6</v>
      </c>
      <c r="E815" s="1">
        <f>IFERROR(__xludf.DUMMYFUNCTION("""COMPUTED_VALUE"""),413.12)</f>
        <v>413.12</v>
      </c>
      <c r="F815" s="1">
        <f>IFERROR(__xludf.DUMMYFUNCTION("""COMPUTED_VALUE"""),1.7045241E7)</f>
        <v>17045241</v>
      </c>
    </row>
    <row r="816">
      <c r="A816" s="2">
        <f>IFERROR(__xludf.DUMMYFUNCTION("""COMPUTED_VALUE"""),45534.66666666667)</f>
        <v>45534.66667</v>
      </c>
      <c r="B816" s="1">
        <f>IFERROR(__xludf.DUMMYFUNCTION("""COMPUTED_VALUE"""),415.6)</f>
        <v>415.6</v>
      </c>
      <c r="C816" s="1">
        <f>IFERROR(__xludf.DUMMYFUNCTION("""COMPUTED_VALUE"""),417.49)</f>
        <v>417.49</v>
      </c>
      <c r="D816" s="1">
        <f>IFERROR(__xludf.DUMMYFUNCTION("""COMPUTED_VALUE"""),412.13)</f>
        <v>412.13</v>
      </c>
      <c r="E816" s="1">
        <f>IFERROR(__xludf.DUMMYFUNCTION("""COMPUTED_VALUE"""),417.14)</f>
        <v>417.14</v>
      </c>
      <c r="F816" s="1">
        <f>IFERROR(__xludf.DUMMYFUNCTION("""COMPUTED_VALUE"""),2.4308324E7)</f>
        <v>24308324</v>
      </c>
    </row>
    <row r="817">
      <c r="A817" s="2">
        <f>IFERROR(__xludf.DUMMYFUNCTION("""COMPUTED_VALUE"""),45538.66666666667)</f>
        <v>45538.66667</v>
      </c>
      <c r="B817" s="1">
        <f>IFERROR(__xludf.DUMMYFUNCTION("""COMPUTED_VALUE"""),417.91)</f>
        <v>417.91</v>
      </c>
      <c r="C817" s="1">
        <f>IFERROR(__xludf.DUMMYFUNCTION("""COMPUTED_VALUE"""),419.88)</f>
        <v>419.88</v>
      </c>
      <c r="D817" s="1">
        <f>IFERROR(__xludf.DUMMYFUNCTION("""COMPUTED_VALUE"""),407.03)</f>
        <v>407.03</v>
      </c>
      <c r="E817" s="1">
        <f>IFERROR(__xludf.DUMMYFUNCTION("""COMPUTED_VALUE"""),409.44)</f>
        <v>409.44</v>
      </c>
      <c r="F817" s="1">
        <f>IFERROR(__xludf.DUMMYFUNCTION("""COMPUTED_VALUE"""),2.0313603E7)</f>
        <v>20313603</v>
      </c>
    </row>
    <row r="818">
      <c r="A818" s="2">
        <f>IFERROR(__xludf.DUMMYFUNCTION("""COMPUTED_VALUE"""),45539.66666666667)</f>
        <v>45539.66667</v>
      </c>
      <c r="B818" s="1">
        <f>IFERROR(__xludf.DUMMYFUNCTION("""COMPUTED_VALUE"""),405.91)</f>
        <v>405.91</v>
      </c>
      <c r="C818" s="1">
        <f>IFERROR(__xludf.DUMMYFUNCTION("""COMPUTED_VALUE"""),411.24)</f>
        <v>411.24</v>
      </c>
      <c r="D818" s="1">
        <f>IFERROR(__xludf.DUMMYFUNCTION("""COMPUTED_VALUE"""),404.37)</f>
        <v>404.37</v>
      </c>
      <c r="E818" s="1">
        <f>IFERROR(__xludf.DUMMYFUNCTION("""COMPUTED_VALUE"""),408.9)</f>
        <v>408.9</v>
      </c>
      <c r="F818" s="1">
        <f>IFERROR(__xludf.DUMMYFUNCTION("""COMPUTED_VALUE"""),1.5135806E7)</f>
        <v>15135806</v>
      </c>
    </row>
    <row r="819">
      <c r="A819" s="2">
        <f>IFERROR(__xludf.DUMMYFUNCTION("""COMPUTED_VALUE"""),45540.66666666667)</f>
        <v>45540.66667</v>
      </c>
      <c r="B819" s="1">
        <f>IFERROR(__xludf.DUMMYFUNCTION("""COMPUTED_VALUE"""),407.62)</f>
        <v>407.62</v>
      </c>
      <c r="C819" s="1">
        <f>IFERROR(__xludf.DUMMYFUNCTION("""COMPUTED_VALUE"""),413.1)</f>
        <v>413.1</v>
      </c>
      <c r="D819" s="1">
        <f>IFERROR(__xludf.DUMMYFUNCTION("""COMPUTED_VALUE"""),406.13)</f>
        <v>406.13</v>
      </c>
      <c r="E819" s="1">
        <f>IFERROR(__xludf.DUMMYFUNCTION("""COMPUTED_VALUE"""),408.39)</f>
        <v>408.39</v>
      </c>
      <c r="F819" s="1">
        <f>IFERROR(__xludf.DUMMYFUNCTION("""COMPUTED_VALUE"""),1.4195516E7)</f>
        <v>14195516</v>
      </c>
    </row>
    <row r="820">
      <c r="A820" s="2">
        <f>IFERROR(__xludf.DUMMYFUNCTION("""COMPUTED_VALUE"""),45541.66666666667)</f>
        <v>45541.66667</v>
      </c>
      <c r="B820" s="1">
        <f>IFERROR(__xludf.DUMMYFUNCTION("""COMPUTED_VALUE"""),409.06)</f>
        <v>409.06</v>
      </c>
      <c r="C820" s="1">
        <f>IFERROR(__xludf.DUMMYFUNCTION("""COMPUTED_VALUE"""),410.65)</f>
        <v>410.65</v>
      </c>
      <c r="D820" s="1">
        <f>IFERROR(__xludf.DUMMYFUNCTION("""COMPUTED_VALUE"""),400.8)</f>
        <v>400.8</v>
      </c>
      <c r="E820" s="1">
        <f>IFERROR(__xludf.DUMMYFUNCTION("""COMPUTED_VALUE"""),401.7)</f>
        <v>401.7</v>
      </c>
      <c r="F820" s="1">
        <f>IFERROR(__xludf.DUMMYFUNCTION("""COMPUTED_VALUE"""),1.9609526E7)</f>
        <v>19609526</v>
      </c>
    </row>
    <row r="821">
      <c r="A821" s="2">
        <f>IFERROR(__xludf.DUMMYFUNCTION("""COMPUTED_VALUE"""),45544.66666666667)</f>
        <v>45544.66667</v>
      </c>
      <c r="B821" s="1">
        <f>IFERROR(__xludf.DUMMYFUNCTION("""COMPUTED_VALUE"""),407.24)</f>
        <v>407.24</v>
      </c>
      <c r="C821" s="1">
        <f>IFERROR(__xludf.DUMMYFUNCTION("""COMPUTED_VALUE"""),408.65)</f>
        <v>408.65</v>
      </c>
      <c r="D821" s="1">
        <f>IFERROR(__xludf.DUMMYFUNCTION("""COMPUTED_VALUE"""),402.15)</f>
        <v>402.15</v>
      </c>
      <c r="E821" s="1">
        <f>IFERROR(__xludf.DUMMYFUNCTION("""COMPUTED_VALUE"""),405.72)</f>
        <v>405.72</v>
      </c>
      <c r="F821" s="1">
        <f>IFERROR(__xludf.DUMMYFUNCTION("""COMPUTED_VALUE"""),1.5295134E7)</f>
        <v>15295134</v>
      </c>
    </row>
    <row r="822">
      <c r="A822" s="2">
        <f>IFERROR(__xludf.DUMMYFUNCTION("""COMPUTED_VALUE"""),45545.66666666667)</f>
        <v>45545.66667</v>
      </c>
      <c r="B822" s="1">
        <f>IFERROR(__xludf.DUMMYFUNCTION("""COMPUTED_VALUE"""),408.2)</f>
        <v>408.2</v>
      </c>
      <c r="C822" s="1">
        <f>IFERROR(__xludf.DUMMYFUNCTION("""COMPUTED_VALUE"""),416.33)</f>
        <v>416.33</v>
      </c>
      <c r="D822" s="1">
        <f>IFERROR(__xludf.DUMMYFUNCTION("""COMPUTED_VALUE"""),407.7)</f>
        <v>407.7</v>
      </c>
      <c r="E822" s="1">
        <f>IFERROR(__xludf.DUMMYFUNCTION("""COMPUTED_VALUE"""),414.2)</f>
        <v>414.2</v>
      </c>
      <c r="F822" s="1">
        <f>IFERROR(__xludf.DUMMYFUNCTION("""COMPUTED_VALUE"""),1.9594287E7)</f>
        <v>19594287</v>
      </c>
    </row>
    <row r="823">
      <c r="A823" s="2">
        <f>IFERROR(__xludf.DUMMYFUNCTION("""COMPUTED_VALUE"""),45546.66666666667)</f>
        <v>45546.66667</v>
      </c>
      <c r="B823" s="1">
        <f>IFERROR(__xludf.DUMMYFUNCTION("""COMPUTED_VALUE"""),415.5)</f>
        <v>415.5</v>
      </c>
      <c r="C823" s="1">
        <f>IFERROR(__xludf.DUMMYFUNCTION("""COMPUTED_VALUE"""),423.99)</f>
        <v>423.99</v>
      </c>
      <c r="D823" s="1">
        <f>IFERROR(__xludf.DUMMYFUNCTION("""COMPUTED_VALUE"""),409.58)</f>
        <v>409.58</v>
      </c>
      <c r="E823" s="1">
        <f>IFERROR(__xludf.DUMMYFUNCTION("""COMPUTED_VALUE"""),423.04)</f>
        <v>423.04</v>
      </c>
      <c r="F823" s="1">
        <f>IFERROR(__xludf.DUMMYFUNCTION("""COMPUTED_VALUE"""),1.9266923E7)</f>
        <v>19266923</v>
      </c>
    </row>
    <row r="824">
      <c r="A824" s="2">
        <f>IFERROR(__xludf.DUMMYFUNCTION("""COMPUTED_VALUE"""),45547.66666666667)</f>
        <v>45547.66667</v>
      </c>
      <c r="B824" s="1">
        <f>IFERROR(__xludf.DUMMYFUNCTION("""COMPUTED_VALUE"""),423.31)</f>
        <v>423.31</v>
      </c>
      <c r="C824" s="1">
        <f>IFERROR(__xludf.DUMMYFUNCTION("""COMPUTED_VALUE"""),427.37)</f>
        <v>427.37</v>
      </c>
      <c r="D824" s="1">
        <f>IFERROR(__xludf.DUMMYFUNCTION("""COMPUTED_VALUE"""),419.75)</f>
        <v>419.75</v>
      </c>
      <c r="E824" s="1">
        <f>IFERROR(__xludf.DUMMYFUNCTION("""COMPUTED_VALUE"""),427.0)</f>
        <v>427</v>
      </c>
      <c r="F824" s="1">
        <f>IFERROR(__xludf.DUMMYFUNCTION("""COMPUTED_VALUE"""),1.7418759E7)</f>
        <v>17418759</v>
      </c>
    </row>
    <row r="825">
      <c r="A825" s="2">
        <f>IFERROR(__xludf.DUMMYFUNCTION("""COMPUTED_VALUE"""),45548.66666666667)</f>
        <v>45548.66667</v>
      </c>
      <c r="B825" s="1">
        <f>IFERROR(__xludf.DUMMYFUNCTION("""COMPUTED_VALUE"""),425.83)</f>
        <v>425.83</v>
      </c>
      <c r="C825" s="1">
        <f>IFERROR(__xludf.DUMMYFUNCTION("""COMPUTED_VALUE"""),431.83)</f>
        <v>431.83</v>
      </c>
      <c r="D825" s="1">
        <f>IFERROR(__xludf.DUMMYFUNCTION("""COMPUTED_VALUE"""),425.46)</f>
        <v>425.46</v>
      </c>
      <c r="E825" s="1">
        <f>IFERROR(__xludf.DUMMYFUNCTION("""COMPUTED_VALUE"""),430.59)</f>
        <v>430.59</v>
      </c>
      <c r="F825" s="1">
        <f>IFERROR(__xludf.DUMMYFUNCTION("""COMPUTED_VALUE"""),1.5874555E7)</f>
        <v>15874555</v>
      </c>
    </row>
    <row r="826">
      <c r="A826" s="2">
        <f>IFERROR(__xludf.DUMMYFUNCTION("""COMPUTED_VALUE"""),45551.66666666667)</f>
        <v>45551.66667</v>
      </c>
      <c r="B826" s="1">
        <f>IFERROR(__xludf.DUMMYFUNCTION("""COMPUTED_VALUE"""),430.6)</f>
        <v>430.6</v>
      </c>
      <c r="C826" s="1">
        <f>IFERROR(__xludf.DUMMYFUNCTION("""COMPUTED_VALUE"""),433.53)</f>
        <v>433.53</v>
      </c>
      <c r="D826" s="1">
        <f>IFERROR(__xludf.DUMMYFUNCTION("""COMPUTED_VALUE"""),428.22)</f>
        <v>428.22</v>
      </c>
      <c r="E826" s="1">
        <f>IFERROR(__xludf.DUMMYFUNCTION("""COMPUTED_VALUE"""),431.34)</f>
        <v>431.34</v>
      </c>
      <c r="F826" s="1">
        <f>IFERROR(__xludf.DUMMYFUNCTION("""COMPUTED_VALUE"""),1.3834697E7)</f>
        <v>13834697</v>
      </c>
    </row>
    <row r="827">
      <c r="A827" s="2">
        <f>IFERROR(__xludf.DUMMYFUNCTION("""COMPUTED_VALUE"""),45552.66666666667)</f>
        <v>45552.66667</v>
      </c>
      <c r="B827" s="1">
        <f>IFERROR(__xludf.DUMMYFUNCTION("""COMPUTED_VALUE"""),440.23)</f>
        <v>440.23</v>
      </c>
      <c r="C827" s="1">
        <f>IFERROR(__xludf.DUMMYFUNCTION("""COMPUTED_VALUE"""),441.85)</f>
        <v>441.85</v>
      </c>
      <c r="D827" s="1">
        <f>IFERROR(__xludf.DUMMYFUNCTION("""COMPUTED_VALUE"""),432.27)</f>
        <v>432.27</v>
      </c>
      <c r="E827" s="1">
        <f>IFERROR(__xludf.DUMMYFUNCTION("""COMPUTED_VALUE"""),435.15)</f>
        <v>435.15</v>
      </c>
      <c r="F827" s="1">
        <f>IFERROR(__xludf.DUMMYFUNCTION("""COMPUTED_VALUE"""),1.8874231E7)</f>
        <v>18874231</v>
      </c>
    </row>
    <row r="828">
      <c r="A828" s="2">
        <f>IFERROR(__xludf.DUMMYFUNCTION("""COMPUTED_VALUE"""),45553.66666666667)</f>
        <v>45553.66667</v>
      </c>
      <c r="B828" s="1">
        <f>IFERROR(__xludf.DUMMYFUNCTION("""COMPUTED_VALUE"""),435.0)</f>
        <v>435</v>
      </c>
      <c r="C828" s="1">
        <f>IFERROR(__xludf.DUMMYFUNCTION("""COMPUTED_VALUE"""),436.03)</f>
        <v>436.03</v>
      </c>
      <c r="D828" s="1">
        <f>IFERROR(__xludf.DUMMYFUNCTION("""COMPUTED_VALUE"""),430.41)</f>
        <v>430.41</v>
      </c>
      <c r="E828" s="1">
        <f>IFERROR(__xludf.DUMMYFUNCTION("""COMPUTED_VALUE"""),430.81)</f>
        <v>430.81</v>
      </c>
      <c r="F828" s="1">
        <f>IFERROR(__xludf.DUMMYFUNCTION("""COMPUTED_VALUE"""),1.8898042E7)</f>
        <v>18898042</v>
      </c>
    </row>
    <row r="829">
      <c r="A829" s="2">
        <f>IFERROR(__xludf.DUMMYFUNCTION("""COMPUTED_VALUE"""),45554.66666666667)</f>
        <v>45554.66667</v>
      </c>
      <c r="B829" s="1">
        <f>IFERROR(__xludf.DUMMYFUNCTION("""COMPUTED_VALUE"""),441.23)</f>
        <v>441.23</v>
      </c>
      <c r="C829" s="1">
        <f>IFERROR(__xludf.DUMMYFUNCTION("""COMPUTED_VALUE"""),441.5)</f>
        <v>441.5</v>
      </c>
      <c r="D829" s="1">
        <f>IFERROR(__xludf.DUMMYFUNCTION("""COMPUTED_VALUE"""),436.9)</f>
        <v>436.9</v>
      </c>
      <c r="E829" s="1">
        <f>IFERROR(__xludf.DUMMYFUNCTION("""COMPUTED_VALUE"""),438.69)</f>
        <v>438.69</v>
      </c>
      <c r="F829" s="1">
        <f>IFERROR(__xludf.DUMMYFUNCTION("""COMPUTED_VALUE"""),2.1706559E7)</f>
        <v>21706559</v>
      </c>
    </row>
    <row r="830">
      <c r="A830" s="2">
        <f>IFERROR(__xludf.DUMMYFUNCTION("""COMPUTED_VALUE"""),45555.66666666667)</f>
        <v>45555.66667</v>
      </c>
      <c r="B830" s="1">
        <f>IFERROR(__xludf.DUMMYFUNCTION("""COMPUTED_VALUE"""),437.22)</f>
        <v>437.22</v>
      </c>
      <c r="C830" s="1">
        <f>IFERROR(__xludf.DUMMYFUNCTION("""COMPUTED_VALUE"""),439.24)</f>
        <v>439.24</v>
      </c>
      <c r="D830" s="1">
        <f>IFERROR(__xludf.DUMMYFUNCTION("""COMPUTED_VALUE"""),434.22)</f>
        <v>434.22</v>
      </c>
      <c r="E830" s="1">
        <f>IFERROR(__xludf.DUMMYFUNCTION("""COMPUTED_VALUE"""),435.27)</f>
        <v>435.27</v>
      </c>
      <c r="F830" s="1">
        <f>IFERROR(__xludf.DUMMYFUNCTION("""COMPUTED_VALUE"""),5.5167106E7)</f>
        <v>55167106</v>
      </c>
    </row>
    <row r="831">
      <c r="A831" s="2">
        <f>IFERROR(__xludf.DUMMYFUNCTION("""COMPUTED_VALUE"""),45558.66666666667)</f>
        <v>45558.66667</v>
      </c>
      <c r="B831" s="1">
        <f>IFERROR(__xludf.DUMMYFUNCTION("""COMPUTED_VALUE"""),434.28)</f>
        <v>434.28</v>
      </c>
      <c r="C831" s="1">
        <f>IFERROR(__xludf.DUMMYFUNCTION("""COMPUTED_VALUE"""),436.46)</f>
        <v>436.46</v>
      </c>
      <c r="D831" s="1">
        <f>IFERROR(__xludf.DUMMYFUNCTION("""COMPUTED_VALUE"""),430.39)</f>
        <v>430.39</v>
      </c>
      <c r="E831" s="1">
        <f>IFERROR(__xludf.DUMMYFUNCTION("""COMPUTED_VALUE"""),433.51)</f>
        <v>433.51</v>
      </c>
      <c r="F831" s="1">
        <f>IFERROR(__xludf.DUMMYFUNCTION("""COMPUTED_VALUE"""),1.5128891E7)</f>
        <v>15128891</v>
      </c>
    </row>
    <row r="832">
      <c r="A832" s="2">
        <f>IFERROR(__xludf.DUMMYFUNCTION("""COMPUTED_VALUE"""),45559.66666666667)</f>
        <v>45559.66667</v>
      </c>
      <c r="B832" s="1">
        <f>IFERROR(__xludf.DUMMYFUNCTION("""COMPUTED_VALUE"""),433.0)</f>
        <v>433</v>
      </c>
      <c r="C832" s="1">
        <f>IFERROR(__xludf.DUMMYFUNCTION("""COMPUTED_VALUE"""),433.35)</f>
        <v>433.35</v>
      </c>
      <c r="D832" s="1">
        <f>IFERROR(__xludf.DUMMYFUNCTION("""COMPUTED_VALUE"""),426.1)</f>
        <v>426.1</v>
      </c>
      <c r="E832" s="1">
        <f>IFERROR(__xludf.DUMMYFUNCTION("""COMPUTED_VALUE"""),429.17)</f>
        <v>429.17</v>
      </c>
      <c r="F832" s="1">
        <f>IFERROR(__xludf.DUMMYFUNCTION("""COMPUTED_VALUE"""),1.7015754E7)</f>
        <v>17015754</v>
      </c>
    </row>
    <row r="833">
      <c r="A833" s="2">
        <f>IFERROR(__xludf.DUMMYFUNCTION("""COMPUTED_VALUE"""),45560.66666666667)</f>
        <v>45560.66667</v>
      </c>
      <c r="B833" s="1">
        <f>IFERROR(__xludf.DUMMYFUNCTION("""COMPUTED_VALUE"""),429.83)</f>
        <v>429.83</v>
      </c>
      <c r="C833" s="1">
        <f>IFERROR(__xludf.DUMMYFUNCTION("""COMPUTED_VALUE"""),433.12)</f>
        <v>433.12</v>
      </c>
      <c r="D833" s="1">
        <f>IFERROR(__xludf.DUMMYFUNCTION("""COMPUTED_VALUE"""),428.57)</f>
        <v>428.57</v>
      </c>
      <c r="E833" s="1">
        <f>IFERROR(__xludf.DUMMYFUNCTION("""COMPUTED_VALUE"""),432.11)</f>
        <v>432.11</v>
      </c>
      <c r="F833" s="1">
        <f>IFERROR(__xludf.DUMMYFUNCTION("""COMPUTED_VALUE"""),1.3396364E7)</f>
        <v>13396364</v>
      </c>
    </row>
    <row r="834">
      <c r="A834" s="2">
        <f>IFERROR(__xludf.DUMMYFUNCTION("""COMPUTED_VALUE"""),45561.66666666667)</f>
        <v>45561.66667</v>
      </c>
      <c r="B834" s="1">
        <f>IFERROR(__xludf.DUMMYFUNCTION("""COMPUTED_VALUE"""),435.09)</f>
        <v>435.09</v>
      </c>
      <c r="C834" s="1">
        <f>IFERROR(__xludf.DUMMYFUNCTION("""COMPUTED_VALUE"""),435.3)</f>
        <v>435.3</v>
      </c>
      <c r="D834" s="1">
        <f>IFERROR(__xludf.DUMMYFUNCTION("""COMPUTED_VALUE"""),429.13)</f>
        <v>429.13</v>
      </c>
      <c r="E834" s="1">
        <f>IFERROR(__xludf.DUMMYFUNCTION("""COMPUTED_VALUE"""),431.31)</f>
        <v>431.31</v>
      </c>
      <c r="F834" s="1">
        <f>IFERROR(__xludf.DUMMYFUNCTION("""COMPUTED_VALUE"""),1.4492044E7)</f>
        <v>14492044</v>
      </c>
    </row>
    <row r="835">
      <c r="A835" s="2">
        <f>IFERROR(__xludf.DUMMYFUNCTION("""COMPUTED_VALUE"""),45562.66666666667)</f>
        <v>45562.66667</v>
      </c>
      <c r="B835" s="1">
        <f>IFERROR(__xludf.DUMMYFUNCTION("""COMPUTED_VALUE"""),431.52)</f>
        <v>431.52</v>
      </c>
      <c r="C835" s="1">
        <f>IFERROR(__xludf.DUMMYFUNCTION("""COMPUTED_VALUE"""),431.85)</f>
        <v>431.85</v>
      </c>
      <c r="D835" s="1">
        <f>IFERROR(__xludf.DUMMYFUNCTION("""COMPUTED_VALUE"""),427.47)</f>
        <v>427.47</v>
      </c>
      <c r="E835" s="1">
        <f>IFERROR(__xludf.DUMMYFUNCTION("""COMPUTED_VALUE"""),428.02)</f>
        <v>428.02</v>
      </c>
      <c r="F835" s="1">
        <f>IFERROR(__xludf.DUMMYFUNCTION("""COMPUTED_VALUE"""),1.4896131E7)</f>
        <v>14896131</v>
      </c>
    </row>
    <row r="836">
      <c r="A836" s="2">
        <f>IFERROR(__xludf.DUMMYFUNCTION("""COMPUTED_VALUE"""),45565.66666666667)</f>
        <v>45565.66667</v>
      </c>
      <c r="B836" s="1">
        <f>IFERROR(__xludf.DUMMYFUNCTION("""COMPUTED_VALUE"""),428.21)</f>
        <v>428.21</v>
      </c>
      <c r="C836" s="1">
        <f>IFERROR(__xludf.DUMMYFUNCTION("""COMPUTED_VALUE"""),430.42)</f>
        <v>430.42</v>
      </c>
      <c r="D836" s="1">
        <f>IFERROR(__xludf.DUMMYFUNCTION("""COMPUTED_VALUE"""),425.37)</f>
        <v>425.37</v>
      </c>
      <c r="E836" s="1">
        <f>IFERROR(__xludf.DUMMYFUNCTION("""COMPUTED_VALUE"""),430.3)</f>
        <v>430.3</v>
      </c>
      <c r="F836" s="1">
        <f>IFERROR(__xludf.DUMMYFUNCTION("""COMPUTED_VALUE"""),1.6854606E7)</f>
        <v>16854606</v>
      </c>
    </row>
    <row r="837">
      <c r="A837" s="2">
        <f>IFERROR(__xludf.DUMMYFUNCTION("""COMPUTED_VALUE"""),45566.66666666667)</f>
        <v>45566.66667</v>
      </c>
      <c r="B837" s="1">
        <f>IFERROR(__xludf.DUMMYFUNCTION("""COMPUTED_VALUE"""),428.45)</f>
        <v>428.45</v>
      </c>
      <c r="C837" s="1">
        <f>IFERROR(__xludf.DUMMYFUNCTION("""COMPUTED_VALUE"""),428.48)</f>
        <v>428.48</v>
      </c>
      <c r="D837" s="1">
        <f>IFERROR(__xludf.DUMMYFUNCTION("""COMPUTED_VALUE"""),418.81)</f>
        <v>418.81</v>
      </c>
      <c r="E837" s="1">
        <f>IFERROR(__xludf.DUMMYFUNCTION("""COMPUTED_VALUE"""),420.69)</f>
        <v>420.69</v>
      </c>
      <c r="F837" s="1">
        <f>IFERROR(__xludf.DUMMYFUNCTION("""COMPUTED_VALUE"""),1.9092945E7)</f>
        <v>19092945</v>
      </c>
    </row>
    <row r="838">
      <c r="A838" s="2">
        <f>IFERROR(__xludf.DUMMYFUNCTION("""COMPUTED_VALUE"""),45567.66666666667)</f>
        <v>45567.66667</v>
      </c>
      <c r="B838" s="1">
        <f>IFERROR(__xludf.DUMMYFUNCTION("""COMPUTED_VALUE"""),422.58)</f>
        <v>422.58</v>
      </c>
      <c r="C838" s="1">
        <f>IFERROR(__xludf.DUMMYFUNCTION("""COMPUTED_VALUE"""),422.82)</f>
        <v>422.82</v>
      </c>
      <c r="D838" s="1">
        <f>IFERROR(__xludf.DUMMYFUNCTION("""COMPUTED_VALUE"""),416.71)</f>
        <v>416.71</v>
      </c>
      <c r="E838" s="1">
        <f>IFERROR(__xludf.DUMMYFUNCTION("""COMPUTED_VALUE"""),417.13)</f>
        <v>417.13</v>
      </c>
      <c r="F838" s="1">
        <f>IFERROR(__xludf.DUMMYFUNCTION("""COMPUTED_VALUE"""),1.6582257E7)</f>
        <v>16582257</v>
      </c>
    </row>
    <row r="839">
      <c r="A839" s="2">
        <f>IFERROR(__xludf.DUMMYFUNCTION("""COMPUTED_VALUE"""),45568.66666666667)</f>
        <v>45568.66667</v>
      </c>
      <c r="B839" s="1">
        <f>IFERROR(__xludf.DUMMYFUNCTION("""COMPUTED_VALUE"""),417.63)</f>
        <v>417.63</v>
      </c>
      <c r="C839" s="1">
        <f>IFERROR(__xludf.DUMMYFUNCTION("""COMPUTED_VALUE"""),419.55)</f>
        <v>419.55</v>
      </c>
      <c r="D839" s="1">
        <f>IFERROR(__xludf.DUMMYFUNCTION("""COMPUTED_VALUE"""),414.29)</f>
        <v>414.29</v>
      </c>
      <c r="E839" s="1">
        <f>IFERROR(__xludf.DUMMYFUNCTION("""COMPUTED_VALUE"""),416.54)</f>
        <v>416.54</v>
      </c>
      <c r="F839" s="1">
        <f>IFERROR(__xludf.DUMMYFUNCTION("""COMPUTED_VALUE"""),1.3686421E7)</f>
        <v>13686421</v>
      </c>
    </row>
    <row r="840">
      <c r="A840" s="2">
        <f>IFERROR(__xludf.DUMMYFUNCTION("""COMPUTED_VALUE"""),45569.66666666667)</f>
        <v>45569.66667</v>
      </c>
      <c r="B840" s="1">
        <f>IFERROR(__xludf.DUMMYFUNCTION("""COMPUTED_VALUE"""),418.24)</f>
        <v>418.24</v>
      </c>
      <c r="C840" s="1">
        <f>IFERROR(__xludf.DUMMYFUNCTION("""COMPUTED_VALUE"""),419.75)</f>
        <v>419.75</v>
      </c>
      <c r="D840" s="1">
        <f>IFERROR(__xludf.DUMMYFUNCTION("""COMPUTED_VALUE"""),414.97)</f>
        <v>414.97</v>
      </c>
      <c r="E840" s="1">
        <f>IFERROR(__xludf.DUMMYFUNCTION("""COMPUTED_VALUE"""),416.06)</f>
        <v>416.06</v>
      </c>
      <c r="F840" s="1">
        <f>IFERROR(__xludf.DUMMYFUNCTION("""COMPUTED_VALUE"""),1.9190913E7)</f>
        <v>19190913</v>
      </c>
    </row>
    <row r="841">
      <c r="A841" s="2">
        <f>IFERROR(__xludf.DUMMYFUNCTION("""COMPUTED_VALUE"""),45572.66666666667)</f>
        <v>45572.66667</v>
      </c>
      <c r="B841" s="1">
        <f>IFERROR(__xludf.DUMMYFUNCTION("""COMPUTED_VALUE"""),416.0)</f>
        <v>416</v>
      </c>
      <c r="C841" s="1">
        <f>IFERROR(__xludf.DUMMYFUNCTION("""COMPUTED_VALUE"""),417.11)</f>
        <v>417.11</v>
      </c>
      <c r="D841" s="1">
        <f>IFERROR(__xludf.DUMMYFUNCTION("""COMPUTED_VALUE"""),409.0)</f>
        <v>409</v>
      </c>
      <c r="E841" s="1">
        <f>IFERROR(__xludf.DUMMYFUNCTION("""COMPUTED_VALUE"""),409.54)</f>
        <v>409.54</v>
      </c>
      <c r="F841" s="1">
        <f>IFERROR(__xludf.DUMMYFUNCTION("""COMPUTED_VALUE"""),2.0919761E7)</f>
        <v>20919761</v>
      </c>
    </row>
    <row r="842">
      <c r="A842" s="2">
        <f>IFERROR(__xludf.DUMMYFUNCTION("""COMPUTED_VALUE"""),45573.66666666667)</f>
        <v>45573.66667</v>
      </c>
      <c r="B842" s="1">
        <f>IFERROR(__xludf.DUMMYFUNCTION("""COMPUTED_VALUE"""),410.9)</f>
        <v>410.9</v>
      </c>
      <c r="C842" s="1">
        <f>IFERROR(__xludf.DUMMYFUNCTION("""COMPUTED_VALUE"""),415.66)</f>
        <v>415.66</v>
      </c>
      <c r="D842" s="1">
        <f>IFERROR(__xludf.DUMMYFUNCTION("""COMPUTED_VALUE"""),408.17)</f>
        <v>408.17</v>
      </c>
      <c r="E842" s="1">
        <f>IFERROR(__xludf.DUMMYFUNCTION("""COMPUTED_VALUE"""),414.71)</f>
        <v>414.71</v>
      </c>
      <c r="F842" s="1">
        <f>IFERROR(__xludf.DUMMYFUNCTION("""COMPUTED_VALUE"""),1.9229261E7)</f>
        <v>19229261</v>
      </c>
    </row>
    <row r="843">
      <c r="A843" s="2">
        <f>IFERROR(__xludf.DUMMYFUNCTION("""COMPUTED_VALUE"""),45574.66666666667)</f>
        <v>45574.66667</v>
      </c>
      <c r="B843" s="1">
        <f>IFERROR(__xludf.DUMMYFUNCTION("""COMPUTED_VALUE"""),415.86)</f>
        <v>415.86</v>
      </c>
      <c r="C843" s="1">
        <f>IFERROR(__xludf.DUMMYFUNCTION("""COMPUTED_VALUE"""),420.38)</f>
        <v>420.38</v>
      </c>
      <c r="D843" s="1">
        <f>IFERROR(__xludf.DUMMYFUNCTION("""COMPUTED_VALUE"""),414.3)</f>
        <v>414.3</v>
      </c>
      <c r="E843" s="1">
        <f>IFERROR(__xludf.DUMMYFUNCTION("""COMPUTED_VALUE"""),417.46)</f>
        <v>417.46</v>
      </c>
      <c r="F843" s="1">
        <f>IFERROR(__xludf.DUMMYFUNCTION("""COMPUTED_VALUE"""),1.4974257E7)</f>
        <v>14974257</v>
      </c>
    </row>
    <row r="844">
      <c r="A844" s="2">
        <f>IFERROR(__xludf.DUMMYFUNCTION("""COMPUTED_VALUE"""),45575.66666666667)</f>
        <v>45575.66667</v>
      </c>
      <c r="B844" s="1">
        <f>IFERROR(__xludf.DUMMYFUNCTION("""COMPUTED_VALUE"""),415.23)</f>
        <v>415.23</v>
      </c>
      <c r="C844" s="1">
        <f>IFERROR(__xludf.DUMMYFUNCTION("""COMPUTED_VALUE"""),417.35)</f>
        <v>417.35</v>
      </c>
      <c r="D844" s="1">
        <f>IFERROR(__xludf.DUMMYFUNCTION("""COMPUTED_VALUE"""),413.15)</f>
        <v>413.15</v>
      </c>
      <c r="E844" s="1">
        <f>IFERROR(__xludf.DUMMYFUNCTION("""COMPUTED_VALUE"""),415.84)</f>
        <v>415.84</v>
      </c>
      <c r="F844" s="1">
        <f>IFERROR(__xludf.DUMMYFUNCTION("""COMPUTED_VALUE"""),1.3848376E7)</f>
        <v>13848376</v>
      </c>
    </row>
    <row r="845">
      <c r="A845" s="2">
        <f>IFERROR(__xludf.DUMMYFUNCTION("""COMPUTED_VALUE"""),45576.66666666667)</f>
        <v>45576.66667</v>
      </c>
      <c r="B845" s="1">
        <f>IFERROR(__xludf.DUMMYFUNCTION("""COMPUTED_VALUE"""),416.14)</f>
        <v>416.14</v>
      </c>
      <c r="C845" s="1">
        <f>IFERROR(__xludf.DUMMYFUNCTION("""COMPUTED_VALUE"""),417.13)</f>
        <v>417.13</v>
      </c>
      <c r="D845" s="1">
        <f>IFERROR(__xludf.DUMMYFUNCTION("""COMPUTED_VALUE"""),413.25)</f>
        <v>413.25</v>
      </c>
      <c r="E845" s="1">
        <f>IFERROR(__xludf.DUMMYFUNCTION("""COMPUTED_VALUE"""),416.32)</f>
        <v>416.32</v>
      </c>
      <c r="F845" s="1">
        <f>IFERROR(__xludf.DUMMYFUNCTION("""COMPUTED_VALUE"""),1.4144944E7)</f>
        <v>14144944</v>
      </c>
    </row>
    <row r="846">
      <c r="A846" s="2">
        <f>IFERROR(__xludf.DUMMYFUNCTION("""COMPUTED_VALUE"""),45579.66666666667)</f>
        <v>45579.66667</v>
      </c>
      <c r="B846" s="1">
        <f>IFERROR(__xludf.DUMMYFUNCTION("""COMPUTED_VALUE"""),417.77)</f>
        <v>417.77</v>
      </c>
      <c r="C846" s="1">
        <f>IFERROR(__xludf.DUMMYFUNCTION("""COMPUTED_VALUE"""),424.04)</f>
        <v>424.04</v>
      </c>
      <c r="D846" s="1">
        <f>IFERROR(__xludf.DUMMYFUNCTION("""COMPUTED_VALUE"""),417.52)</f>
        <v>417.52</v>
      </c>
      <c r="E846" s="1">
        <f>IFERROR(__xludf.DUMMYFUNCTION("""COMPUTED_VALUE"""),419.14)</f>
        <v>419.14</v>
      </c>
      <c r="F846" s="1">
        <f>IFERROR(__xludf.DUMMYFUNCTION("""COMPUTED_VALUE"""),1.6653086E7)</f>
        <v>16653086</v>
      </c>
    </row>
    <row r="847">
      <c r="A847" s="2">
        <f>IFERROR(__xludf.DUMMYFUNCTION("""COMPUTED_VALUE"""),45580.66666666667)</f>
        <v>45580.66667</v>
      </c>
      <c r="B847" s="1">
        <f>IFERROR(__xludf.DUMMYFUNCTION("""COMPUTED_VALUE"""),417.77)</f>
        <v>417.77</v>
      </c>
      <c r="C847" s="1">
        <f>IFERROR(__xludf.DUMMYFUNCTION("""COMPUTED_VALUE"""),424.04)</f>
        <v>424.04</v>
      </c>
      <c r="D847" s="1">
        <f>IFERROR(__xludf.DUMMYFUNCTION("""COMPUTED_VALUE"""),417.52)</f>
        <v>417.52</v>
      </c>
      <c r="E847" s="1">
        <f>IFERROR(__xludf.DUMMYFUNCTION("""COMPUTED_VALUE"""),419.14)</f>
        <v>419.14</v>
      </c>
      <c r="F847" s="1">
        <f>IFERROR(__xludf.DUMMYFUNCTION("""COMPUTED_VALUE"""),1364087.0)</f>
        <v>1364087</v>
      </c>
    </row>
    <row r="848">
      <c r="A848" s="2">
        <f>IFERROR(__xludf.DUMMYFUNCTION("""COMPUTED_VALUE"""),45581.66666666667)</f>
        <v>45581.66667</v>
      </c>
      <c r="B848" s="1">
        <f>IFERROR(__xludf.DUMMYFUNCTION("""COMPUTED_VALUE"""),415.17)</f>
        <v>415.17</v>
      </c>
      <c r="C848" s="1">
        <f>IFERROR(__xludf.DUMMYFUNCTION("""COMPUTED_VALUE"""),416.36)</f>
        <v>416.36</v>
      </c>
      <c r="D848" s="1">
        <f>IFERROR(__xludf.DUMMYFUNCTION("""COMPUTED_VALUE"""),410.48)</f>
        <v>410.48</v>
      </c>
      <c r="E848" s="1">
        <f>IFERROR(__xludf.DUMMYFUNCTION("""COMPUTED_VALUE"""),416.12)</f>
        <v>416.12</v>
      </c>
      <c r="F848" s="1">
        <f>IFERROR(__xludf.DUMMYFUNCTION("""COMPUTED_VALUE"""),1.5508932E7)</f>
        <v>15508932</v>
      </c>
    </row>
    <row r="849">
      <c r="A849" s="2">
        <f>IFERROR(__xludf.DUMMYFUNCTION("""COMPUTED_VALUE"""),45582.66666666667)</f>
        <v>45582.66667</v>
      </c>
      <c r="B849" s="1">
        <f>IFERROR(__xludf.DUMMYFUNCTION("""COMPUTED_VALUE"""),422.36)</f>
        <v>422.36</v>
      </c>
      <c r="C849" s="1">
        <f>IFERROR(__xludf.DUMMYFUNCTION("""COMPUTED_VALUE"""),422.5)</f>
        <v>422.5</v>
      </c>
      <c r="D849" s="1">
        <f>IFERROR(__xludf.DUMMYFUNCTION("""COMPUTED_VALUE"""),415.59)</f>
        <v>415.59</v>
      </c>
      <c r="E849" s="1">
        <f>IFERROR(__xludf.DUMMYFUNCTION("""COMPUTED_VALUE"""),416.72)</f>
        <v>416.72</v>
      </c>
      <c r="F849" s="1">
        <f>IFERROR(__xludf.DUMMYFUNCTION("""COMPUTED_VALUE"""),1.4820004E7)</f>
        <v>14820004</v>
      </c>
    </row>
    <row r="850">
      <c r="A850" s="2">
        <f>IFERROR(__xludf.DUMMYFUNCTION("""COMPUTED_VALUE"""),45583.66666666667)</f>
        <v>45583.66667</v>
      </c>
      <c r="B850" s="1">
        <f>IFERROR(__xludf.DUMMYFUNCTION("""COMPUTED_VALUE"""),417.14)</f>
        <v>417.14</v>
      </c>
      <c r="C850" s="1">
        <f>IFERROR(__xludf.DUMMYFUNCTION("""COMPUTED_VALUE"""),419.65)</f>
        <v>419.65</v>
      </c>
      <c r="D850" s="1">
        <f>IFERROR(__xludf.DUMMYFUNCTION("""COMPUTED_VALUE"""),416.26)</f>
        <v>416.26</v>
      </c>
      <c r="E850" s="1">
        <f>IFERROR(__xludf.DUMMYFUNCTION("""COMPUTED_VALUE"""),418.16)</f>
        <v>418.16</v>
      </c>
      <c r="F850" s="1">
        <f>IFERROR(__xludf.DUMMYFUNCTION("""COMPUTED_VALUE"""),1.7145317E7)</f>
        <v>17145317</v>
      </c>
    </row>
    <row r="851">
      <c r="A851" s="2">
        <f>IFERROR(__xludf.DUMMYFUNCTION("""COMPUTED_VALUE"""),45586.66666666667)</f>
        <v>45586.66667</v>
      </c>
      <c r="B851" s="1">
        <f>IFERROR(__xludf.DUMMYFUNCTION("""COMPUTED_VALUE"""),416.12)</f>
        <v>416.12</v>
      </c>
      <c r="C851" s="1">
        <f>IFERROR(__xludf.DUMMYFUNCTION("""COMPUTED_VALUE"""),418.96)</f>
        <v>418.96</v>
      </c>
      <c r="D851" s="1">
        <f>IFERROR(__xludf.DUMMYFUNCTION("""COMPUTED_VALUE"""),413.75)</f>
        <v>413.75</v>
      </c>
      <c r="E851" s="1">
        <f>IFERROR(__xludf.DUMMYFUNCTION("""COMPUTED_VALUE"""),418.78)</f>
        <v>418.78</v>
      </c>
      <c r="F851" s="1">
        <f>IFERROR(__xludf.DUMMYFUNCTION("""COMPUTED_VALUE"""),1.4206115E7)</f>
        <v>14206115</v>
      </c>
    </row>
    <row r="852">
      <c r="A852" s="2">
        <f>IFERROR(__xludf.DUMMYFUNCTION("""COMPUTED_VALUE"""),45587.66666666667)</f>
        <v>45587.66667</v>
      </c>
      <c r="B852" s="1">
        <f>IFERROR(__xludf.DUMMYFUNCTION("""COMPUTED_VALUE"""),418.49)</f>
        <v>418.49</v>
      </c>
      <c r="C852" s="1">
        <f>IFERROR(__xludf.DUMMYFUNCTION("""COMPUTED_VALUE"""),430.58)</f>
        <v>430.58</v>
      </c>
      <c r="D852" s="1">
        <f>IFERROR(__xludf.DUMMYFUNCTION("""COMPUTED_VALUE"""),418.04)</f>
        <v>418.04</v>
      </c>
      <c r="E852" s="1">
        <f>IFERROR(__xludf.DUMMYFUNCTION("""COMPUTED_VALUE"""),427.51)</f>
        <v>427.51</v>
      </c>
      <c r="F852" s="1">
        <f>IFERROR(__xludf.DUMMYFUNCTION("""COMPUTED_VALUE"""),2.5482197E7)</f>
        <v>25482197</v>
      </c>
    </row>
    <row r="853">
      <c r="A853" s="2">
        <f>IFERROR(__xludf.DUMMYFUNCTION("""COMPUTED_VALUE"""),45588.66666666667)</f>
        <v>45588.66667</v>
      </c>
      <c r="B853" s="1">
        <f>IFERROR(__xludf.DUMMYFUNCTION("""COMPUTED_VALUE"""),430.86)</f>
        <v>430.86</v>
      </c>
      <c r="C853" s="1">
        <f>IFERROR(__xludf.DUMMYFUNCTION("""COMPUTED_VALUE"""),431.08)</f>
        <v>431.08</v>
      </c>
      <c r="D853" s="1">
        <f>IFERROR(__xludf.DUMMYFUNCTION("""COMPUTED_VALUE"""),422.53)</f>
        <v>422.53</v>
      </c>
      <c r="E853" s="1">
        <f>IFERROR(__xludf.DUMMYFUNCTION("""COMPUTED_VALUE"""),424.6)</f>
        <v>424.6</v>
      </c>
      <c r="F853" s="1">
        <f>IFERROR(__xludf.DUMMYFUNCTION("""COMPUTED_VALUE"""),1.9654379E7)</f>
        <v>19654379</v>
      </c>
    </row>
    <row r="854">
      <c r="A854" s="2">
        <f>IFERROR(__xludf.DUMMYFUNCTION("""COMPUTED_VALUE"""),45589.66666666667)</f>
        <v>45589.66667</v>
      </c>
      <c r="B854" s="1">
        <f>IFERROR(__xludf.DUMMYFUNCTION("""COMPUTED_VALUE"""),425.33)</f>
        <v>425.33</v>
      </c>
      <c r="C854" s="1">
        <f>IFERROR(__xludf.DUMMYFUNCTION("""COMPUTED_VALUE"""),425.98)</f>
        <v>425.98</v>
      </c>
      <c r="D854" s="1">
        <f>IFERROR(__xludf.DUMMYFUNCTION("""COMPUTED_VALUE"""),422.4)</f>
        <v>422.4</v>
      </c>
      <c r="E854" s="1">
        <f>IFERROR(__xludf.DUMMYFUNCTION("""COMPUTED_VALUE"""),424.73)</f>
        <v>424.73</v>
      </c>
      <c r="F854" s="1">
        <f>IFERROR(__xludf.DUMMYFUNCTION("""COMPUTED_VALUE"""),1.3581631E7)</f>
        <v>13581631</v>
      </c>
    </row>
    <row r="855">
      <c r="A855" s="2">
        <f>IFERROR(__xludf.DUMMYFUNCTION("""COMPUTED_VALUE"""),45590.66666666667)</f>
        <v>45590.66667</v>
      </c>
      <c r="B855" s="1">
        <f>IFERROR(__xludf.DUMMYFUNCTION("""COMPUTED_VALUE"""),426.76)</f>
        <v>426.76</v>
      </c>
      <c r="C855" s="1">
        <f>IFERROR(__xludf.DUMMYFUNCTION("""COMPUTED_VALUE"""),432.52)</f>
        <v>432.52</v>
      </c>
      <c r="D855" s="1">
        <f>IFERROR(__xludf.DUMMYFUNCTION("""COMPUTED_VALUE"""),426.57)</f>
        <v>426.57</v>
      </c>
      <c r="E855" s="1">
        <f>IFERROR(__xludf.DUMMYFUNCTION("""COMPUTED_VALUE"""),428.15)</f>
        <v>428.15</v>
      </c>
      <c r="F855" s="1">
        <f>IFERROR(__xludf.DUMMYFUNCTION("""COMPUTED_VALUE"""),1.6899064E7)</f>
        <v>16899064</v>
      </c>
    </row>
    <row r="856">
      <c r="A856" s="2">
        <f>IFERROR(__xludf.DUMMYFUNCTION("""COMPUTED_VALUE"""),45593.66666666667)</f>
        <v>45593.66667</v>
      </c>
      <c r="B856" s="1">
        <f>IFERROR(__xludf.DUMMYFUNCTION("""COMPUTED_VALUE"""),431.66)</f>
        <v>431.66</v>
      </c>
      <c r="C856" s="1">
        <f>IFERROR(__xludf.DUMMYFUNCTION("""COMPUTED_VALUE"""),431.94)</f>
        <v>431.94</v>
      </c>
      <c r="D856" s="1">
        <f>IFERROR(__xludf.DUMMYFUNCTION("""COMPUTED_VALUE"""),426.3)</f>
        <v>426.3</v>
      </c>
      <c r="E856" s="1">
        <f>IFERROR(__xludf.DUMMYFUNCTION("""COMPUTED_VALUE"""),426.59)</f>
        <v>426.59</v>
      </c>
      <c r="F856" s="1">
        <f>IFERROR(__xludf.DUMMYFUNCTION("""COMPUTED_VALUE"""),1.4882444E7)</f>
        <v>14882444</v>
      </c>
    </row>
    <row r="857">
      <c r="A857" s="2">
        <f>IFERROR(__xludf.DUMMYFUNCTION("""COMPUTED_VALUE"""),45594.66666666667)</f>
        <v>45594.66667</v>
      </c>
      <c r="B857" s="1">
        <f>IFERROR(__xludf.DUMMYFUNCTION("""COMPUTED_VALUE"""),428.0)</f>
        <v>428</v>
      </c>
      <c r="C857" s="1">
        <f>IFERROR(__xludf.DUMMYFUNCTION("""COMPUTED_VALUE"""),433.17)</f>
        <v>433.17</v>
      </c>
      <c r="D857" s="1">
        <f>IFERROR(__xludf.DUMMYFUNCTION("""COMPUTED_VALUE"""),425.8)</f>
        <v>425.8</v>
      </c>
      <c r="E857" s="1">
        <f>IFERROR(__xludf.DUMMYFUNCTION("""COMPUTED_VALUE"""),431.95)</f>
        <v>431.95</v>
      </c>
      <c r="F857" s="1">
        <f>IFERROR(__xludf.DUMMYFUNCTION("""COMPUTED_VALUE"""),1.764408E7)</f>
        <v>17644080</v>
      </c>
    </row>
    <row r="858">
      <c r="A858" s="2">
        <f>IFERROR(__xludf.DUMMYFUNCTION("""COMPUTED_VALUE"""),45595.66666666667)</f>
        <v>45595.66667</v>
      </c>
      <c r="B858" s="1">
        <f>IFERROR(__xludf.DUMMYFUNCTION("""COMPUTED_VALUE"""),437.44)</f>
        <v>437.44</v>
      </c>
      <c r="C858" s="1">
        <f>IFERROR(__xludf.DUMMYFUNCTION("""COMPUTED_VALUE"""),438.5)</f>
        <v>438.5</v>
      </c>
      <c r="D858" s="1">
        <f>IFERROR(__xludf.DUMMYFUNCTION("""COMPUTED_VALUE"""),432.1)</f>
        <v>432.1</v>
      </c>
      <c r="E858" s="1">
        <f>IFERROR(__xludf.DUMMYFUNCTION("""COMPUTED_VALUE"""),432.53)</f>
        <v>432.53</v>
      </c>
      <c r="F858" s="1">
        <f>IFERROR(__xludf.DUMMYFUNCTION("""COMPUTED_VALUE"""),2.9749149E7)</f>
        <v>29749149</v>
      </c>
    </row>
    <row r="859">
      <c r="A859" s="2">
        <f>IFERROR(__xludf.DUMMYFUNCTION("""COMPUTED_VALUE"""),45596.66666666667)</f>
        <v>45596.66667</v>
      </c>
      <c r="B859" s="1">
        <f>IFERROR(__xludf.DUMMYFUNCTION("""COMPUTED_VALUE"""),415.36)</f>
        <v>415.36</v>
      </c>
      <c r="C859" s="1">
        <f>IFERROR(__xludf.DUMMYFUNCTION("""COMPUTED_VALUE"""),416.16)</f>
        <v>416.16</v>
      </c>
      <c r="D859" s="1">
        <f>IFERROR(__xludf.DUMMYFUNCTION("""COMPUTED_VALUE"""),406.3)</f>
        <v>406.3</v>
      </c>
      <c r="E859" s="1">
        <f>IFERROR(__xludf.DUMMYFUNCTION("""COMPUTED_VALUE"""),406.35)</f>
        <v>406.35</v>
      </c>
      <c r="F859" s="1">
        <f>IFERROR(__xludf.DUMMYFUNCTION("""COMPUTED_VALUE"""),5.3970981E7)</f>
        <v>53970981</v>
      </c>
    </row>
    <row r="860">
      <c r="A860" s="2">
        <f>IFERROR(__xludf.DUMMYFUNCTION("""COMPUTED_VALUE"""),45597.66666666667)</f>
        <v>45597.66667</v>
      </c>
      <c r="B860" s="1">
        <f>IFERROR(__xludf.DUMMYFUNCTION("""COMPUTED_VALUE"""),409.01)</f>
        <v>409.01</v>
      </c>
      <c r="C860" s="1">
        <f>IFERROR(__xludf.DUMMYFUNCTION("""COMPUTED_VALUE"""),415.5)</f>
        <v>415.5</v>
      </c>
      <c r="D860" s="1">
        <f>IFERROR(__xludf.DUMMYFUNCTION("""COMPUTED_VALUE"""),407.5)</f>
        <v>407.5</v>
      </c>
      <c r="E860" s="1">
        <f>IFERROR(__xludf.DUMMYFUNCTION("""COMPUTED_VALUE"""),410.37)</f>
        <v>410.37</v>
      </c>
      <c r="F860" s="1">
        <f>IFERROR(__xludf.DUMMYFUNCTION("""COMPUTED_VALUE"""),2.4230442E7)</f>
        <v>24230442</v>
      </c>
    </row>
    <row r="861">
      <c r="A861" s="2">
        <f>IFERROR(__xludf.DUMMYFUNCTION("""COMPUTED_VALUE"""),45600.66666666667)</f>
        <v>45600.66667</v>
      </c>
      <c r="B861" s="1">
        <f>IFERROR(__xludf.DUMMYFUNCTION("""COMPUTED_VALUE"""),409.8)</f>
        <v>409.8</v>
      </c>
      <c r="C861" s="1">
        <f>IFERROR(__xludf.DUMMYFUNCTION("""COMPUTED_VALUE"""),410.42)</f>
        <v>410.42</v>
      </c>
      <c r="D861" s="1">
        <f>IFERROR(__xludf.DUMMYFUNCTION("""COMPUTED_VALUE"""),405.57)</f>
        <v>405.57</v>
      </c>
      <c r="E861" s="1">
        <f>IFERROR(__xludf.DUMMYFUNCTION("""COMPUTED_VALUE"""),408.46)</f>
        <v>408.46</v>
      </c>
      <c r="F861" s="1">
        <f>IFERROR(__xludf.DUMMYFUNCTION("""COMPUTED_VALUE"""),1.9672286E7)</f>
        <v>19672286</v>
      </c>
    </row>
    <row r="862">
      <c r="A862" s="2">
        <f>IFERROR(__xludf.DUMMYFUNCTION("""COMPUTED_VALUE"""),45601.66666666667)</f>
        <v>45601.66667</v>
      </c>
      <c r="B862" s="1">
        <f>IFERROR(__xludf.DUMMYFUNCTION("""COMPUTED_VALUE"""),408.37)</f>
        <v>408.37</v>
      </c>
      <c r="C862" s="1">
        <f>IFERROR(__xludf.DUMMYFUNCTION("""COMPUTED_VALUE"""),414.9)</f>
        <v>414.9</v>
      </c>
      <c r="D862" s="1">
        <f>IFERROR(__xludf.DUMMYFUNCTION("""COMPUTED_VALUE"""),408.08)</f>
        <v>408.08</v>
      </c>
      <c r="E862" s="1">
        <f>IFERROR(__xludf.DUMMYFUNCTION("""COMPUTED_VALUE"""),411.46)</f>
        <v>411.46</v>
      </c>
      <c r="F862" s="1">
        <f>IFERROR(__xludf.DUMMYFUNCTION("""COMPUTED_VALUE"""),1.7626011E7)</f>
        <v>17626011</v>
      </c>
    </row>
    <row r="863">
      <c r="A863" s="2">
        <f>IFERROR(__xludf.DUMMYFUNCTION("""COMPUTED_VALUE"""),45602.66666666667)</f>
        <v>45602.66667</v>
      </c>
      <c r="B863" s="1">
        <f>IFERROR(__xludf.DUMMYFUNCTION("""COMPUTED_VALUE"""),412.42)</f>
        <v>412.42</v>
      </c>
      <c r="C863" s="1">
        <f>IFERROR(__xludf.DUMMYFUNCTION("""COMPUTED_VALUE"""),420.45)</f>
        <v>420.45</v>
      </c>
      <c r="D863" s="1">
        <f>IFERROR(__xludf.DUMMYFUNCTION("""COMPUTED_VALUE"""),410.52)</f>
        <v>410.52</v>
      </c>
      <c r="E863" s="1">
        <f>IFERROR(__xludf.DUMMYFUNCTION("""COMPUTED_VALUE"""),420.18)</f>
        <v>420.18</v>
      </c>
      <c r="F863" s="1">
        <f>IFERROR(__xludf.DUMMYFUNCTION("""COMPUTED_VALUE"""),2.6681842E7)</f>
        <v>26681842</v>
      </c>
    </row>
    <row r="864">
      <c r="A864" s="2">
        <f>IFERROR(__xludf.DUMMYFUNCTION("""COMPUTED_VALUE"""),45603.66666666667)</f>
        <v>45603.66667</v>
      </c>
      <c r="B864" s="1">
        <f>IFERROR(__xludf.DUMMYFUNCTION("""COMPUTED_VALUE"""),421.28)</f>
        <v>421.28</v>
      </c>
      <c r="C864" s="1">
        <f>IFERROR(__xludf.DUMMYFUNCTION("""COMPUTED_VALUE"""),426.85)</f>
        <v>426.85</v>
      </c>
      <c r="D864" s="1">
        <f>IFERROR(__xludf.DUMMYFUNCTION("""COMPUTED_VALUE"""),419.88)</f>
        <v>419.88</v>
      </c>
      <c r="E864" s="1">
        <f>IFERROR(__xludf.DUMMYFUNCTION("""COMPUTED_VALUE"""),425.43)</f>
        <v>425.43</v>
      </c>
      <c r="F864" s="1">
        <f>IFERROR(__xludf.DUMMYFUNCTION("""COMPUTED_VALUE"""),1.9901782E7)</f>
        <v>19901782</v>
      </c>
    </row>
    <row r="865">
      <c r="A865" s="2">
        <f>IFERROR(__xludf.DUMMYFUNCTION("""COMPUTED_VALUE"""),45604.66666666667)</f>
        <v>45604.66667</v>
      </c>
      <c r="B865" s="1">
        <f>IFERROR(__xludf.DUMMYFUNCTION("""COMPUTED_VALUE"""),425.32)</f>
        <v>425.32</v>
      </c>
      <c r="C865" s="1">
        <f>IFERROR(__xludf.DUMMYFUNCTION("""COMPUTED_VALUE"""),426.5)</f>
        <v>426.5</v>
      </c>
      <c r="D865" s="1">
        <f>IFERROR(__xludf.DUMMYFUNCTION("""COMPUTED_VALUE"""),421.78)</f>
        <v>421.78</v>
      </c>
      <c r="E865" s="1">
        <f>IFERROR(__xludf.DUMMYFUNCTION("""COMPUTED_VALUE"""),422.54)</f>
        <v>422.54</v>
      </c>
      <c r="F865" s="1">
        <f>IFERROR(__xludf.DUMMYFUNCTION("""COMPUTED_VALUE"""),1.6891414E7)</f>
        <v>16891414</v>
      </c>
    </row>
    <row r="866">
      <c r="A866" s="2">
        <f>IFERROR(__xludf.DUMMYFUNCTION("""COMPUTED_VALUE"""),45607.66666666667)</f>
        <v>45607.66667</v>
      </c>
      <c r="B866" s="1">
        <f>IFERROR(__xludf.DUMMYFUNCTION("""COMPUTED_VALUE"""),422.52)</f>
        <v>422.52</v>
      </c>
      <c r="C866" s="1">
        <f>IFERROR(__xludf.DUMMYFUNCTION("""COMPUTED_VALUE"""),424.81)</f>
        <v>424.81</v>
      </c>
      <c r="D866" s="1">
        <f>IFERROR(__xludf.DUMMYFUNCTION("""COMPUTED_VALUE"""),416.0)</f>
        <v>416</v>
      </c>
      <c r="E866" s="1">
        <f>IFERROR(__xludf.DUMMYFUNCTION("""COMPUTED_VALUE"""),418.01)</f>
        <v>418.01</v>
      </c>
      <c r="F866" s="1">
        <f>IFERROR(__xludf.DUMMYFUNCTION("""COMPUTED_VALUE"""),2.4503321E7)</f>
        <v>24503321</v>
      </c>
    </row>
    <row r="867">
      <c r="A867" s="2">
        <f>IFERROR(__xludf.DUMMYFUNCTION("""COMPUTED_VALUE"""),45608.66666666667)</f>
        <v>45608.66667</v>
      </c>
      <c r="B867" s="1">
        <f>IFERROR(__xludf.DUMMYFUNCTION("""COMPUTED_VALUE"""),418.25)</f>
        <v>418.25</v>
      </c>
      <c r="C867" s="1">
        <f>IFERROR(__xludf.DUMMYFUNCTION("""COMPUTED_VALUE"""),424.44)</f>
        <v>424.44</v>
      </c>
      <c r="D867" s="1">
        <f>IFERROR(__xludf.DUMMYFUNCTION("""COMPUTED_VALUE"""),417.2)</f>
        <v>417.2</v>
      </c>
      <c r="E867" s="1">
        <f>IFERROR(__xludf.DUMMYFUNCTION("""COMPUTED_VALUE"""),423.03)</f>
        <v>423.03</v>
      </c>
      <c r="F867" s="1">
        <f>IFERROR(__xludf.DUMMYFUNCTION("""COMPUTED_VALUE"""),1.9401204E7)</f>
        <v>19401204</v>
      </c>
    </row>
    <row r="868">
      <c r="A868" s="2">
        <f>IFERROR(__xludf.DUMMYFUNCTION("""COMPUTED_VALUE"""),45609.66666666667)</f>
        <v>45609.66667</v>
      </c>
      <c r="B868" s="1">
        <f>IFERROR(__xludf.DUMMYFUNCTION("""COMPUTED_VALUE"""),421.64)</f>
        <v>421.64</v>
      </c>
      <c r="C868" s="1">
        <f>IFERROR(__xludf.DUMMYFUNCTION("""COMPUTED_VALUE"""),429.33)</f>
        <v>429.33</v>
      </c>
      <c r="D868" s="1">
        <f>IFERROR(__xludf.DUMMYFUNCTION("""COMPUTED_VALUE"""),418.21)</f>
        <v>418.21</v>
      </c>
      <c r="E868" s="1">
        <f>IFERROR(__xludf.DUMMYFUNCTION("""COMPUTED_VALUE"""),425.2)</f>
        <v>425.2</v>
      </c>
      <c r="F868" s="1">
        <f>IFERROR(__xludf.DUMMYFUNCTION("""COMPUTED_VALUE"""),2.1502185E7)</f>
        <v>21502185</v>
      </c>
    </row>
    <row r="869">
      <c r="A869" s="2">
        <f>IFERROR(__xludf.DUMMYFUNCTION("""COMPUTED_VALUE"""),45610.66666666667)</f>
        <v>45610.66667</v>
      </c>
      <c r="B869" s="1">
        <f>IFERROR(__xludf.DUMMYFUNCTION("""COMPUTED_VALUE"""),425.0)</f>
        <v>425</v>
      </c>
      <c r="C869" s="1">
        <f>IFERROR(__xludf.DUMMYFUNCTION("""COMPUTED_VALUE"""),428.17)</f>
        <v>428.17</v>
      </c>
      <c r="D869" s="1">
        <f>IFERROR(__xludf.DUMMYFUNCTION("""COMPUTED_VALUE"""),420.0)</f>
        <v>420</v>
      </c>
      <c r="E869" s="1">
        <f>IFERROR(__xludf.DUMMYFUNCTION("""COMPUTED_VALUE"""),426.89)</f>
        <v>426.89</v>
      </c>
      <c r="F869" s="1">
        <f>IFERROR(__xludf.DUMMYFUNCTION("""COMPUTED_VALUE"""),3.0246881E7)</f>
        <v>30246881</v>
      </c>
    </row>
    <row r="870">
      <c r="A870" s="2">
        <f>IFERROR(__xludf.DUMMYFUNCTION("""COMPUTED_VALUE"""),45611.66666666667)</f>
        <v>45611.66667</v>
      </c>
      <c r="B870" s="1">
        <f>IFERROR(__xludf.DUMMYFUNCTION("""COMPUTED_VALUE"""),419.82)</f>
        <v>419.82</v>
      </c>
      <c r="C870" s="1">
        <f>IFERROR(__xludf.DUMMYFUNCTION("""COMPUTED_VALUE"""),422.8)</f>
        <v>422.8</v>
      </c>
      <c r="D870" s="1">
        <f>IFERROR(__xludf.DUMMYFUNCTION("""COMPUTED_VALUE"""),413.64)</f>
        <v>413.64</v>
      </c>
      <c r="E870" s="1">
        <f>IFERROR(__xludf.DUMMYFUNCTION("""COMPUTED_VALUE"""),415.0)</f>
        <v>415</v>
      </c>
      <c r="F870" s="1">
        <f>IFERROR(__xludf.DUMMYFUNCTION("""COMPUTED_VALUE"""),2.8247644E7)</f>
        <v>28247644</v>
      </c>
    </row>
    <row r="871">
      <c r="A871" s="2">
        <f>IFERROR(__xludf.DUMMYFUNCTION("""COMPUTED_VALUE"""),45614.66666666667)</f>
        <v>45614.66667</v>
      </c>
      <c r="B871" s="1">
        <f>IFERROR(__xludf.DUMMYFUNCTION("""COMPUTED_VALUE"""),414.87)</f>
        <v>414.87</v>
      </c>
      <c r="C871" s="1">
        <f>IFERROR(__xludf.DUMMYFUNCTION("""COMPUTED_VALUE"""),418.4)</f>
        <v>418.4</v>
      </c>
      <c r="D871" s="1">
        <f>IFERROR(__xludf.DUMMYFUNCTION("""COMPUTED_VALUE"""),412.1)</f>
        <v>412.1</v>
      </c>
      <c r="E871" s="1">
        <f>IFERROR(__xludf.DUMMYFUNCTION("""COMPUTED_VALUE"""),415.76)</f>
        <v>415.76</v>
      </c>
      <c r="F871" s="1">
        <f>IFERROR(__xludf.DUMMYFUNCTION("""COMPUTED_VALUE"""),2.4742013E7)</f>
        <v>24742013</v>
      </c>
    </row>
    <row r="872">
      <c r="A872" s="2">
        <f>IFERROR(__xludf.DUMMYFUNCTION("""COMPUTED_VALUE"""),45615.66666666667)</f>
        <v>45615.66667</v>
      </c>
      <c r="B872" s="1">
        <f>IFERROR(__xludf.DUMMYFUNCTION("""COMPUTED_VALUE"""),413.11)</f>
        <v>413.11</v>
      </c>
      <c r="C872" s="1">
        <f>IFERROR(__xludf.DUMMYFUNCTION("""COMPUTED_VALUE"""),417.94)</f>
        <v>417.94</v>
      </c>
      <c r="D872" s="1">
        <f>IFERROR(__xludf.DUMMYFUNCTION("""COMPUTED_VALUE"""),411.55)</f>
        <v>411.55</v>
      </c>
      <c r="E872" s="1">
        <f>IFERROR(__xludf.DUMMYFUNCTION("""COMPUTED_VALUE"""),417.79)</f>
        <v>417.79</v>
      </c>
      <c r="F872" s="1">
        <f>IFERROR(__xludf.DUMMYFUNCTION("""COMPUTED_VALUE"""),1.8133529E7)</f>
        <v>18133529</v>
      </c>
    </row>
    <row r="873">
      <c r="A873" s="2">
        <f>IFERROR(__xludf.DUMMYFUNCTION("""COMPUTED_VALUE"""),45616.66666666667)</f>
        <v>45616.66667</v>
      </c>
      <c r="B873" s="1">
        <f>IFERROR(__xludf.DUMMYFUNCTION("""COMPUTED_VALUE"""),416.87)</f>
        <v>416.87</v>
      </c>
      <c r="C873" s="1">
        <f>IFERROR(__xludf.DUMMYFUNCTION("""COMPUTED_VALUE"""),417.29)</f>
        <v>417.29</v>
      </c>
      <c r="D873" s="1">
        <f>IFERROR(__xludf.DUMMYFUNCTION("""COMPUTED_VALUE"""),410.58)</f>
        <v>410.58</v>
      </c>
      <c r="E873" s="1">
        <f>IFERROR(__xludf.DUMMYFUNCTION("""COMPUTED_VALUE"""),415.49)</f>
        <v>415.49</v>
      </c>
      <c r="F873" s="1">
        <f>IFERROR(__xludf.DUMMYFUNCTION("""COMPUTED_VALUE"""),1.9191655E7)</f>
        <v>19191655</v>
      </c>
    </row>
    <row r="874">
      <c r="A874" s="2">
        <f>IFERROR(__xludf.DUMMYFUNCTION("""COMPUTED_VALUE"""),45617.66666666667)</f>
        <v>45617.66667</v>
      </c>
      <c r="B874" s="1">
        <f>IFERROR(__xludf.DUMMYFUNCTION("""COMPUTED_VALUE"""),419.5)</f>
        <v>419.5</v>
      </c>
      <c r="C874" s="1">
        <f>IFERROR(__xludf.DUMMYFUNCTION("""COMPUTED_VALUE"""),419.78)</f>
        <v>419.78</v>
      </c>
      <c r="D874" s="1">
        <f>IFERROR(__xludf.DUMMYFUNCTION("""COMPUTED_VALUE"""),410.29)</f>
        <v>410.29</v>
      </c>
      <c r="E874" s="1">
        <f>IFERROR(__xludf.DUMMYFUNCTION("""COMPUTED_VALUE"""),412.87)</f>
        <v>412.87</v>
      </c>
      <c r="F874" s="1">
        <f>IFERROR(__xludf.DUMMYFUNCTION("""COMPUTED_VALUE"""),2.0780162E7)</f>
        <v>20780162</v>
      </c>
    </row>
    <row r="875">
      <c r="A875" s="2">
        <f>IFERROR(__xludf.DUMMYFUNCTION("""COMPUTED_VALUE"""),45618.66666666667)</f>
        <v>45618.66667</v>
      </c>
      <c r="B875" s="1">
        <f>IFERROR(__xludf.DUMMYFUNCTION("""COMPUTED_VALUE"""),411.37)</f>
        <v>411.37</v>
      </c>
      <c r="C875" s="1">
        <f>IFERROR(__xludf.DUMMYFUNCTION("""COMPUTED_VALUE"""),417.4)</f>
        <v>417.4</v>
      </c>
      <c r="D875" s="1">
        <f>IFERROR(__xludf.DUMMYFUNCTION("""COMPUTED_VALUE"""),411.06)</f>
        <v>411.06</v>
      </c>
      <c r="E875" s="1">
        <f>IFERROR(__xludf.DUMMYFUNCTION("""COMPUTED_VALUE"""),417.0)</f>
        <v>417</v>
      </c>
      <c r="F875" s="1">
        <f>IFERROR(__xludf.DUMMYFUNCTION("""COMPUTED_VALUE"""),2.4814626E7)</f>
        <v>24814626</v>
      </c>
    </row>
    <row r="876">
      <c r="A876" s="2">
        <f>IFERROR(__xludf.DUMMYFUNCTION("""COMPUTED_VALUE"""),45621.66666666667)</f>
        <v>45621.66667</v>
      </c>
      <c r="B876" s="1">
        <f>IFERROR(__xludf.DUMMYFUNCTION("""COMPUTED_VALUE"""),418.38)</f>
        <v>418.38</v>
      </c>
      <c r="C876" s="1">
        <f>IFERROR(__xludf.DUMMYFUNCTION("""COMPUTED_VALUE"""),421.08)</f>
        <v>421.08</v>
      </c>
      <c r="D876" s="1">
        <f>IFERROR(__xludf.DUMMYFUNCTION("""COMPUTED_VALUE"""),414.85)</f>
        <v>414.85</v>
      </c>
      <c r="E876" s="1">
        <f>IFERROR(__xludf.DUMMYFUNCTION("""COMPUTED_VALUE"""),418.79)</f>
        <v>418.79</v>
      </c>
      <c r="F876" s="1">
        <f>IFERROR(__xludf.DUMMYFUNCTION("""COMPUTED_VALUE"""),2.769109E7)</f>
        <v>27691090</v>
      </c>
    </row>
    <row r="877">
      <c r="A877" s="2">
        <f>IFERROR(__xludf.DUMMYFUNCTION("""COMPUTED_VALUE"""),45622.66666666667)</f>
        <v>45622.66667</v>
      </c>
      <c r="B877" s="1">
        <f>IFERROR(__xludf.DUMMYFUNCTION("""COMPUTED_VALUE"""),419.59)</f>
        <v>419.59</v>
      </c>
      <c r="C877" s="1">
        <f>IFERROR(__xludf.DUMMYFUNCTION("""COMPUTED_VALUE"""),429.04)</f>
        <v>429.04</v>
      </c>
      <c r="D877" s="1">
        <f>IFERROR(__xludf.DUMMYFUNCTION("""COMPUTED_VALUE"""),418.85)</f>
        <v>418.85</v>
      </c>
      <c r="E877" s="1">
        <f>IFERROR(__xludf.DUMMYFUNCTION("""COMPUTED_VALUE"""),427.99)</f>
        <v>427.99</v>
      </c>
      <c r="F877" s="1">
        <f>IFERROR(__xludf.DUMMYFUNCTION("""COMPUTED_VALUE"""),2.3458889E7)</f>
        <v>23458889</v>
      </c>
    </row>
    <row r="878">
      <c r="A878" s="2">
        <f>IFERROR(__xludf.DUMMYFUNCTION("""COMPUTED_VALUE"""),45623.66666666667)</f>
        <v>45623.66667</v>
      </c>
      <c r="B878" s="1">
        <f>IFERROR(__xludf.DUMMYFUNCTION("""COMPUTED_VALUE"""),425.11)</f>
        <v>425.11</v>
      </c>
      <c r="C878" s="1">
        <f>IFERROR(__xludf.DUMMYFUNCTION("""COMPUTED_VALUE"""),427.23)</f>
        <v>427.23</v>
      </c>
      <c r="D878" s="1">
        <f>IFERROR(__xludf.DUMMYFUNCTION("""COMPUTED_VALUE"""),422.02)</f>
        <v>422.02</v>
      </c>
      <c r="E878" s="1">
        <f>IFERROR(__xludf.DUMMYFUNCTION("""COMPUTED_VALUE"""),422.99)</f>
        <v>422.99</v>
      </c>
      <c r="F878" s="1">
        <f>IFERROR(__xludf.DUMMYFUNCTION("""COMPUTED_VALUE"""),1.8332444E7)</f>
        <v>18332444</v>
      </c>
    </row>
    <row r="879">
      <c r="A879" s="2">
        <f>IFERROR(__xludf.DUMMYFUNCTION("""COMPUTED_VALUE"""),45625.54513888889)</f>
        <v>45625.54514</v>
      </c>
      <c r="B879" s="1">
        <f>IFERROR(__xludf.DUMMYFUNCTION("""COMPUTED_VALUE"""),420.09)</f>
        <v>420.09</v>
      </c>
      <c r="C879" s="1">
        <f>IFERROR(__xludf.DUMMYFUNCTION("""COMPUTED_VALUE"""),424.88)</f>
        <v>424.88</v>
      </c>
      <c r="D879" s="1">
        <f>IFERROR(__xludf.DUMMYFUNCTION("""COMPUTED_VALUE"""),417.8)</f>
        <v>417.8</v>
      </c>
      <c r="E879" s="1">
        <f>IFERROR(__xludf.DUMMYFUNCTION("""COMPUTED_VALUE"""),423.46)</f>
        <v>423.46</v>
      </c>
      <c r="F879" s="1">
        <f>IFERROR(__xludf.DUMMYFUNCTION("""COMPUTED_VALUE"""),1.6271921E7)</f>
        <v>16271921</v>
      </c>
    </row>
    <row r="880">
      <c r="A880" s="2">
        <f>IFERROR(__xludf.DUMMYFUNCTION("""COMPUTED_VALUE"""),45628.66666666667)</f>
        <v>45628.66667</v>
      </c>
      <c r="B880" s="1">
        <f>IFERROR(__xludf.DUMMYFUNCTION("""COMPUTED_VALUE"""),421.57)</f>
        <v>421.57</v>
      </c>
      <c r="C880" s="1">
        <f>IFERROR(__xludf.DUMMYFUNCTION("""COMPUTED_VALUE"""),433.0)</f>
        <v>433</v>
      </c>
      <c r="D880" s="1">
        <f>IFERROR(__xludf.DUMMYFUNCTION("""COMPUTED_VALUE"""),421.31)</f>
        <v>421.31</v>
      </c>
      <c r="E880" s="1">
        <f>IFERROR(__xludf.DUMMYFUNCTION("""COMPUTED_VALUE"""),430.98)</f>
        <v>430.98</v>
      </c>
      <c r="F880" s="1">
        <f>IFERROR(__xludf.DUMMYFUNCTION("""COMPUTED_VALUE"""),2.0207223E7)</f>
        <v>20207223</v>
      </c>
    </row>
    <row r="881">
      <c r="A881" s="2">
        <f>IFERROR(__xludf.DUMMYFUNCTION("""COMPUTED_VALUE"""),45629.66666666667)</f>
        <v>45629.66667</v>
      </c>
      <c r="B881" s="1">
        <f>IFERROR(__xludf.DUMMYFUNCTION("""COMPUTED_VALUE"""),429.84)</f>
        <v>429.84</v>
      </c>
      <c r="C881" s="1">
        <f>IFERROR(__xludf.DUMMYFUNCTION("""COMPUTED_VALUE"""),432.47)</f>
        <v>432.47</v>
      </c>
      <c r="D881" s="1">
        <f>IFERROR(__xludf.DUMMYFUNCTION("""COMPUTED_VALUE"""),427.74)</f>
        <v>427.74</v>
      </c>
      <c r="E881" s="1">
        <f>IFERROR(__xludf.DUMMYFUNCTION("""COMPUTED_VALUE"""),431.2)</f>
        <v>431.2</v>
      </c>
      <c r="F881" s="1">
        <f>IFERROR(__xludf.DUMMYFUNCTION("""COMPUTED_VALUE"""),1.8301987E7)</f>
        <v>18301987</v>
      </c>
    </row>
    <row r="882">
      <c r="A882" s="2">
        <f>IFERROR(__xludf.DUMMYFUNCTION("""COMPUTED_VALUE"""),45630.66666666667)</f>
        <v>45630.66667</v>
      </c>
      <c r="B882" s="1">
        <f>IFERROR(__xludf.DUMMYFUNCTION("""COMPUTED_VALUE"""),433.03)</f>
        <v>433.03</v>
      </c>
      <c r="C882" s="1">
        <f>IFERROR(__xludf.DUMMYFUNCTION("""COMPUTED_VALUE"""),439.67)</f>
        <v>439.67</v>
      </c>
      <c r="D882" s="1">
        <f>IFERROR(__xludf.DUMMYFUNCTION("""COMPUTED_VALUE"""),432.63)</f>
        <v>432.63</v>
      </c>
      <c r="E882" s="1">
        <f>IFERROR(__xludf.DUMMYFUNCTION("""COMPUTED_VALUE"""),437.42)</f>
        <v>437.42</v>
      </c>
      <c r="F882" s="1">
        <f>IFERROR(__xludf.DUMMYFUNCTION("""COMPUTED_VALUE"""),2.6009429E7)</f>
        <v>26009429</v>
      </c>
    </row>
    <row r="883">
      <c r="A883" s="2">
        <f>IFERROR(__xludf.DUMMYFUNCTION("""COMPUTED_VALUE"""),45631.66666666667)</f>
        <v>45631.66667</v>
      </c>
      <c r="B883" s="1">
        <f>IFERROR(__xludf.DUMMYFUNCTION("""COMPUTED_VALUE"""),437.92)</f>
        <v>437.92</v>
      </c>
      <c r="C883" s="1">
        <f>IFERROR(__xludf.DUMMYFUNCTION("""COMPUTED_VALUE"""),444.66)</f>
        <v>444.66</v>
      </c>
      <c r="D883" s="1">
        <f>IFERROR(__xludf.DUMMYFUNCTION("""COMPUTED_VALUE"""),436.17)</f>
        <v>436.17</v>
      </c>
      <c r="E883" s="1">
        <f>IFERROR(__xludf.DUMMYFUNCTION("""COMPUTED_VALUE"""),442.62)</f>
        <v>442.62</v>
      </c>
      <c r="F883" s="1">
        <f>IFERROR(__xludf.DUMMYFUNCTION("""COMPUTED_VALUE"""),2.1697775E7)</f>
        <v>21697775</v>
      </c>
    </row>
    <row r="884">
      <c r="A884" s="2">
        <f>IFERROR(__xludf.DUMMYFUNCTION("""COMPUTED_VALUE"""),45632.66666666667)</f>
        <v>45632.66667</v>
      </c>
      <c r="B884" s="1">
        <f>IFERROR(__xludf.DUMMYFUNCTION("""COMPUTED_VALUE"""),442.3)</f>
        <v>442.3</v>
      </c>
      <c r="C884" s="1">
        <f>IFERROR(__xludf.DUMMYFUNCTION("""COMPUTED_VALUE"""),446.1)</f>
        <v>446.1</v>
      </c>
      <c r="D884" s="1">
        <f>IFERROR(__xludf.DUMMYFUNCTION("""COMPUTED_VALUE"""),441.77)</f>
        <v>441.77</v>
      </c>
      <c r="E884" s="1">
        <f>IFERROR(__xludf.DUMMYFUNCTION("""COMPUTED_VALUE"""),443.57)</f>
        <v>443.57</v>
      </c>
      <c r="F884" s="1">
        <f>IFERROR(__xludf.DUMMYFUNCTION("""COMPUTED_VALUE"""),1.8821002E7)</f>
        <v>18821002</v>
      </c>
    </row>
    <row r="885">
      <c r="A885" s="2">
        <f>IFERROR(__xludf.DUMMYFUNCTION("""COMPUTED_VALUE"""),45635.66666666667)</f>
        <v>45635.66667</v>
      </c>
      <c r="B885" s="1">
        <f>IFERROR(__xludf.DUMMYFUNCTION("""COMPUTED_VALUE"""),442.6)</f>
        <v>442.6</v>
      </c>
      <c r="C885" s="1">
        <f>IFERROR(__xludf.DUMMYFUNCTION("""COMPUTED_VALUE"""),448.33)</f>
        <v>448.33</v>
      </c>
      <c r="D885" s="1">
        <f>IFERROR(__xludf.DUMMYFUNCTION("""COMPUTED_VALUE"""),440.5)</f>
        <v>440.5</v>
      </c>
      <c r="E885" s="1">
        <f>IFERROR(__xludf.DUMMYFUNCTION("""COMPUTED_VALUE"""),446.02)</f>
        <v>446.02</v>
      </c>
      <c r="F885" s="1">
        <f>IFERROR(__xludf.DUMMYFUNCTION("""COMPUTED_VALUE"""),1.9144388E7)</f>
        <v>19144388</v>
      </c>
    </row>
    <row r="886">
      <c r="A886" s="2">
        <f>IFERROR(__xludf.DUMMYFUNCTION("""COMPUTED_VALUE"""),45636.66666666667)</f>
        <v>45636.66667</v>
      </c>
      <c r="B886" s="1">
        <f>IFERROR(__xludf.DUMMYFUNCTION("""COMPUTED_VALUE"""),444.39)</f>
        <v>444.39</v>
      </c>
      <c r="C886" s="1">
        <f>IFERROR(__xludf.DUMMYFUNCTION("""COMPUTED_VALUE"""),449.62)</f>
        <v>449.62</v>
      </c>
      <c r="D886" s="1">
        <f>IFERROR(__xludf.DUMMYFUNCTION("""COMPUTED_VALUE"""),441.6)</f>
        <v>441.6</v>
      </c>
      <c r="E886" s="1">
        <f>IFERROR(__xludf.DUMMYFUNCTION("""COMPUTED_VALUE"""),443.33)</f>
        <v>443.33</v>
      </c>
      <c r="F886" s="1">
        <f>IFERROR(__xludf.DUMMYFUNCTION("""COMPUTED_VALUE"""),1.8469459E7)</f>
        <v>18469459</v>
      </c>
    </row>
    <row r="887">
      <c r="A887" s="2">
        <f>IFERROR(__xludf.DUMMYFUNCTION("""COMPUTED_VALUE"""),45637.66666666667)</f>
        <v>45637.66667</v>
      </c>
      <c r="B887" s="1">
        <f>IFERROR(__xludf.DUMMYFUNCTION("""COMPUTED_VALUE"""),444.05)</f>
        <v>444.05</v>
      </c>
      <c r="C887" s="1">
        <f>IFERROR(__xludf.DUMMYFUNCTION("""COMPUTED_VALUE"""),450.35)</f>
        <v>450.35</v>
      </c>
      <c r="D887" s="1">
        <f>IFERROR(__xludf.DUMMYFUNCTION("""COMPUTED_VALUE"""),444.05)</f>
        <v>444.05</v>
      </c>
      <c r="E887" s="1">
        <f>IFERROR(__xludf.DUMMYFUNCTION("""COMPUTED_VALUE"""),448.99)</f>
        <v>448.99</v>
      </c>
      <c r="F887" s="1">
        <f>IFERROR(__xludf.DUMMYFUNCTION("""COMPUTED_VALUE"""),1.9200208E7)</f>
        <v>19200208</v>
      </c>
    </row>
    <row r="888">
      <c r="A888" s="2">
        <f>IFERROR(__xludf.DUMMYFUNCTION("""COMPUTED_VALUE"""),45638.66666666667)</f>
        <v>45638.66667</v>
      </c>
      <c r="B888" s="1">
        <f>IFERROR(__xludf.DUMMYFUNCTION("""COMPUTED_VALUE"""),449.11)</f>
        <v>449.11</v>
      </c>
      <c r="C888" s="1">
        <f>IFERROR(__xludf.DUMMYFUNCTION("""COMPUTED_VALUE"""),456.16)</f>
        <v>456.16</v>
      </c>
      <c r="D888" s="1">
        <f>IFERROR(__xludf.DUMMYFUNCTION("""COMPUTED_VALUE"""),449.11)</f>
        <v>449.11</v>
      </c>
      <c r="E888" s="1">
        <f>IFERROR(__xludf.DUMMYFUNCTION("""COMPUTED_VALUE"""),449.56)</f>
        <v>449.56</v>
      </c>
      <c r="F888" s="1">
        <f>IFERROR(__xludf.DUMMYFUNCTION("""COMPUTED_VALUE"""),2.0834779E7)</f>
        <v>20834779</v>
      </c>
    </row>
    <row r="889">
      <c r="A889" s="2">
        <f>IFERROR(__xludf.DUMMYFUNCTION("""COMPUTED_VALUE"""),45639.66666666667)</f>
        <v>45639.66667</v>
      </c>
      <c r="B889" s="1">
        <f>IFERROR(__xludf.DUMMYFUNCTION("""COMPUTED_VALUE"""),448.44)</f>
        <v>448.44</v>
      </c>
      <c r="C889" s="1">
        <f>IFERROR(__xludf.DUMMYFUNCTION("""COMPUTED_VALUE"""),451.43)</f>
        <v>451.43</v>
      </c>
      <c r="D889" s="1">
        <f>IFERROR(__xludf.DUMMYFUNCTION("""COMPUTED_VALUE"""),445.58)</f>
        <v>445.58</v>
      </c>
      <c r="E889" s="1">
        <f>IFERROR(__xludf.DUMMYFUNCTION("""COMPUTED_VALUE"""),447.27)</f>
        <v>447.27</v>
      </c>
      <c r="F889" s="1">
        <f>IFERROR(__xludf.DUMMYFUNCTION("""COMPUTED_VALUE"""),2.0177833E7)</f>
        <v>20177833</v>
      </c>
    </row>
    <row r="890">
      <c r="A890" s="2">
        <f>IFERROR(__xludf.DUMMYFUNCTION("""COMPUTED_VALUE"""),45642.66666666667)</f>
        <v>45642.66667</v>
      </c>
      <c r="B890" s="1">
        <f>IFERROR(__xludf.DUMMYFUNCTION("""COMPUTED_VALUE"""),447.27)</f>
        <v>447.27</v>
      </c>
      <c r="C890" s="1">
        <f>IFERROR(__xludf.DUMMYFUNCTION("""COMPUTED_VALUE"""),452.18)</f>
        <v>452.18</v>
      </c>
      <c r="D890" s="1">
        <f>IFERROR(__xludf.DUMMYFUNCTION("""COMPUTED_VALUE"""),445.28)</f>
        <v>445.28</v>
      </c>
      <c r="E890" s="1">
        <f>IFERROR(__xludf.DUMMYFUNCTION("""COMPUTED_VALUE"""),451.59)</f>
        <v>451.59</v>
      </c>
      <c r="F890" s="1">
        <f>IFERROR(__xludf.DUMMYFUNCTION("""COMPUTED_VALUE"""),2.3598834E7)</f>
        <v>23598834</v>
      </c>
    </row>
    <row r="891">
      <c r="A891" s="2">
        <f>IFERROR(__xludf.DUMMYFUNCTION("""COMPUTED_VALUE"""),45643.66666666667)</f>
        <v>45643.66667</v>
      </c>
      <c r="B891" s="1">
        <f>IFERROR(__xludf.DUMMYFUNCTION("""COMPUTED_VALUE"""),451.01)</f>
        <v>451.01</v>
      </c>
      <c r="C891" s="1">
        <f>IFERROR(__xludf.DUMMYFUNCTION("""COMPUTED_VALUE"""),455.29)</f>
        <v>455.29</v>
      </c>
      <c r="D891" s="1">
        <f>IFERROR(__xludf.DUMMYFUNCTION("""COMPUTED_VALUE"""),449.57)</f>
        <v>449.57</v>
      </c>
      <c r="E891" s="1">
        <f>IFERROR(__xludf.DUMMYFUNCTION("""COMPUTED_VALUE"""),454.46)</f>
        <v>454.46</v>
      </c>
      <c r="F891" s="1">
        <f>IFERROR(__xludf.DUMMYFUNCTION("""COMPUTED_VALUE"""),2.2733494E7)</f>
        <v>22733494</v>
      </c>
    </row>
    <row r="892">
      <c r="A892" s="2">
        <f>IFERROR(__xludf.DUMMYFUNCTION("""COMPUTED_VALUE"""),45644.66666666667)</f>
        <v>45644.66667</v>
      </c>
      <c r="B892" s="1">
        <f>IFERROR(__xludf.DUMMYFUNCTION("""COMPUTED_VALUE"""),451.32)</f>
        <v>451.32</v>
      </c>
      <c r="C892" s="1">
        <f>IFERROR(__xludf.DUMMYFUNCTION("""COMPUTED_VALUE"""),452.65)</f>
        <v>452.65</v>
      </c>
      <c r="D892" s="1">
        <f>IFERROR(__xludf.DUMMYFUNCTION("""COMPUTED_VALUE"""),437.02)</f>
        <v>437.02</v>
      </c>
      <c r="E892" s="1">
        <f>IFERROR(__xludf.DUMMYFUNCTION("""COMPUTED_VALUE"""),437.39)</f>
        <v>437.39</v>
      </c>
      <c r="F892" s="1">
        <f>IFERROR(__xludf.DUMMYFUNCTION("""COMPUTED_VALUE"""),2.4444545E7)</f>
        <v>24444545</v>
      </c>
    </row>
    <row r="893">
      <c r="A893" s="2">
        <f>IFERROR(__xludf.DUMMYFUNCTION("""COMPUTED_VALUE"""),45645.66666666667)</f>
        <v>45645.66667</v>
      </c>
      <c r="B893" s="1">
        <f>IFERROR(__xludf.DUMMYFUNCTION("""COMPUTED_VALUE"""),441.62)</f>
        <v>441.62</v>
      </c>
      <c r="C893" s="1">
        <f>IFERROR(__xludf.DUMMYFUNCTION("""COMPUTED_VALUE"""),443.18)</f>
        <v>443.18</v>
      </c>
      <c r="D893" s="1">
        <f>IFERROR(__xludf.DUMMYFUNCTION("""COMPUTED_VALUE"""),436.32)</f>
        <v>436.32</v>
      </c>
      <c r="E893" s="1">
        <f>IFERROR(__xludf.DUMMYFUNCTION("""COMPUTED_VALUE"""),437.03)</f>
        <v>437.03</v>
      </c>
      <c r="F893" s="1">
        <f>IFERROR(__xludf.DUMMYFUNCTION("""COMPUTED_VALUE"""),2.2963681E7)</f>
        <v>22963681</v>
      </c>
    </row>
    <row r="894">
      <c r="A894" s="2">
        <f>IFERROR(__xludf.DUMMYFUNCTION("""COMPUTED_VALUE"""),45646.66666666667)</f>
        <v>45646.66667</v>
      </c>
      <c r="B894" s="1">
        <f>IFERROR(__xludf.DUMMYFUNCTION("""COMPUTED_VALUE"""),433.11)</f>
        <v>433.11</v>
      </c>
      <c r="C894" s="1">
        <f>IFERROR(__xludf.DUMMYFUNCTION("""COMPUTED_VALUE"""),443.74)</f>
        <v>443.74</v>
      </c>
      <c r="D894" s="1">
        <f>IFERROR(__xludf.DUMMYFUNCTION("""COMPUTED_VALUE"""),428.63)</f>
        <v>428.63</v>
      </c>
      <c r="E894" s="1">
        <f>IFERROR(__xludf.DUMMYFUNCTION("""COMPUTED_VALUE"""),436.6)</f>
        <v>436.6</v>
      </c>
      <c r="F894" s="1">
        <f>IFERROR(__xludf.DUMMYFUNCTION("""COMPUTED_VALUE"""),6.4263694E7)</f>
        <v>64263694</v>
      </c>
    </row>
    <row r="895">
      <c r="A895" s="2">
        <f>IFERROR(__xludf.DUMMYFUNCTION("""COMPUTED_VALUE"""),45649.66666666667)</f>
        <v>45649.66667</v>
      </c>
      <c r="B895" s="1">
        <f>IFERROR(__xludf.DUMMYFUNCTION("""COMPUTED_VALUE"""),436.74)</f>
        <v>436.74</v>
      </c>
      <c r="C895" s="1">
        <f>IFERROR(__xludf.DUMMYFUNCTION("""COMPUTED_VALUE"""),437.65)</f>
        <v>437.65</v>
      </c>
      <c r="D895" s="1">
        <f>IFERROR(__xludf.DUMMYFUNCTION("""COMPUTED_VALUE"""),432.83)</f>
        <v>432.83</v>
      </c>
      <c r="E895" s="1">
        <f>IFERROR(__xludf.DUMMYFUNCTION("""COMPUTED_VALUE"""),435.25)</f>
        <v>435.25</v>
      </c>
      <c r="F895" s="1">
        <f>IFERROR(__xludf.DUMMYFUNCTION("""COMPUTED_VALUE"""),1.9152519E7)</f>
        <v>19152519</v>
      </c>
    </row>
    <row r="896">
      <c r="A896" s="2">
        <f>IFERROR(__xludf.DUMMYFUNCTION("""COMPUTED_VALUE"""),45650.54513888889)</f>
        <v>45650.54514</v>
      </c>
      <c r="B896" s="1">
        <f>IFERROR(__xludf.DUMMYFUNCTION("""COMPUTED_VALUE"""),434.65)</f>
        <v>434.65</v>
      </c>
      <c r="C896" s="1">
        <f>IFERROR(__xludf.DUMMYFUNCTION("""COMPUTED_VALUE"""),439.6)</f>
        <v>439.6</v>
      </c>
      <c r="D896" s="1">
        <f>IFERROR(__xludf.DUMMYFUNCTION("""COMPUTED_VALUE"""),434.19)</f>
        <v>434.19</v>
      </c>
      <c r="E896" s="1">
        <f>IFERROR(__xludf.DUMMYFUNCTION("""COMPUTED_VALUE"""),439.33)</f>
        <v>439.33</v>
      </c>
      <c r="F896" s="1">
        <f>IFERROR(__xludf.DUMMYFUNCTION("""COMPUTED_VALUE"""),7164543.0)</f>
        <v>7164543</v>
      </c>
    </row>
    <row r="897">
      <c r="A897" s="2">
        <f>IFERROR(__xludf.DUMMYFUNCTION("""COMPUTED_VALUE"""),45652.66666666667)</f>
        <v>45652.66667</v>
      </c>
      <c r="B897" s="1">
        <f>IFERROR(__xludf.DUMMYFUNCTION("""COMPUTED_VALUE"""),439.08)</f>
        <v>439.08</v>
      </c>
      <c r="C897" s="1">
        <f>IFERROR(__xludf.DUMMYFUNCTION("""COMPUTED_VALUE"""),440.94)</f>
        <v>440.94</v>
      </c>
      <c r="D897" s="1">
        <f>IFERROR(__xludf.DUMMYFUNCTION("""COMPUTED_VALUE"""),436.63)</f>
        <v>436.63</v>
      </c>
      <c r="E897" s="1">
        <f>IFERROR(__xludf.DUMMYFUNCTION("""COMPUTED_VALUE"""),438.11)</f>
        <v>438.11</v>
      </c>
      <c r="F897" s="1">
        <f>IFERROR(__xludf.DUMMYFUNCTION("""COMPUTED_VALUE"""),8199927.0)</f>
        <v>8199927</v>
      </c>
    </row>
    <row r="898">
      <c r="A898" s="2">
        <f>IFERROR(__xludf.DUMMYFUNCTION("""COMPUTED_VALUE"""),45653.66666666667)</f>
        <v>45653.66667</v>
      </c>
      <c r="B898" s="1">
        <f>IFERROR(__xludf.DUMMYFUNCTION("""COMPUTED_VALUE"""),434.6)</f>
        <v>434.6</v>
      </c>
      <c r="C898" s="1">
        <f>IFERROR(__xludf.DUMMYFUNCTION("""COMPUTED_VALUE"""),435.22)</f>
        <v>435.22</v>
      </c>
      <c r="D898" s="1">
        <f>IFERROR(__xludf.DUMMYFUNCTION("""COMPUTED_VALUE"""),426.35)</f>
        <v>426.35</v>
      </c>
      <c r="E898" s="1">
        <f>IFERROR(__xludf.DUMMYFUNCTION("""COMPUTED_VALUE"""),430.53)</f>
        <v>430.53</v>
      </c>
      <c r="F898" s="1">
        <f>IFERROR(__xludf.DUMMYFUNCTION("""COMPUTED_VALUE"""),1.8117713E7)</f>
        <v>18117713</v>
      </c>
    </row>
    <row r="899">
      <c r="A899" s="2">
        <f>IFERROR(__xludf.DUMMYFUNCTION("""COMPUTED_VALUE"""),45656.66666666667)</f>
        <v>45656.66667</v>
      </c>
      <c r="B899" s="1">
        <f>IFERROR(__xludf.DUMMYFUNCTION("""COMPUTED_VALUE"""),426.06)</f>
        <v>426.06</v>
      </c>
      <c r="C899" s="1">
        <f>IFERROR(__xludf.DUMMYFUNCTION("""COMPUTED_VALUE"""),427.55)</f>
        <v>427.55</v>
      </c>
      <c r="D899" s="1">
        <f>IFERROR(__xludf.DUMMYFUNCTION("""COMPUTED_VALUE"""),421.9)</f>
        <v>421.9</v>
      </c>
      <c r="E899" s="1">
        <f>IFERROR(__xludf.DUMMYFUNCTION("""COMPUTED_VALUE"""),424.83)</f>
        <v>424.83</v>
      </c>
      <c r="F899" s="1">
        <f>IFERROR(__xludf.DUMMYFUNCTION("""COMPUTED_VALUE"""),1.3158703E7)</f>
        <v>13158703</v>
      </c>
    </row>
    <row r="900">
      <c r="A900" s="2">
        <f>IFERROR(__xludf.DUMMYFUNCTION("""COMPUTED_VALUE"""),45657.66666666667)</f>
        <v>45657.66667</v>
      </c>
      <c r="B900" s="1">
        <f>IFERROR(__xludf.DUMMYFUNCTION("""COMPUTED_VALUE"""),426.1)</f>
        <v>426.1</v>
      </c>
      <c r="C900" s="1">
        <f>IFERROR(__xludf.DUMMYFUNCTION("""COMPUTED_VALUE"""),426.73)</f>
        <v>426.73</v>
      </c>
      <c r="D900" s="1">
        <f>IFERROR(__xludf.DUMMYFUNCTION("""COMPUTED_VALUE"""),420.66)</f>
        <v>420.66</v>
      </c>
      <c r="E900" s="1">
        <f>IFERROR(__xludf.DUMMYFUNCTION("""COMPUTED_VALUE"""),421.5)</f>
        <v>421.5</v>
      </c>
      <c r="F900" s="1">
        <f>IFERROR(__xludf.DUMMYFUNCTION("""COMPUTED_VALUE"""),1.3246509E7)</f>
        <v>13246509</v>
      </c>
    </row>
    <row r="901">
      <c r="A901" s="2">
        <f>IFERROR(__xludf.DUMMYFUNCTION("""COMPUTED_VALUE"""),45659.66666666667)</f>
        <v>45659.66667</v>
      </c>
      <c r="B901" s="1">
        <f>IFERROR(__xludf.DUMMYFUNCTION("""COMPUTED_VALUE"""),425.53)</f>
        <v>425.53</v>
      </c>
      <c r="C901" s="1">
        <f>IFERROR(__xludf.DUMMYFUNCTION("""COMPUTED_VALUE"""),426.07)</f>
        <v>426.07</v>
      </c>
      <c r="D901" s="1">
        <f>IFERROR(__xludf.DUMMYFUNCTION("""COMPUTED_VALUE"""),414.85)</f>
        <v>414.85</v>
      </c>
      <c r="E901" s="1">
        <f>IFERROR(__xludf.DUMMYFUNCTION("""COMPUTED_VALUE"""),418.58)</f>
        <v>418.58</v>
      </c>
      <c r="F901" s="1">
        <f>IFERROR(__xludf.DUMMYFUNCTION("""COMPUTED_VALUE"""),1.6896469E7)</f>
        <v>16896469</v>
      </c>
    </row>
    <row r="902">
      <c r="A902" s="2">
        <f>IFERROR(__xludf.DUMMYFUNCTION("""COMPUTED_VALUE"""),45660.66666666667)</f>
        <v>45660.66667</v>
      </c>
      <c r="B902" s="1">
        <f>IFERROR(__xludf.DUMMYFUNCTION("""COMPUTED_VALUE"""),421.08)</f>
        <v>421.08</v>
      </c>
      <c r="C902" s="1">
        <f>IFERROR(__xludf.DUMMYFUNCTION("""COMPUTED_VALUE"""),424.03)</f>
        <v>424.03</v>
      </c>
      <c r="D902" s="1">
        <f>IFERROR(__xludf.DUMMYFUNCTION("""COMPUTED_VALUE"""),419.54)</f>
        <v>419.54</v>
      </c>
      <c r="E902" s="1">
        <f>IFERROR(__xludf.DUMMYFUNCTION("""COMPUTED_VALUE"""),423.35)</f>
        <v>423.35</v>
      </c>
      <c r="F902" s="1">
        <f>IFERROR(__xludf.DUMMYFUNCTION("""COMPUTED_VALUE"""),1.6662943E7)</f>
        <v>16662943</v>
      </c>
    </row>
    <row r="903">
      <c r="A903" s="2">
        <f>IFERROR(__xludf.DUMMYFUNCTION("""COMPUTED_VALUE"""),45663.66666666667)</f>
        <v>45663.66667</v>
      </c>
      <c r="B903" s="1">
        <f>IFERROR(__xludf.DUMMYFUNCTION("""COMPUTED_VALUE"""),428.0)</f>
        <v>428</v>
      </c>
      <c r="C903" s="1">
        <f>IFERROR(__xludf.DUMMYFUNCTION("""COMPUTED_VALUE"""),434.32)</f>
        <v>434.32</v>
      </c>
      <c r="D903" s="1">
        <f>IFERROR(__xludf.DUMMYFUNCTION("""COMPUTED_VALUE"""),425.48)</f>
        <v>425.48</v>
      </c>
      <c r="E903" s="1">
        <f>IFERROR(__xludf.DUMMYFUNCTION("""COMPUTED_VALUE"""),427.85)</f>
        <v>427.85</v>
      </c>
      <c r="F903" s="1">
        <f>IFERROR(__xludf.DUMMYFUNCTION("""COMPUTED_VALUE"""),2.0573648E7)</f>
        <v>20573648</v>
      </c>
    </row>
    <row r="904">
      <c r="A904" s="2">
        <f>IFERROR(__xludf.DUMMYFUNCTION("""COMPUTED_VALUE"""),45664.66666666667)</f>
        <v>45664.66667</v>
      </c>
      <c r="B904" s="1">
        <f>IFERROR(__xludf.DUMMYFUNCTION("""COMPUTED_VALUE"""),429.0)</f>
        <v>429</v>
      </c>
      <c r="C904" s="1">
        <f>IFERROR(__xludf.DUMMYFUNCTION("""COMPUTED_VALUE"""),430.65)</f>
        <v>430.65</v>
      </c>
      <c r="D904" s="1">
        <f>IFERROR(__xludf.DUMMYFUNCTION("""COMPUTED_VALUE"""),420.8)</f>
        <v>420.8</v>
      </c>
      <c r="E904" s="1">
        <f>IFERROR(__xludf.DUMMYFUNCTION("""COMPUTED_VALUE"""),422.37)</f>
        <v>422.37</v>
      </c>
      <c r="F904" s="1">
        <f>IFERROR(__xludf.DUMMYFUNCTION("""COMPUTED_VALUE"""),1.8139065E7)</f>
        <v>18139065</v>
      </c>
    </row>
    <row r="905">
      <c r="A905" s="2">
        <f>IFERROR(__xludf.DUMMYFUNCTION("""COMPUTED_VALUE"""),45665.66666666667)</f>
        <v>45665.66667</v>
      </c>
      <c r="B905" s="1">
        <f>IFERROR(__xludf.DUMMYFUNCTION("""COMPUTED_VALUE"""),423.46)</f>
        <v>423.46</v>
      </c>
      <c r="C905" s="1">
        <f>IFERROR(__xludf.DUMMYFUNCTION("""COMPUTED_VALUE"""),426.97)</f>
        <v>426.97</v>
      </c>
      <c r="D905" s="1">
        <f>IFERROR(__xludf.DUMMYFUNCTION("""COMPUTED_VALUE"""),421.54)</f>
        <v>421.54</v>
      </c>
      <c r="E905" s="1">
        <f>IFERROR(__xludf.DUMMYFUNCTION("""COMPUTED_VALUE"""),424.56)</f>
        <v>424.56</v>
      </c>
      <c r="F905" s="1">
        <f>IFERROR(__xludf.DUMMYFUNCTION("""COMPUTED_VALUE"""),1.5054575E7)</f>
        <v>15054575</v>
      </c>
    </row>
    <row r="906">
      <c r="A906" s="2">
        <f>IFERROR(__xludf.DUMMYFUNCTION("""COMPUTED_VALUE"""),45667.66666666667)</f>
        <v>45667.66667</v>
      </c>
      <c r="B906" s="1">
        <f>IFERROR(__xludf.DUMMYFUNCTION("""COMPUTED_VALUE"""),424.63)</f>
        <v>424.63</v>
      </c>
      <c r="C906" s="1">
        <f>IFERROR(__xludf.DUMMYFUNCTION("""COMPUTED_VALUE"""),424.71)</f>
        <v>424.71</v>
      </c>
      <c r="D906" s="1">
        <f>IFERROR(__xludf.DUMMYFUNCTION("""COMPUTED_VALUE"""),415.02)</f>
        <v>415.02</v>
      </c>
      <c r="E906" s="1">
        <f>IFERROR(__xludf.DUMMYFUNCTION("""COMPUTED_VALUE"""),418.95)</f>
        <v>418.95</v>
      </c>
      <c r="F906" s="1">
        <f>IFERROR(__xludf.DUMMYFUNCTION("""COMPUTED_VALUE"""),2.0201132E7)</f>
        <v>20201132</v>
      </c>
    </row>
    <row r="907">
      <c r="A907" s="2">
        <f>IFERROR(__xludf.DUMMYFUNCTION("""COMPUTED_VALUE"""),45670.66666666667)</f>
        <v>45670.66667</v>
      </c>
      <c r="B907" s="1">
        <f>IFERROR(__xludf.DUMMYFUNCTION("""COMPUTED_VALUE"""),415.24)</f>
        <v>415.24</v>
      </c>
      <c r="C907" s="1">
        <f>IFERROR(__xludf.DUMMYFUNCTION("""COMPUTED_VALUE"""),418.5)</f>
        <v>418.5</v>
      </c>
      <c r="D907" s="1">
        <f>IFERROR(__xludf.DUMMYFUNCTION("""COMPUTED_VALUE"""),412.29)</f>
        <v>412.29</v>
      </c>
      <c r="E907" s="1">
        <f>IFERROR(__xludf.DUMMYFUNCTION("""COMPUTED_VALUE"""),417.19)</f>
        <v>417.19</v>
      </c>
      <c r="F907" s="1">
        <f>IFERROR(__xludf.DUMMYFUNCTION("""COMPUTED_VALUE"""),1.760478E7)</f>
        <v>17604780</v>
      </c>
    </row>
    <row r="908">
      <c r="A908" s="2">
        <f>IFERROR(__xludf.DUMMYFUNCTION("""COMPUTED_VALUE"""),45671.66666666667)</f>
        <v>45671.66667</v>
      </c>
      <c r="B908" s="1">
        <f>IFERROR(__xludf.DUMMYFUNCTION("""COMPUTED_VALUE"""),417.81)</f>
        <v>417.81</v>
      </c>
      <c r="C908" s="1">
        <f>IFERROR(__xludf.DUMMYFUNCTION("""COMPUTED_VALUE"""),419.74)</f>
        <v>419.74</v>
      </c>
      <c r="D908" s="1">
        <f>IFERROR(__xludf.DUMMYFUNCTION("""COMPUTED_VALUE"""),410.72)</f>
        <v>410.72</v>
      </c>
      <c r="E908" s="1">
        <f>IFERROR(__xludf.DUMMYFUNCTION("""COMPUTED_VALUE"""),415.67)</f>
        <v>415.67</v>
      </c>
      <c r="F908" s="1">
        <f>IFERROR(__xludf.DUMMYFUNCTION("""COMPUTED_VALUE"""),1.6935856E7)</f>
        <v>16935856</v>
      </c>
    </row>
    <row r="909">
      <c r="A909" s="2">
        <f>IFERROR(__xludf.DUMMYFUNCTION("""COMPUTED_VALUE"""),45672.66666666667)</f>
        <v>45672.66667</v>
      </c>
      <c r="B909" s="1">
        <f>IFERROR(__xludf.DUMMYFUNCTION("""COMPUTED_VALUE"""),419.13)</f>
        <v>419.13</v>
      </c>
      <c r="C909" s="1">
        <f>IFERROR(__xludf.DUMMYFUNCTION("""COMPUTED_VALUE"""),428.15)</f>
        <v>428.15</v>
      </c>
      <c r="D909" s="1">
        <f>IFERROR(__xludf.DUMMYFUNCTION("""COMPUTED_VALUE"""),418.27)</f>
        <v>418.27</v>
      </c>
      <c r="E909" s="1">
        <f>IFERROR(__xludf.DUMMYFUNCTION("""COMPUTED_VALUE"""),426.31)</f>
        <v>426.31</v>
      </c>
      <c r="F909" s="1">
        <f>IFERROR(__xludf.DUMMYFUNCTION("""COMPUTED_VALUE"""),1.9637838E7)</f>
        <v>19637838</v>
      </c>
    </row>
    <row r="910">
      <c r="A910" s="2">
        <f>IFERROR(__xludf.DUMMYFUNCTION("""COMPUTED_VALUE"""),45673.66666666667)</f>
        <v>45673.66667</v>
      </c>
      <c r="B910" s="1">
        <f>IFERROR(__xludf.DUMMYFUNCTION("""COMPUTED_VALUE"""),428.7)</f>
        <v>428.7</v>
      </c>
      <c r="C910" s="1">
        <f>IFERROR(__xludf.DUMMYFUNCTION("""COMPUTED_VALUE"""),429.49)</f>
        <v>429.49</v>
      </c>
      <c r="D910" s="1">
        <f>IFERROR(__xludf.DUMMYFUNCTION("""COMPUTED_VALUE"""),424.39)</f>
        <v>424.39</v>
      </c>
      <c r="E910" s="1">
        <f>IFERROR(__xludf.DUMMYFUNCTION("""COMPUTED_VALUE"""),424.58)</f>
        <v>424.58</v>
      </c>
      <c r="F910" s="1">
        <f>IFERROR(__xludf.DUMMYFUNCTION("""COMPUTED_VALUE"""),1.5300023E7)</f>
        <v>15300023</v>
      </c>
    </row>
    <row r="911">
      <c r="A911" s="2">
        <f>IFERROR(__xludf.DUMMYFUNCTION("""COMPUTED_VALUE"""),45674.66666666667)</f>
        <v>45674.66667</v>
      </c>
      <c r="B911" s="1">
        <f>IFERROR(__xludf.DUMMYFUNCTION("""COMPUTED_VALUE"""),434.09)</f>
        <v>434.09</v>
      </c>
      <c r="C911" s="1">
        <f>IFERROR(__xludf.DUMMYFUNCTION("""COMPUTED_VALUE"""),434.48)</f>
        <v>434.48</v>
      </c>
      <c r="D911" s="1">
        <f>IFERROR(__xludf.DUMMYFUNCTION("""COMPUTED_VALUE"""),428.17)</f>
        <v>428.17</v>
      </c>
      <c r="E911" s="1">
        <f>IFERROR(__xludf.DUMMYFUNCTION("""COMPUTED_VALUE"""),429.03)</f>
        <v>429.03</v>
      </c>
      <c r="F911" s="1">
        <f>IFERROR(__xludf.DUMMYFUNCTION("""COMPUTED_VALUE"""),2.6197507E7)</f>
        <v>26197507</v>
      </c>
    </row>
    <row r="912">
      <c r="A912" s="2">
        <f>IFERROR(__xludf.DUMMYFUNCTION("""COMPUTED_VALUE"""),45678.66666666667)</f>
        <v>45678.66667</v>
      </c>
      <c r="B912" s="1">
        <f>IFERROR(__xludf.DUMMYFUNCTION("""COMPUTED_VALUE"""),430.2)</f>
        <v>430.2</v>
      </c>
      <c r="C912" s="1">
        <f>IFERROR(__xludf.DUMMYFUNCTION("""COMPUTED_VALUE"""),430.9)</f>
        <v>430.9</v>
      </c>
      <c r="D912" s="1">
        <f>IFERROR(__xludf.DUMMYFUNCTION("""COMPUTED_VALUE"""),425.6)</f>
        <v>425.6</v>
      </c>
      <c r="E912" s="1">
        <f>IFERROR(__xludf.DUMMYFUNCTION("""COMPUTED_VALUE"""),428.5)</f>
        <v>428.5</v>
      </c>
      <c r="F912" s="1">
        <f>IFERROR(__xludf.DUMMYFUNCTION("""COMPUTED_VALUE"""),2.6085703E7)</f>
        <v>26085703</v>
      </c>
    </row>
    <row r="913">
      <c r="A913" s="2">
        <f>IFERROR(__xludf.DUMMYFUNCTION("""COMPUTED_VALUE"""),45679.66666666667)</f>
        <v>45679.66667</v>
      </c>
      <c r="B913" s="1">
        <f>IFERROR(__xludf.DUMMYFUNCTION("""COMPUTED_VALUE"""),437.56)</f>
        <v>437.56</v>
      </c>
      <c r="C913" s="1">
        <f>IFERROR(__xludf.DUMMYFUNCTION("""COMPUTED_VALUE"""),447.27)</f>
        <v>447.27</v>
      </c>
      <c r="D913" s="1">
        <f>IFERROR(__xludf.DUMMYFUNCTION("""COMPUTED_VALUE"""),436.0)</f>
        <v>436</v>
      </c>
      <c r="E913" s="1">
        <f>IFERROR(__xludf.DUMMYFUNCTION("""COMPUTED_VALUE"""),446.2)</f>
        <v>446.2</v>
      </c>
      <c r="F913" s="1">
        <f>IFERROR(__xludf.DUMMYFUNCTION("""COMPUTED_VALUE"""),2.7803811E7)</f>
        <v>27803811</v>
      </c>
    </row>
    <row r="914">
      <c r="A914" s="2">
        <f>IFERROR(__xludf.DUMMYFUNCTION("""COMPUTED_VALUE"""),45680.66666666667)</f>
        <v>45680.66667</v>
      </c>
      <c r="B914" s="1">
        <f>IFERROR(__xludf.DUMMYFUNCTION("""COMPUTED_VALUE"""),442.0)</f>
        <v>442</v>
      </c>
      <c r="C914" s="1">
        <f>IFERROR(__xludf.DUMMYFUNCTION("""COMPUTED_VALUE"""),446.75)</f>
        <v>446.75</v>
      </c>
      <c r="D914" s="1">
        <f>IFERROR(__xludf.DUMMYFUNCTION("""COMPUTED_VALUE"""),441.5)</f>
        <v>441.5</v>
      </c>
      <c r="E914" s="1">
        <f>IFERROR(__xludf.DUMMYFUNCTION("""COMPUTED_VALUE"""),446.71)</f>
        <v>446.71</v>
      </c>
      <c r="F914" s="1">
        <f>IFERROR(__xludf.DUMMYFUNCTION("""COMPUTED_VALUE"""),1.838927E7)</f>
        <v>18389270</v>
      </c>
    </row>
    <row r="915">
      <c r="A915" s="2">
        <f>IFERROR(__xludf.DUMMYFUNCTION("""COMPUTED_VALUE"""),45681.66666666667)</f>
        <v>45681.66667</v>
      </c>
      <c r="B915" s="1">
        <f>IFERROR(__xludf.DUMMYFUNCTION("""COMPUTED_VALUE"""),445.16)</f>
        <v>445.16</v>
      </c>
      <c r="C915" s="1">
        <f>IFERROR(__xludf.DUMMYFUNCTION("""COMPUTED_VALUE"""),446.65)</f>
        <v>446.65</v>
      </c>
      <c r="D915" s="1">
        <f>IFERROR(__xludf.DUMMYFUNCTION("""COMPUTED_VALUE"""),441.4)</f>
        <v>441.4</v>
      </c>
      <c r="E915" s="1">
        <f>IFERROR(__xludf.DUMMYFUNCTION("""COMPUTED_VALUE"""),444.06)</f>
        <v>444.06</v>
      </c>
      <c r="F915" s="1">
        <f>IFERROR(__xludf.DUMMYFUNCTION("""COMPUTED_VALUE"""),1.5549453E7)</f>
        <v>15549453</v>
      </c>
    </row>
    <row r="916">
      <c r="A916" s="2">
        <f>IFERROR(__xludf.DUMMYFUNCTION("""COMPUTED_VALUE"""),45684.66666666667)</f>
        <v>45684.66667</v>
      </c>
      <c r="B916" s="1">
        <f>IFERROR(__xludf.DUMMYFUNCTION("""COMPUTED_VALUE"""),424.01)</f>
        <v>424.01</v>
      </c>
      <c r="C916" s="1">
        <f>IFERROR(__xludf.DUMMYFUNCTION("""COMPUTED_VALUE"""),435.2)</f>
        <v>435.2</v>
      </c>
      <c r="D916" s="1">
        <f>IFERROR(__xludf.DUMMYFUNCTION("""COMPUTED_VALUE"""),423.5)</f>
        <v>423.5</v>
      </c>
      <c r="E916" s="1">
        <f>IFERROR(__xludf.DUMMYFUNCTION("""COMPUTED_VALUE"""),434.56)</f>
        <v>434.56</v>
      </c>
      <c r="F916" s="1">
        <f>IFERROR(__xludf.DUMMYFUNCTION("""COMPUTED_VALUE"""),3.5647805E7)</f>
        <v>35647805</v>
      </c>
    </row>
    <row r="917">
      <c r="A917" s="2">
        <f>IFERROR(__xludf.DUMMYFUNCTION("""COMPUTED_VALUE"""),45685.66666666667)</f>
        <v>45685.66667</v>
      </c>
      <c r="B917" s="1">
        <f>IFERROR(__xludf.DUMMYFUNCTION("""COMPUTED_VALUE"""),434.6)</f>
        <v>434.6</v>
      </c>
      <c r="C917" s="1">
        <f>IFERROR(__xludf.DUMMYFUNCTION("""COMPUTED_VALUE"""),448.38)</f>
        <v>448.38</v>
      </c>
      <c r="D917" s="1">
        <f>IFERROR(__xludf.DUMMYFUNCTION("""COMPUTED_VALUE"""),431.38)</f>
        <v>431.38</v>
      </c>
      <c r="E917" s="1">
        <f>IFERROR(__xludf.DUMMYFUNCTION("""COMPUTED_VALUE"""),447.2)</f>
        <v>447.2</v>
      </c>
      <c r="F917" s="1">
        <f>IFERROR(__xludf.DUMMYFUNCTION("""COMPUTED_VALUE"""),2.3491703E7)</f>
        <v>23491703</v>
      </c>
    </row>
    <row r="918">
      <c r="A918" s="2">
        <f>IFERROR(__xludf.DUMMYFUNCTION("""COMPUTED_VALUE"""),45686.66666666667)</f>
        <v>45686.66667</v>
      </c>
      <c r="B918" s="1">
        <f>IFERROR(__xludf.DUMMYFUNCTION("""COMPUTED_VALUE"""),446.69)</f>
        <v>446.69</v>
      </c>
      <c r="C918" s="1">
        <f>IFERROR(__xludf.DUMMYFUNCTION("""COMPUTED_VALUE"""),446.88)</f>
        <v>446.88</v>
      </c>
      <c r="D918" s="1">
        <f>IFERROR(__xludf.DUMMYFUNCTION("""COMPUTED_VALUE"""),440.4)</f>
        <v>440.4</v>
      </c>
      <c r="E918" s="1">
        <f>IFERROR(__xludf.DUMMYFUNCTION("""COMPUTED_VALUE"""),442.33)</f>
        <v>442.33</v>
      </c>
      <c r="F918" s="1">
        <f>IFERROR(__xludf.DUMMYFUNCTION("""COMPUTED_VALUE"""),2.358137E7)</f>
        <v>23581370</v>
      </c>
    </row>
    <row r="919">
      <c r="A919" s="2">
        <f>IFERROR(__xludf.DUMMYFUNCTION("""COMPUTED_VALUE"""),45687.66666666667)</f>
        <v>45687.66667</v>
      </c>
      <c r="B919" s="1">
        <f>IFERROR(__xludf.DUMMYFUNCTION("""COMPUTED_VALUE"""),418.77)</f>
        <v>418.77</v>
      </c>
      <c r="C919" s="1">
        <f>IFERROR(__xludf.DUMMYFUNCTION("""COMPUTED_VALUE"""),422.86)</f>
        <v>422.86</v>
      </c>
      <c r="D919" s="1">
        <f>IFERROR(__xludf.DUMMYFUNCTION("""COMPUTED_VALUE"""),413.16)</f>
        <v>413.16</v>
      </c>
      <c r="E919" s="1">
        <f>IFERROR(__xludf.DUMMYFUNCTION("""COMPUTED_VALUE"""),414.99)</f>
        <v>414.99</v>
      </c>
      <c r="F919" s="1">
        <f>IFERROR(__xludf.DUMMYFUNCTION("""COMPUTED_VALUE"""),5.458626E7)</f>
        <v>54586260</v>
      </c>
    </row>
    <row r="920">
      <c r="A920" s="2">
        <f>IFERROR(__xludf.DUMMYFUNCTION("""COMPUTED_VALUE"""),45688.66666666667)</f>
        <v>45688.66667</v>
      </c>
      <c r="B920" s="1">
        <f>IFERROR(__xludf.DUMMYFUNCTION("""COMPUTED_VALUE"""),418.98)</f>
        <v>418.98</v>
      </c>
      <c r="C920" s="1">
        <f>IFERROR(__xludf.DUMMYFUNCTION("""COMPUTED_VALUE"""),420.69)</f>
        <v>420.69</v>
      </c>
      <c r="D920" s="1">
        <f>IFERROR(__xludf.DUMMYFUNCTION("""COMPUTED_VALUE"""),414.91)</f>
        <v>414.91</v>
      </c>
      <c r="E920" s="1">
        <f>IFERROR(__xludf.DUMMYFUNCTION("""COMPUTED_VALUE"""),415.06)</f>
        <v>415.06</v>
      </c>
      <c r="F920" s="1">
        <f>IFERROR(__xludf.DUMMYFUNCTION("""COMPUTED_VALUE"""),3.4223388E7)</f>
        <v>34223388</v>
      </c>
    </row>
    <row r="921">
      <c r="A921" s="2">
        <f>IFERROR(__xludf.DUMMYFUNCTION("""COMPUTED_VALUE"""),45691.66666666667)</f>
        <v>45691.66667</v>
      </c>
      <c r="B921" s="1">
        <f>IFERROR(__xludf.DUMMYFUNCTION("""COMPUTED_VALUE"""),411.6)</f>
        <v>411.6</v>
      </c>
      <c r="C921" s="1">
        <f>IFERROR(__xludf.DUMMYFUNCTION("""COMPUTED_VALUE"""),415.41)</f>
        <v>415.41</v>
      </c>
      <c r="D921" s="1">
        <f>IFERROR(__xludf.DUMMYFUNCTION("""COMPUTED_VALUE"""),408.66)</f>
        <v>408.66</v>
      </c>
      <c r="E921" s="1">
        <f>IFERROR(__xludf.DUMMYFUNCTION("""COMPUTED_VALUE"""),410.92)</f>
        <v>410.92</v>
      </c>
      <c r="F921" s="1">
        <f>IFERROR(__xludf.DUMMYFUNCTION("""COMPUTED_VALUE"""),2.5679149E7)</f>
        <v>25679149</v>
      </c>
    </row>
    <row r="922">
      <c r="A922" s="2">
        <f>IFERROR(__xludf.DUMMYFUNCTION("""COMPUTED_VALUE"""),45692.66666666667)</f>
        <v>45692.66667</v>
      </c>
      <c r="B922" s="1">
        <f>IFERROR(__xludf.DUMMYFUNCTION("""COMPUTED_VALUE"""),412.69)</f>
        <v>412.69</v>
      </c>
      <c r="C922" s="1">
        <f>IFERROR(__xludf.DUMMYFUNCTION("""COMPUTED_VALUE"""),413.92)</f>
        <v>413.92</v>
      </c>
      <c r="D922" s="1">
        <f>IFERROR(__xludf.DUMMYFUNCTION("""COMPUTED_VALUE"""),409.74)</f>
        <v>409.74</v>
      </c>
      <c r="E922" s="1">
        <f>IFERROR(__xludf.DUMMYFUNCTION("""COMPUTED_VALUE"""),412.37)</f>
        <v>412.37</v>
      </c>
      <c r="F922" s="1">
        <f>IFERROR(__xludf.DUMMYFUNCTION("""COMPUTED_VALUE"""),2.0532096E7)</f>
        <v>20532096</v>
      </c>
    </row>
    <row r="923">
      <c r="A923" s="2">
        <f>IFERROR(__xludf.DUMMYFUNCTION("""COMPUTED_VALUE"""),45693.66666666667)</f>
        <v>45693.66667</v>
      </c>
      <c r="B923" s="1">
        <f>IFERROR(__xludf.DUMMYFUNCTION("""COMPUTED_VALUE"""),412.35)</f>
        <v>412.35</v>
      </c>
      <c r="C923" s="1">
        <f>IFERROR(__xludf.DUMMYFUNCTION("""COMPUTED_VALUE"""),413.83)</f>
        <v>413.83</v>
      </c>
      <c r="D923" s="1">
        <f>IFERROR(__xludf.DUMMYFUNCTION("""COMPUTED_VALUE"""),410.4)</f>
        <v>410.4</v>
      </c>
      <c r="E923" s="1">
        <f>IFERROR(__xludf.DUMMYFUNCTION("""COMPUTED_VALUE"""),413.29)</f>
        <v>413.29</v>
      </c>
      <c r="F923" s="1">
        <f>IFERROR(__xludf.DUMMYFUNCTION("""COMPUTED_VALUE"""),1.6336188E7)</f>
        <v>16336188</v>
      </c>
    </row>
    <row r="924">
      <c r="A924" s="2">
        <f>IFERROR(__xludf.DUMMYFUNCTION("""COMPUTED_VALUE"""),45694.66666666667)</f>
        <v>45694.66667</v>
      </c>
      <c r="B924" s="1">
        <f>IFERROR(__xludf.DUMMYFUNCTION("""COMPUTED_VALUE"""),414.0)</f>
        <v>414</v>
      </c>
      <c r="C924" s="1">
        <f>IFERROR(__xludf.DUMMYFUNCTION("""COMPUTED_VALUE"""),418.2)</f>
        <v>418.2</v>
      </c>
      <c r="D924" s="1">
        <f>IFERROR(__xludf.DUMMYFUNCTION("""COMPUTED_VALUE"""),414.0)</f>
        <v>414</v>
      </c>
      <c r="E924" s="1">
        <f>IFERROR(__xludf.DUMMYFUNCTION("""COMPUTED_VALUE"""),415.82)</f>
        <v>415.82</v>
      </c>
      <c r="F924" s="1">
        <f>IFERROR(__xludf.DUMMYFUNCTION("""COMPUTED_VALUE"""),1.6309755E7)</f>
        <v>16309755</v>
      </c>
    </row>
    <row r="925">
      <c r="A925" s="2">
        <f>IFERROR(__xludf.DUMMYFUNCTION("""COMPUTED_VALUE"""),45695.66666666667)</f>
        <v>45695.66667</v>
      </c>
      <c r="B925" s="1">
        <f>IFERROR(__xludf.DUMMYFUNCTION("""COMPUTED_VALUE"""),416.48)</f>
        <v>416.48</v>
      </c>
      <c r="C925" s="1">
        <f>IFERROR(__xludf.DUMMYFUNCTION("""COMPUTED_VALUE"""),418.65)</f>
        <v>418.65</v>
      </c>
      <c r="D925" s="1">
        <f>IFERROR(__xludf.DUMMYFUNCTION("""COMPUTED_VALUE"""),408.1)</f>
        <v>408.1</v>
      </c>
      <c r="E925" s="1">
        <f>IFERROR(__xludf.DUMMYFUNCTION("""COMPUTED_VALUE"""),409.75)</f>
        <v>409.75</v>
      </c>
      <c r="F925" s="1">
        <f>IFERROR(__xludf.DUMMYFUNCTION("""COMPUTED_VALUE"""),2.2886844E7)</f>
        <v>22886844</v>
      </c>
    </row>
    <row r="926">
      <c r="A926" s="2">
        <f>IFERROR(__xludf.DUMMYFUNCTION("""COMPUTED_VALUE"""),45698.66666666667)</f>
        <v>45698.66667</v>
      </c>
      <c r="B926" s="1">
        <f>IFERROR(__xludf.DUMMYFUNCTION("""COMPUTED_VALUE"""),413.71)</f>
        <v>413.71</v>
      </c>
      <c r="C926" s="1">
        <f>IFERROR(__xludf.DUMMYFUNCTION("""COMPUTED_VALUE"""),415.46)</f>
        <v>415.46</v>
      </c>
      <c r="D926" s="1">
        <f>IFERROR(__xludf.DUMMYFUNCTION("""COMPUTED_VALUE"""),410.92)</f>
        <v>410.92</v>
      </c>
      <c r="E926" s="1">
        <f>IFERROR(__xludf.DUMMYFUNCTION("""COMPUTED_VALUE"""),412.22)</f>
        <v>412.22</v>
      </c>
      <c r="F926" s="1">
        <f>IFERROR(__xludf.DUMMYFUNCTION("""COMPUTED_VALUE"""),2.0817919E7)</f>
        <v>20817919</v>
      </c>
    </row>
    <row r="927">
      <c r="A927" s="2">
        <f>IFERROR(__xludf.DUMMYFUNCTION("""COMPUTED_VALUE"""),45699.66666666667)</f>
        <v>45699.66667</v>
      </c>
      <c r="B927" s="1">
        <f>IFERROR(__xludf.DUMMYFUNCTION("""COMPUTED_VALUE"""),409.64)</f>
        <v>409.64</v>
      </c>
      <c r="C927" s="1">
        <f>IFERROR(__xludf.DUMMYFUNCTION("""COMPUTED_VALUE"""),412.49)</f>
        <v>412.49</v>
      </c>
      <c r="D927" s="1">
        <f>IFERROR(__xludf.DUMMYFUNCTION("""COMPUTED_VALUE"""),409.3)</f>
        <v>409.3</v>
      </c>
      <c r="E927" s="1">
        <f>IFERROR(__xludf.DUMMYFUNCTION("""COMPUTED_VALUE"""),411.44)</f>
        <v>411.44</v>
      </c>
      <c r="F927" s="1">
        <f>IFERROR(__xludf.DUMMYFUNCTION("""COMPUTED_VALUE"""),1.8140592E7)</f>
        <v>18140592</v>
      </c>
    </row>
    <row r="928">
      <c r="A928" s="2">
        <f>IFERROR(__xludf.DUMMYFUNCTION("""COMPUTED_VALUE"""),45700.66666666667)</f>
        <v>45700.66667</v>
      </c>
      <c r="B928" s="1">
        <f>IFERROR(__xludf.DUMMYFUNCTION("""COMPUTED_VALUE"""),407.21)</f>
        <v>407.21</v>
      </c>
      <c r="C928" s="1">
        <f>IFERROR(__xludf.DUMMYFUNCTION("""COMPUTED_VALUE"""),410.75)</f>
        <v>410.75</v>
      </c>
      <c r="D928" s="1">
        <f>IFERROR(__xludf.DUMMYFUNCTION("""COMPUTED_VALUE"""),404.37)</f>
        <v>404.37</v>
      </c>
      <c r="E928" s="1">
        <f>IFERROR(__xludf.DUMMYFUNCTION("""COMPUTED_VALUE"""),409.04)</f>
        <v>409.04</v>
      </c>
      <c r="F928" s="1">
        <f>IFERROR(__xludf.DUMMYFUNCTION("""COMPUTED_VALUE"""),1.9121734E7)</f>
        <v>19121734</v>
      </c>
    </row>
    <row r="929">
      <c r="A929" s="2">
        <f>IFERROR(__xludf.DUMMYFUNCTION("""COMPUTED_VALUE"""),45701.66666666667)</f>
        <v>45701.66667</v>
      </c>
      <c r="B929" s="1">
        <f>IFERROR(__xludf.DUMMYFUNCTION("""COMPUTED_VALUE"""),407.0)</f>
        <v>407</v>
      </c>
      <c r="C929" s="1">
        <f>IFERROR(__xludf.DUMMYFUNCTION("""COMPUTED_VALUE"""),411.0)</f>
        <v>411</v>
      </c>
      <c r="D929" s="1">
        <f>IFERROR(__xludf.DUMMYFUNCTION("""COMPUTED_VALUE"""),406.36)</f>
        <v>406.36</v>
      </c>
      <c r="E929" s="1">
        <f>IFERROR(__xludf.DUMMYFUNCTION("""COMPUTED_VALUE"""),410.54)</f>
        <v>410.54</v>
      </c>
      <c r="F929" s="1">
        <f>IFERROR(__xludf.DUMMYFUNCTION("""COMPUTED_VALUE"""),2.3891731E7)</f>
        <v>23891731</v>
      </c>
    </row>
    <row r="930">
      <c r="A930" s="2">
        <f>IFERROR(__xludf.DUMMYFUNCTION("""COMPUTED_VALUE"""),45702.66666666667)</f>
        <v>45702.66667</v>
      </c>
      <c r="B930" s="1">
        <f>IFERROR(__xludf.DUMMYFUNCTION("""COMPUTED_VALUE"""),407.79)</f>
        <v>407.79</v>
      </c>
      <c r="C930" s="1">
        <f>IFERROR(__xludf.DUMMYFUNCTION("""COMPUTED_VALUE"""),408.91)</f>
        <v>408.91</v>
      </c>
      <c r="D930" s="1">
        <f>IFERROR(__xludf.DUMMYFUNCTION("""COMPUTED_VALUE"""),405.88)</f>
        <v>405.88</v>
      </c>
      <c r="E930" s="1">
        <f>IFERROR(__xludf.DUMMYFUNCTION("""COMPUTED_VALUE"""),408.43)</f>
        <v>408.43</v>
      </c>
      <c r="F930" s="1">
        <f>IFERROR(__xludf.DUMMYFUNCTION("""COMPUTED_VALUE"""),2.2758464E7)</f>
        <v>22758464</v>
      </c>
    </row>
    <row r="931">
      <c r="A931" s="2">
        <f>IFERROR(__xludf.DUMMYFUNCTION("""COMPUTED_VALUE"""),45706.66666666667)</f>
        <v>45706.66667</v>
      </c>
      <c r="B931" s="1">
        <f>IFERROR(__xludf.DUMMYFUNCTION("""COMPUTED_VALUE"""),408.0)</f>
        <v>408</v>
      </c>
      <c r="C931" s="1">
        <f>IFERROR(__xludf.DUMMYFUNCTION("""COMPUTED_VALUE"""),410.6)</f>
        <v>410.6</v>
      </c>
      <c r="D931" s="1">
        <f>IFERROR(__xludf.DUMMYFUNCTION("""COMPUTED_VALUE"""),406.5)</f>
        <v>406.5</v>
      </c>
      <c r="E931" s="1">
        <f>IFERROR(__xludf.DUMMYFUNCTION("""COMPUTED_VALUE"""),409.64)</f>
        <v>409.64</v>
      </c>
      <c r="F931" s="1">
        <f>IFERROR(__xludf.DUMMYFUNCTION("""COMPUTED_VALUE"""),2.1423051E7)</f>
        <v>21423051</v>
      </c>
    </row>
    <row r="932">
      <c r="A932" s="2">
        <f>IFERROR(__xludf.DUMMYFUNCTION("""COMPUTED_VALUE"""),45707.66666666667)</f>
        <v>45707.66667</v>
      </c>
      <c r="B932" s="1">
        <f>IFERROR(__xludf.DUMMYFUNCTION("""COMPUTED_VALUE"""),407.88)</f>
        <v>407.88</v>
      </c>
      <c r="C932" s="1">
        <f>IFERROR(__xludf.DUMMYFUNCTION("""COMPUTED_VALUE"""),415.49)</f>
        <v>415.49</v>
      </c>
      <c r="D932" s="1">
        <f>IFERROR(__xludf.DUMMYFUNCTION("""COMPUTED_VALUE"""),407.65)</f>
        <v>407.65</v>
      </c>
      <c r="E932" s="1">
        <f>IFERROR(__xludf.DUMMYFUNCTION("""COMPUTED_VALUE"""),414.77)</f>
        <v>414.77</v>
      </c>
      <c r="F932" s="1">
        <f>IFERROR(__xludf.DUMMYFUNCTION("""COMPUTED_VALUE"""),2.4114197E7)</f>
        <v>24114197</v>
      </c>
    </row>
    <row r="933">
      <c r="A933" s="2">
        <f>IFERROR(__xludf.DUMMYFUNCTION("""COMPUTED_VALUE"""),45708.66666666667)</f>
        <v>45708.66667</v>
      </c>
      <c r="B933" s="1">
        <f>IFERROR(__xludf.DUMMYFUNCTION("""COMPUTED_VALUE"""),415.29)</f>
        <v>415.29</v>
      </c>
      <c r="C933" s="1">
        <f>IFERROR(__xludf.DUMMYFUNCTION("""COMPUTED_VALUE"""),419.31)</f>
        <v>419.31</v>
      </c>
      <c r="D933" s="1">
        <f>IFERROR(__xludf.DUMMYFUNCTION("""COMPUTED_VALUE"""),412.54)</f>
        <v>412.54</v>
      </c>
      <c r="E933" s="1">
        <f>IFERROR(__xludf.DUMMYFUNCTION("""COMPUTED_VALUE"""),416.13)</f>
        <v>416.13</v>
      </c>
      <c r="F933" s="1">
        <f>IFERROR(__xludf.DUMMYFUNCTION("""COMPUTED_VALUE"""),2.3508728E7)</f>
        <v>23508728</v>
      </c>
    </row>
    <row r="934">
      <c r="A934" s="2">
        <f>IFERROR(__xludf.DUMMYFUNCTION("""COMPUTED_VALUE"""),45709.66666666667)</f>
        <v>45709.66667</v>
      </c>
      <c r="B934" s="1">
        <f>IFERROR(__xludf.DUMMYFUNCTION("""COMPUTED_VALUE"""),417.34)</f>
        <v>417.34</v>
      </c>
      <c r="C934" s="1">
        <f>IFERROR(__xludf.DUMMYFUNCTION("""COMPUTED_VALUE"""),418.05)</f>
        <v>418.05</v>
      </c>
      <c r="D934" s="1">
        <f>IFERROR(__xludf.DUMMYFUNCTION("""COMPUTED_VALUE"""),407.89)</f>
        <v>407.89</v>
      </c>
      <c r="E934" s="1">
        <f>IFERROR(__xludf.DUMMYFUNCTION("""COMPUTED_VALUE"""),408.21)</f>
        <v>408.21</v>
      </c>
      <c r="F934" s="1">
        <f>IFERROR(__xludf.DUMMYFUNCTION("""COMPUTED_VALUE"""),2.7524799E7)</f>
        <v>27524799</v>
      </c>
    </row>
    <row r="935">
      <c r="A935" s="2">
        <f>IFERROR(__xludf.DUMMYFUNCTION("""COMPUTED_VALUE"""),45712.66666666667)</f>
        <v>45712.66667</v>
      </c>
      <c r="B935" s="1">
        <f>IFERROR(__xludf.DUMMYFUNCTION("""COMPUTED_VALUE"""),408.51)</f>
        <v>408.51</v>
      </c>
      <c r="C935" s="1">
        <f>IFERROR(__xludf.DUMMYFUNCTION("""COMPUTED_VALUE"""),409.37)</f>
        <v>409.37</v>
      </c>
      <c r="D935" s="1">
        <f>IFERROR(__xludf.DUMMYFUNCTION("""COMPUTED_VALUE"""),399.32)</f>
        <v>399.32</v>
      </c>
      <c r="E935" s="1">
        <f>IFERROR(__xludf.DUMMYFUNCTION("""COMPUTED_VALUE"""),404.0)</f>
        <v>404</v>
      </c>
      <c r="F935" s="1">
        <f>IFERROR(__xludf.DUMMYFUNCTION("""COMPUTED_VALUE"""),2.6443656E7)</f>
        <v>26443656</v>
      </c>
    </row>
    <row r="936">
      <c r="A936" s="2">
        <f>IFERROR(__xludf.DUMMYFUNCTION("""COMPUTED_VALUE"""),45713.66666666667)</f>
        <v>45713.66667</v>
      </c>
      <c r="B936" s="1">
        <f>IFERROR(__xludf.DUMMYFUNCTION("""COMPUTED_VALUE"""),401.1)</f>
        <v>401.1</v>
      </c>
      <c r="C936" s="1">
        <f>IFERROR(__xludf.DUMMYFUNCTION("""COMPUTED_VALUE"""),401.92)</f>
        <v>401.92</v>
      </c>
      <c r="D936" s="1">
        <f>IFERROR(__xludf.DUMMYFUNCTION("""COMPUTED_VALUE"""),396.7)</f>
        <v>396.7</v>
      </c>
      <c r="E936" s="1">
        <f>IFERROR(__xludf.DUMMYFUNCTION("""COMPUTED_VALUE"""),397.9)</f>
        <v>397.9</v>
      </c>
      <c r="F936" s="1">
        <f>IFERROR(__xludf.DUMMYFUNCTION("""COMPUTED_VALUE"""),2.9387402E7)</f>
        <v>29387402</v>
      </c>
    </row>
    <row r="937">
      <c r="A937" s="2">
        <f>IFERROR(__xludf.DUMMYFUNCTION("""COMPUTED_VALUE"""),45714.66666666667)</f>
        <v>45714.66667</v>
      </c>
      <c r="B937" s="1">
        <f>IFERROR(__xludf.DUMMYFUNCTION("""COMPUTED_VALUE"""),398.01)</f>
        <v>398.01</v>
      </c>
      <c r="C937" s="1">
        <f>IFERROR(__xludf.DUMMYFUNCTION("""COMPUTED_VALUE"""),403.6)</f>
        <v>403.6</v>
      </c>
      <c r="D937" s="1">
        <f>IFERROR(__xludf.DUMMYFUNCTION("""COMPUTED_VALUE"""),394.25)</f>
        <v>394.25</v>
      </c>
      <c r="E937" s="1">
        <f>IFERROR(__xludf.DUMMYFUNCTION("""COMPUTED_VALUE"""),399.73)</f>
        <v>399.73</v>
      </c>
      <c r="F937" s="1">
        <f>IFERROR(__xludf.DUMMYFUNCTION("""COMPUTED_VALUE"""),1.9618954E7)</f>
        <v>19618954</v>
      </c>
    </row>
    <row r="938">
      <c r="A938" s="2">
        <f>IFERROR(__xludf.DUMMYFUNCTION("""COMPUTED_VALUE"""),45715.66666666667)</f>
        <v>45715.66667</v>
      </c>
      <c r="B938" s="1">
        <f>IFERROR(__xludf.DUMMYFUNCTION("""COMPUTED_VALUE"""),401.27)</f>
        <v>401.27</v>
      </c>
      <c r="C938" s="1">
        <f>IFERROR(__xludf.DUMMYFUNCTION("""COMPUTED_VALUE"""),405.74)</f>
        <v>405.74</v>
      </c>
      <c r="D938" s="1">
        <f>IFERROR(__xludf.DUMMYFUNCTION("""COMPUTED_VALUE"""),392.17)</f>
        <v>392.17</v>
      </c>
      <c r="E938" s="1">
        <f>IFERROR(__xludf.DUMMYFUNCTION("""COMPUTED_VALUE"""),392.53)</f>
        <v>392.53</v>
      </c>
      <c r="F938" s="1">
        <f>IFERROR(__xludf.DUMMYFUNCTION("""COMPUTED_VALUE"""),2.1127406E7)</f>
        <v>21127406</v>
      </c>
    </row>
    <row r="939">
      <c r="A939" s="2">
        <f>IFERROR(__xludf.DUMMYFUNCTION("""COMPUTED_VALUE"""),45716.66666666667)</f>
        <v>45716.66667</v>
      </c>
      <c r="B939" s="1">
        <f>IFERROR(__xludf.DUMMYFUNCTION("""COMPUTED_VALUE"""),392.66)</f>
        <v>392.66</v>
      </c>
      <c r="C939" s="1">
        <f>IFERROR(__xludf.DUMMYFUNCTION("""COMPUTED_VALUE"""),397.63)</f>
        <v>397.63</v>
      </c>
      <c r="D939" s="1">
        <f>IFERROR(__xludf.DUMMYFUNCTION("""COMPUTED_VALUE"""),386.57)</f>
        <v>386.57</v>
      </c>
      <c r="E939" s="1">
        <f>IFERROR(__xludf.DUMMYFUNCTION("""COMPUTED_VALUE"""),396.99)</f>
        <v>396.99</v>
      </c>
      <c r="F939" s="1">
        <f>IFERROR(__xludf.DUMMYFUNCTION("""COMPUTED_VALUE"""),3.2845658E7)</f>
        <v>32845658</v>
      </c>
    </row>
    <row r="940">
      <c r="A940" s="2">
        <f>IFERROR(__xludf.DUMMYFUNCTION("""COMPUTED_VALUE"""),45719.66666666667)</f>
        <v>45719.66667</v>
      </c>
      <c r="B940" s="1">
        <f>IFERROR(__xludf.DUMMYFUNCTION("""COMPUTED_VALUE"""),398.82)</f>
        <v>398.82</v>
      </c>
      <c r="C940" s="1">
        <f>IFERROR(__xludf.DUMMYFUNCTION("""COMPUTED_VALUE"""),398.82)</f>
        <v>398.82</v>
      </c>
      <c r="D940" s="1">
        <f>IFERROR(__xludf.DUMMYFUNCTION("""COMPUTED_VALUE"""),386.16)</f>
        <v>386.16</v>
      </c>
      <c r="E940" s="1">
        <f>IFERROR(__xludf.DUMMYFUNCTION("""COMPUTED_VALUE"""),388.49)</f>
        <v>388.49</v>
      </c>
      <c r="F940" s="1">
        <f>IFERROR(__xludf.DUMMYFUNCTION("""COMPUTED_VALUE"""),2.3007726E7)</f>
        <v>23007726</v>
      </c>
    </row>
    <row r="941">
      <c r="A941" s="2">
        <f>IFERROR(__xludf.DUMMYFUNCTION("""COMPUTED_VALUE"""),45720.66666666667)</f>
        <v>45720.66667</v>
      </c>
      <c r="B941" s="1">
        <f>IFERROR(__xludf.DUMMYFUNCTION("""COMPUTED_VALUE"""),383.4)</f>
        <v>383.4</v>
      </c>
      <c r="C941" s="1">
        <f>IFERROR(__xludf.DUMMYFUNCTION("""COMPUTED_VALUE"""),392.58)</f>
        <v>392.58</v>
      </c>
      <c r="D941" s="1">
        <f>IFERROR(__xludf.DUMMYFUNCTION("""COMPUTED_VALUE"""),381.0)</f>
        <v>381</v>
      </c>
      <c r="E941" s="1">
        <f>IFERROR(__xludf.DUMMYFUNCTION("""COMPUTED_VALUE"""),388.61)</f>
        <v>388.61</v>
      </c>
      <c r="F941" s="1">
        <f>IFERROR(__xludf.DUMMYFUNCTION("""COMPUTED_VALUE"""),2.9342923E7)</f>
        <v>29342923</v>
      </c>
    </row>
    <row r="942">
      <c r="A942" s="2">
        <f>IFERROR(__xludf.DUMMYFUNCTION("""COMPUTED_VALUE"""),45721.66666666667)</f>
        <v>45721.66667</v>
      </c>
      <c r="B942" s="1">
        <f>IFERROR(__xludf.DUMMYFUNCTION("""COMPUTED_VALUE"""),389.34)</f>
        <v>389.34</v>
      </c>
      <c r="C942" s="1">
        <f>IFERROR(__xludf.DUMMYFUNCTION("""COMPUTED_VALUE"""),401.67)</f>
        <v>401.67</v>
      </c>
      <c r="D942" s="1">
        <f>IFERROR(__xludf.DUMMYFUNCTION("""COMPUTED_VALUE"""),388.81)</f>
        <v>388.81</v>
      </c>
      <c r="E942" s="1">
        <f>IFERROR(__xludf.DUMMYFUNCTION("""COMPUTED_VALUE"""),401.02)</f>
        <v>401.02</v>
      </c>
      <c r="F942" s="1">
        <f>IFERROR(__xludf.DUMMYFUNCTION("""COMPUTED_VALUE"""),2.3433132E7)</f>
        <v>23433132</v>
      </c>
    </row>
    <row r="943">
      <c r="A943" s="2">
        <f>IFERROR(__xludf.DUMMYFUNCTION("""COMPUTED_VALUE"""),45722.66666666667)</f>
        <v>45722.66667</v>
      </c>
      <c r="B943" s="1">
        <f>IFERROR(__xludf.DUMMYFUNCTION("""COMPUTED_VALUE"""),394.28)</f>
        <v>394.28</v>
      </c>
      <c r="C943" s="1">
        <f>IFERROR(__xludf.DUMMYFUNCTION("""COMPUTED_VALUE"""),402.15)</f>
        <v>402.15</v>
      </c>
      <c r="D943" s="1">
        <f>IFERROR(__xludf.DUMMYFUNCTION("""COMPUTED_VALUE"""),392.68)</f>
        <v>392.68</v>
      </c>
      <c r="E943" s="1">
        <f>IFERROR(__xludf.DUMMYFUNCTION("""COMPUTED_VALUE"""),396.89)</f>
        <v>396.89</v>
      </c>
      <c r="F943" s="1">
        <f>IFERROR(__xludf.DUMMYFUNCTION("""COMPUTED_VALUE"""),2.3304625E7)</f>
        <v>23304625</v>
      </c>
    </row>
    <row r="944">
      <c r="A944" s="2">
        <f>IFERROR(__xludf.DUMMYFUNCTION("""COMPUTED_VALUE"""),45723.66666666667)</f>
        <v>45723.66667</v>
      </c>
      <c r="B944" s="1">
        <f>IFERROR(__xludf.DUMMYFUNCTION("""COMPUTED_VALUE"""),392.32)</f>
        <v>392.32</v>
      </c>
      <c r="C944" s="1">
        <f>IFERROR(__xludf.DUMMYFUNCTION("""COMPUTED_VALUE"""),394.8)</f>
        <v>394.8</v>
      </c>
      <c r="D944" s="1">
        <f>IFERROR(__xludf.DUMMYFUNCTION("""COMPUTED_VALUE"""),385.54)</f>
        <v>385.54</v>
      </c>
      <c r="E944" s="1">
        <f>IFERROR(__xludf.DUMMYFUNCTION("""COMPUTED_VALUE"""),393.31)</f>
        <v>393.31</v>
      </c>
      <c r="F944" s="1">
        <f>IFERROR(__xludf.DUMMYFUNCTION("""COMPUTED_VALUE"""),2.2034087E7)</f>
        <v>22034087</v>
      </c>
    </row>
    <row r="945">
      <c r="A945" s="2">
        <f>IFERROR(__xludf.DUMMYFUNCTION("""COMPUTED_VALUE"""),45726.66666666667)</f>
        <v>45726.66667</v>
      </c>
      <c r="B945" s="1">
        <f>IFERROR(__xludf.DUMMYFUNCTION("""COMPUTED_VALUE"""),385.84)</f>
        <v>385.84</v>
      </c>
      <c r="C945" s="1">
        <f>IFERROR(__xludf.DUMMYFUNCTION("""COMPUTED_VALUE"""),386.4)</f>
        <v>386.4</v>
      </c>
      <c r="D945" s="1">
        <f>IFERROR(__xludf.DUMMYFUNCTION("""COMPUTED_VALUE"""),377.22)</f>
        <v>377.22</v>
      </c>
      <c r="E945" s="1">
        <f>IFERROR(__xludf.DUMMYFUNCTION("""COMPUTED_VALUE"""),380.16)</f>
        <v>380.16</v>
      </c>
      <c r="F945" s="1">
        <f>IFERROR(__xludf.DUMMYFUNCTION("""COMPUTED_VALUE"""),3.2840134E7)</f>
        <v>32840134</v>
      </c>
    </row>
    <row r="946">
      <c r="A946" s="2">
        <f>IFERROR(__xludf.DUMMYFUNCTION("""COMPUTED_VALUE"""),45727.66666666667)</f>
        <v>45727.66667</v>
      </c>
      <c r="B946" s="1">
        <f>IFERROR(__xludf.DUMMYFUNCTION("""COMPUTED_VALUE"""),379.0)</f>
        <v>379</v>
      </c>
      <c r="C946" s="1">
        <f>IFERROR(__xludf.DUMMYFUNCTION("""COMPUTED_VALUE"""),386.0)</f>
        <v>386</v>
      </c>
      <c r="D946" s="1">
        <f>IFERROR(__xludf.DUMMYFUNCTION("""COMPUTED_VALUE"""),376.91)</f>
        <v>376.91</v>
      </c>
      <c r="E946" s="1">
        <f>IFERROR(__xludf.DUMMYFUNCTION("""COMPUTED_VALUE"""),380.45)</f>
        <v>380.45</v>
      </c>
      <c r="F946" s="1">
        <f>IFERROR(__xludf.DUMMYFUNCTION("""COMPUTED_VALUE"""),3.0380177E7)</f>
        <v>30380177</v>
      </c>
    </row>
    <row r="947">
      <c r="A947" s="2">
        <f>IFERROR(__xludf.DUMMYFUNCTION("""COMPUTED_VALUE"""),45728.66666666667)</f>
        <v>45728.66667</v>
      </c>
      <c r="B947" s="1">
        <f>IFERROR(__xludf.DUMMYFUNCTION("""COMPUTED_VALUE"""),382.95)</f>
        <v>382.95</v>
      </c>
      <c r="C947" s="1">
        <f>IFERROR(__xludf.DUMMYFUNCTION("""COMPUTED_VALUE"""),385.22)</f>
        <v>385.22</v>
      </c>
      <c r="D947" s="1">
        <f>IFERROR(__xludf.DUMMYFUNCTION("""COMPUTED_VALUE"""),378.95)</f>
        <v>378.95</v>
      </c>
      <c r="E947" s="1">
        <f>IFERROR(__xludf.DUMMYFUNCTION("""COMPUTED_VALUE"""),383.27)</f>
        <v>383.27</v>
      </c>
      <c r="F947" s="1">
        <f>IFERROR(__xludf.DUMMYFUNCTION("""COMPUTED_VALUE"""),2.4253567E7)</f>
        <v>24253567</v>
      </c>
    </row>
    <row r="948">
      <c r="A948" s="2">
        <f>IFERROR(__xludf.DUMMYFUNCTION("""COMPUTED_VALUE"""),45729.66666666667)</f>
        <v>45729.66667</v>
      </c>
      <c r="B948" s="1">
        <f>IFERROR(__xludf.DUMMYFUNCTION("""COMPUTED_VALUE"""),383.16)</f>
        <v>383.16</v>
      </c>
      <c r="C948" s="1">
        <f>IFERROR(__xludf.DUMMYFUNCTION("""COMPUTED_VALUE"""),385.32)</f>
        <v>385.32</v>
      </c>
      <c r="D948" s="1">
        <f>IFERROR(__xludf.DUMMYFUNCTION("""COMPUTED_VALUE"""),377.45)</f>
        <v>377.45</v>
      </c>
      <c r="E948" s="1">
        <f>IFERROR(__xludf.DUMMYFUNCTION("""COMPUTED_VALUE"""),378.77)</f>
        <v>378.77</v>
      </c>
      <c r="F948" s="1">
        <f>IFERROR(__xludf.DUMMYFUNCTION("""COMPUTED_VALUE"""),2.0473017E7)</f>
        <v>20473017</v>
      </c>
    </row>
    <row r="949">
      <c r="A949" s="2">
        <f>IFERROR(__xludf.DUMMYFUNCTION("""COMPUTED_VALUE"""),45730.66666666667)</f>
        <v>45730.66667</v>
      </c>
      <c r="B949" s="1">
        <f>IFERROR(__xludf.DUMMYFUNCTION("""COMPUTED_VALUE"""),379.78)</f>
        <v>379.78</v>
      </c>
      <c r="C949" s="1">
        <f>IFERROR(__xludf.DUMMYFUNCTION("""COMPUTED_VALUE"""),390.23)</f>
        <v>390.23</v>
      </c>
      <c r="D949" s="1">
        <f>IFERROR(__xludf.DUMMYFUNCTION("""COMPUTED_VALUE"""),379.51)</f>
        <v>379.51</v>
      </c>
      <c r="E949" s="1">
        <f>IFERROR(__xludf.DUMMYFUNCTION("""COMPUTED_VALUE"""),388.56)</f>
        <v>388.56</v>
      </c>
      <c r="F949" s="1">
        <f>IFERROR(__xludf.DUMMYFUNCTION("""COMPUTED_VALUE"""),1.9952846E7)</f>
        <v>19952846</v>
      </c>
    </row>
    <row r="950">
      <c r="A950" s="2">
        <f>IFERROR(__xludf.DUMMYFUNCTION("""COMPUTED_VALUE"""),45733.66666666667)</f>
        <v>45733.66667</v>
      </c>
      <c r="B950" s="1">
        <f>IFERROR(__xludf.DUMMYFUNCTION("""COMPUTED_VALUE"""),386.7)</f>
        <v>386.7</v>
      </c>
      <c r="C950" s="1">
        <f>IFERROR(__xludf.DUMMYFUNCTION("""COMPUTED_VALUE"""),392.71)</f>
        <v>392.71</v>
      </c>
      <c r="D950" s="1">
        <f>IFERROR(__xludf.DUMMYFUNCTION("""COMPUTED_VALUE"""),385.57)</f>
        <v>385.57</v>
      </c>
      <c r="E950" s="1">
        <f>IFERROR(__xludf.DUMMYFUNCTION("""COMPUTED_VALUE"""),388.7)</f>
        <v>388.7</v>
      </c>
      <c r="F950" s="1">
        <f>IFERROR(__xludf.DUMMYFUNCTION("""COMPUTED_VALUE"""),2.2474272E7)</f>
        <v>22474272</v>
      </c>
    </row>
    <row r="951">
      <c r="A951" s="2">
        <f>IFERROR(__xludf.DUMMYFUNCTION("""COMPUTED_VALUE"""),45734.66666666667)</f>
        <v>45734.66667</v>
      </c>
      <c r="B951" s="1">
        <f>IFERROR(__xludf.DUMMYFUNCTION("""COMPUTED_VALUE"""),387.07)</f>
        <v>387.07</v>
      </c>
      <c r="C951" s="1">
        <f>IFERROR(__xludf.DUMMYFUNCTION("""COMPUTED_VALUE"""),387.37)</f>
        <v>387.37</v>
      </c>
      <c r="D951" s="1">
        <f>IFERROR(__xludf.DUMMYFUNCTION("""COMPUTED_VALUE"""),381.1)</f>
        <v>381.1</v>
      </c>
      <c r="E951" s="1">
        <f>IFERROR(__xludf.DUMMYFUNCTION("""COMPUTED_VALUE"""),383.52)</f>
        <v>383.52</v>
      </c>
      <c r="F951" s="1">
        <f>IFERROR(__xludf.DUMMYFUNCTION("""COMPUTED_VALUE"""),1.948685E7)</f>
        <v>19486850</v>
      </c>
    </row>
    <row r="952">
      <c r="A952" s="2">
        <f>IFERROR(__xludf.DUMMYFUNCTION("""COMPUTED_VALUE"""),45735.66666666667)</f>
        <v>45735.66667</v>
      </c>
      <c r="B952" s="1">
        <f>IFERROR(__xludf.DUMMYFUNCTION("""COMPUTED_VALUE"""),385.53)</f>
        <v>385.53</v>
      </c>
      <c r="C952" s="1">
        <f>IFERROR(__xludf.DUMMYFUNCTION("""COMPUTED_VALUE"""),389.68)</f>
        <v>389.68</v>
      </c>
      <c r="D952" s="1">
        <f>IFERROR(__xludf.DUMMYFUNCTION("""COMPUTED_VALUE"""),384.0)</f>
        <v>384</v>
      </c>
      <c r="E952" s="1">
        <f>IFERROR(__xludf.DUMMYFUNCTION("""COMPUTED_VALUE"""),387.82)</f>
        <v>387.82</v>
      </c>
      <c r="F952" s="1">
        <f>IFERROR(__xludf.DUMMYFUNCTION("""COMPUTED_VALUE"""),1.9185532E7)</f>
        <v>19185532</v>
      </c>
    </row>
    <row r="953">
      <c r="A953" s="2">
        <f>IFERROR(__xludf.DUMMYFUNCTION("""COMPUTED_VALUE"""),45736.66666666667)</f>
        <v>45736.66667</v>
      </c>
      <c r="B953" s="1">
        <f>IFERROR(__xludf.DUMMYFUNCTION("""COMPUTED_VALUE"""),385.74)</f>
        <v>385.74</v>
      </c>
      <c r="C953" s="1">
        <f>IFERROR(__xludf.DUMMYFUNCTION("""COMPUTED_VALUE"""),391.79)</f>
        <v>391.79</v>
      </c>
      <c r="D953" s="1">
        <f>IFERROR(__xludf.DUMMYFUNCTION("""COMPUTED_VALUE"""),383.28)</f>
        <v>383.28</v>
      </c>
      <c r="E953" s="1">
        <f>IFERROR(__xludf.DUMMYFUNCTION("""COMPUTED_VALUE"""),386.84)</f>
        <v>386.84</v>
      </c>
      <c r="F953" s="1">
        <f>IFERROR(__xludf.DUMMYFUNCTION("""COMPUTED_VALUE"""),1.8470542E7)</f>
        <v>18470542</v>
      </c>
    </row>
    <row r="954">
      <c r="A954" s="2">
        <f>IFERROR(__xludf.DUMMYFUNCTION("""COMPUTED_VALUE"""),45737.66666666667)</f>
        <v>45737.66667</v>
      </c>
      <c r="B954" s="1">
        <f>IFERROR(__xludf.DUMMYFUNCTION("""COMPUTED_VALUE"""),383.22)</f>
        <v>383.22</v>
      </c>
      <c r="C954" s="1">
        <f>IFERROR(__xludf.DUMMYFUNCTION("""COMPUTED_VALUE"""),391.74)</f>
        <v>391.74</v>
      </c>
      <c r="D954" s="1">
        <f>IFERROR(__xludf.DUMMYFUNCTION("""COMPUTED_VALUE"""),382.8)</f>
        <v>382.8</v>
      </c>
      <c r="E954" s="1">
        <f>IFERROR(__xludf.DUMMYFUNCTION("""COMPUTED_VALUE"""),391.26)</f>
        <v>391.26</v>
      </c>
      <c r="F954" s="1">
        <f>IFERROR(__xludf.DUMMYFUNCTION("""COMPUTED_VALUE"""),3.9675928E7)</f>
        <v>39675928</v>
      </c>
    </row>
    <row r="955">
      <c r="A955" s="2">
        <f>IFERROR(__xludf.DUMMYFUNCTION("""COMPUTED_VALUE"""),45740.66666666667)</f>
        <v>45740.66667</v>
      </c>
      <c r="B955" s="1">
        <f>IFERROR(__xludf.DUMMYFUNCTION("""COMPUTED_VALUE"""),395.4)</f>
        <v>395.4</v>
      </c>
      <c r="C955" s="1">
        <f>IFERROR(__xludf.DUMMYFUNCTION("""COMPUTED_VALUE"""),395.4)</f>
        <v>395.4</v>
      </c>
      <c r="D955" s="1">
        <f>IFERROR(__xludf.DUMMYFUNCTION("""COMPUTED_VALUE"""),389.81)</f>
        <v>389.81</v>
      </c>
      <c r="E955" s="1">
        <f>IFERROR(__xludf.DUMMYFUNCTION("""COMPUTED_VALUE"""),393.08)</f>
        <v>393.08</v>
      </c>
      <c r="F955" s="1">
        <f>IFERROR(__xludf.DUMMYFUNCTION("""COMPUTED_VALUE"""),2.1004548E7)</f>
        <v>21004548</v>
      </c>
    </row>
    <row r="956">
      <c r="A956" s="2">
        <f>IFERROR(__xludf.DUMMYFUNCTION("""COMPUTED_VALUE"""),45741.66666666667)</f>
        <v>45741.66667</v>
      </c>
      <c r="B956" s="1">
        <f>IFERROR(__xludf.DUMMYFUNCTION("""COMPUTED_VALUE"""),393.92)</f>
        <v>393.92</v>
      </c>
      <c r="C956" s="1">
        <f>IFERROR(__xludf.DUMMYFUNCTION("""COMPUTED_VALUE"""),396.36)</f>
        <v>396.36</v>
      </c>
      <c r="D956" s="1">
        <f>IFERROR(__xludf.DUMMYFUNCTION("""COMPUTED_VALUE"""),392.64)</f>
        <v>392.64</v>
      </c>
      <c r="E956" s="1">
        <f>IFERROR(__xludf.DUMMYFUNCTION("""COMPUTED_VALUE"""),395.16)</f>
        <v>395.16</v>
      </c>
      <c r="F956" s="1">
        <f>IFERROR(__xludf.DUMMYFUNCTION("""COMPUTED_VALUE"""),1.5774968E7)</f>
        <v>15774968</v>
      </c>
    </row>
    <row r="957">
      <c r="A957" s="2">
        <f>IFERROR(__xludf.DUMMYFUNCTION("""COMPUTED_VALUE"""),45742.66666666667)</f>
        <v>45742.66667</v>
      </c>
      <c r="B957" s="1">
        <f>IFERROR(__xludf.DUMMYFUNCTION("""COMPUTED_VALUE"""),395.0)</f>
        <v>395</v>
      </c>
      <c r="C957" s="1">
        <f>IFERROR(__xludf.DUMMYFUNCTION("""COMPUTED_VALUE"""),395.31)</f>
        <v>395.31</v>
      </c>
      <c r="D957" s="1">
        <f>IFERROR(__xludf.DUMMYFUNCTION("""COMPUTED_VALUE"""),388.57)</f>
        <v>388.57</v>
      </c>
      <c r="E957" s="1">
        <f>IFERROR(__xludf.DUMMYFUNCTION("""COMPUTED_VALUE"""),389.97)</f>
        <v>389.97</v>
      </c>
      <c r="F957" s="1">
        <f>IFERROR(__xludf.DUMMYFUNCTION("""COMPUTED_VALUE"""),1.6132906E7)</f>
        <v>16132906</v>
      </c>
    </row>
    <row r="958">
      <c r="A958" s="2">
        <f>IFERROR(__xludf.DUMMYFUNCTION("""COMPUTED_VALUE"""),45743.66666666667)</f>
        <v>45743.66667</v>
      </c>
      <c r="B958" s="1">
        <f>IFERROR(__xludf.DUMMYFUNCTION("""COMPUTED_VALUE"""),390.13)</f>
        <v>390.13</v>
      </c>
      <c r="C958" s="1">
        <f>IFERROR(__xludf.DUMMYFUNCTION("""COMPUTED_VALUE"""),392.24)</f>
        <v>392.24</v>
      </c>
      <c r="D958" s="1">
        <f>IFERROR(__xludf.DUMMYFUNCTION("""COMPUTED_VALUE"""),387.4)</f>
        <v>387.4</v>
      </c>
      <c r="E958" s="1">
        <f>IFERROR(__xludf.DUMMYFUNCTION("""COMPUTED_VALUE"""),390.58)</f>
        <v>390.58</v>
      </c>
      <c r="F958" s="1">
        <f>IFERROR(__xludf.DUMMYFUNCTION("""COMPUTED_VALUE"""),1.3766761E7)</f>
        <v>13766761</v>
      </c>
    </row>
    <row r="959">
      <c r="A959" s="2">
        <f>IFERROR(__xludf.DUMMYFUNCTION("""COMPUTED_VALUE"""),45744.66666666667)</f>
        <v>45744.66667</v>
      </c>
      <c r="B959" s="1">
        <f>IFERROR(__xludf.DUMMYFUNCTION("""COMPUTED_VALUE"""),388.08)</f>
        <v>388.08</v>
      </c>
      <c r="C959" s="1">
        <f>IFERROR(__xludf.DUMMYFUNCTION("""COMPUTED_VALUE"""),389.13)</f>
        <v>389.13</v>
      </c>
      <c r="D959" s="1">
        <f>IFERROR(__xludf.DUMMYFUNCTION("""COMPUTED_VALUE"""),376.93)</f>
        <v>376.93</v>
      </c>
      <c r="E959" s="1">
        <f>IFERROR(__xludf.DUMMYFUNCTION("""COMPUTED_VALUE"""),378.8)</f>
        <v>378.8</v>
      </c>
      <c r="F959" s="1">
        <f>IFERROR(__xludf.DUMMYFUNCTION("""COMPUTED_VALUE"""),2.1632016E7)</f>
        <v>21632016</v>
      </c>
    </row>
    <row r="960">
      <c r="A960" s="2">
        <f>IFERROR(__xludf.DUMMYFUNCTION("""COMPUTED_VALUE"""),45747.66666666667)</f>
        <v>45747.66667</v>
      </c>
      <c r="B960" s="1">
        <f>IFERROR(__xludf.DUMMYFUNCTION("""COMPUTED_VALUE"""),372.54)</f>
        <v>372.54</v>
      </c>
      <c r="C960" s="1">
        <f>IFERROR(__xludf.DUMMYFUNCTION("""COMPUTED_VALUE"""),377.07)</f>
        <v>377.07</v>
      </c>
      <c r="D960" s="1">
        <f>IFERROR(__xludf.DUMMYFUNCTION("""COMPUTED_VALUE"""),367.24)</f>
        <v>367.24</v>
      </c>
      <c r="E960" s="1">
        <f>IFERROR(__xludf.DUMMYFUNCTION("""COMPUTED_VALUE"""),375.39)</f>
        <v>375.39</v>
      </c>
      <c r="F960" s="1">
        <f>IFERROR(__xludf.DUMMYFUNCTION("""COMPUTED_VALUE"""),3.5184676E7)</f>
        <v>35184676</v>
      </c>
    </row>
    <row r="961">
      <c r="A961" s="2">
        <f>IFERROR(__xludf.DUMMYFUNCTION("""COMPUTED_VALUE"""),45748.66666666667)</f>
        <v>45748.66667</v>
      </c>
      <c r="B961" s="1">
        <f>IFERROR(__xludf.DUMMYFUNCTION("""COMPUTED_VALUE"""),374.65)</f>
        <v>374.65</v>
      </c>
      <c r="C961" s="1">
        <f>IFERROR(__xludf.DUMMYFUNCTION("""COMPUTED_VALUE"""),382.85)</f>
        <v>382.85</v>
      </c>
      <c r="D961" s="1">
        <f>IFERROR(__xludf.DUMMYFUNCTION("""COMPUTED_VALUE"""),373.23)</f>
        <v>373.23</v>
      </c>
      <c r="E961" s="1">
        <f>IFERROR(__xludf.DUMMYFUNCTION("""COMPUTED_VALUE"""),382.19)</f>
        <v>382.19</v>
      </c>
      <c r="F961" s="1">
        <f>IFERROR(__xludf.DUMMYFUNCTION("""COMPUTED_VALUE"""),1.9689503E7)</f>
        <v>19689503</v>
      </c>
    </row>
    <row r="962">
      <c r="A962" s="2">
        <f>IFERROR(__xludf.DUMMYFUNCTION("""COMPUTED_VALUE"""),45749.66666666667)</f>
        <v>45749.66667</v>
      </c>
      <c r="B962" s="1">
        <f>IFERROR(__xludf.DUMMYFUNCTION("""COMPUTED_VALUE"""),377.97)</f>
        <v>377.97</v>
      </c>
      <c r="C962" s="1">
        <f>IFERROR(__xludf.DUMMYFUNCTION("""COMPUTED_VALUE"""),385.08)</f>
        <v>385.08</v>
      </c>
      <c r="D962" s="1">
        <f>IFERROR(__xludf.DUMMYFUNCTION("""COMPUTED_VALUE"""),376.62)</f>
        <v>376.62</v>
      </c>
      <c r="E962" s="1">
        <f>IFERROR(__xludf.DUMMYFUNCTION("""COMPUTED_VALUE"""),382.14)</f>
        <v>382.14</v>
      </c>
      <c r="F962" s="1">
        <f>IFERROR(__xludf.DUMMYFUNCTION("""COMPUTED_VALUE"""),1.6092555E7)</f>
        <v>16092555</v>
      </c>
    </row>
    <row r="963">
      <c r="A963" s="2">
        <f>IFERROR(__xludf.DUMMYFUNCTION("""COMPUTED_VALUE"""),45750.66666666667)</f>
        <v>45750.66667</v>
      </c>
      <c r="B963" s="1">
        <f>IFERROR(__xludf.DUMMYFUNCTION("""COMPUTED_VALUE"""),374.79)</f>
        <v>374.79</v>
      </c>
      <c r="C963" s="1">
        <f>IFERROR(__xludf.DUMMYFUNCTION("""COMPUTED_VALUE"""),377.48)</f>
        <v>377.48</v>
      </c>
      <c r="D963" s="1">
        <f>IFERROR(__xludf.DUMMYFUNCTION("""COMPUTED_VALUE"""),369.35)</f>
        <v>369.35</v>
      </c>
      <c r="E963" s="1">
        <f>IFERROR(__xludf.DUMMYFUNCTION("""COMPUTED_VALUE"""),373.11)</f>
        <v>373.11</v>
      </c>
      <c r="F963" s="1">
        <f>IFERROR(__xludf.DUMMYFUNCTION("""COMPUTED_VALUE"""),3.0197997E7)</f>
        <v>30197997</v>
      </c>
    </row>
    <row r="964">
      <c r="A964" s="2">
        <f>IFERROR(__xludf.DUMMYFUNCTION("""COMPUTED_VALUE"""),45751.66666666667)</f>
        <v>45751.66667</v>
      </c>
      <c r="B964" s="1">
        <f>IFERROR(__xludf.DUMMYFUNCTION("""COMPUTED_VALUE"""),364.13)</f>
        <v>364.13</v>
      </c>
      <c r="C964" s="1">
        <f>IFERROR(__xludf.DUMMYFUNCTION("""COMPUTED_VALUE"""),374.59)</f>
        <v>374.59</v>
      </c>
      <c r="D964" s="1">
        <f>IFERROR(__xludf.DUMMYFUNCTION("""COMPUTED_VALUE"""),359.48)</f>
        <v>359.48</v>
      </c>
      <c r="E964" s="1">
        <f>IFERROR(__xludf.DUMMYFUNCTION("""COMPUTED_VALUE"""),359.84)</f>
        <v>359.84</v>
      </c>
      <c r="F964" s="1">
        <f>IFERROR(__xludf.DUMMYFUNCTION("""COMPUTED_VALUE"""),4.9209854E7)</f>
        <v>49209854</v>
      </c>
    </row>
    <row r="965">
      <c r="A965" s="2">
        <f>IFERROR(__xludf.DUMMYFUNCTION("""COMPUTED_VALUE"""),45754.66666666667)</f>
        <v>45754.66667</v>
      </c>
      <c r="B965" s="1">
        <f>IFERROR(__xludf.DUMMYFUNCTION("""COMPUTED_VALUE"""),350.88)</f>
        <v>350.88</v>
      </c>
      <c r="C965" s="1">
        <f>IFERROR(__xludf.DUMMYFUNCTION("""COMPUTED_VALUE"""),371.0)</f>
        <v>371</v>
      </c>
      <c r="D965" s="1">
        <f>IFERROR(__xludf.DUMMYFUNCTION("""COMPUTED_VALUE"""),344.79)</f>
        <v>344.79</v>
      </c>
      <c r="E965" s="1">
        <f>IFERROR(__xludf.DUMMYFUNCTION("""COMPUTED_VALUE"""),357.86)</f>
        <v>357.86</v>
      </c>
      <c r="F965" s="1">
        <f>IFERROR(__xludf.DUMMYFUNCTION("""COMPUTED_VALUE"""),5.0424998E7)</f>
        <v>50424998</v>
      </c>
    </row>
    <row r="966">
      <c r="A966" s="2">
        <f>IFERROR(__xludf.DUMMYFUNCTION("""COMPUTED_VALUE"""),45755.66666666667)</f>
        <v>45755.66667</v>
      </c>
      <c r="B966" s="1">
        <f>IFERROR(__xludf.DUMMYFUNCTION("""COMPUTED_VALUE"""),368.26)</f>
        <v>368.26</v>
      </c>
      <c r="C966" s="1">
        <f>IFERROR(__xludf.DUMMYFUNCTION("""COMPUTED_VALUE"""),373.65)</f>
        <v>373.65</v>
      </c>
      <c r="D966" s="1">
        <f>IFERROR(__xludf.DUMMYFUNCTION("""COMPUTED_VALUE"""),350.25)</f>
        <v>350.25</v>
      </c>
      <c r="E966" s="1">
        <f>IFERROR(__xludf.DUMMYFUNCTION("""COMPUTED_VALUE"""),354.56)</f>
        <v>354.56</v>
      </c>
      <c r="F966" s="1">
        <f>IFERROR(__xludf.DUMMYFUNCTION("""COMPUTED_VALUE"""),3.5868918E7)</f>
        <v>35868918</v>
      </c>
    </row>
    <row r="967">
      <c r="A967" s="2">
        <f>IFERROR(__xludf.DUMMYFUNCTION("""COMPUTED_VALUE"""),45756.66666666667)</f>
        <v>45756.66667</v>
      </c>
      <c r="B967" s="1">
        <f>IFERROR(__xludf.DUMMYFUNCTION("""COMPUTED_VALUE"""),353.54)</f>
        <v>353.54</v>
      </c>
      <c r="C967" s="1">
        <f>IFERROR(__xludf.DUMMYFUNCTION("""COMPUTED_VALUE"""),393.23)</f>
        <v>393.23</v>
      </c>
      <c r="D967" s="1">
        <f>IFERROR(__xludf.DUMMYFUNCTION("""COMPUTED_VALUE"""),353.1)</f>
        <v>353.1</v>
      </c>
      <c r="E967" s="1">
        <f>IFERROR(__xludf.DUMMYFUNCTION("""COMPUTED_VALUE"""),390.49)</f>
        <v>390.49</v>
      </c>
      <c r="F967" s="1">
        <f>IFERROR(__xludf.DUMMYFUNCTION("""COMPUTED_VALUE"""),5.0199696E7)</f>
        <v>50199696</v>
      </c>
    </row>
    <row r="968">
      <c r="A968" s="2">
        <f>IFERROR(__xludf.DUMMYFUNCTION("""COMPUTED_VALUE"""),45757.66666666667)</f>
        <v>45757.66667</v>
      </c>
      <c r="B968" s="1">
        <f>IFERROR(__xludf.DUMMYFUNCTION("""COMPUTED_VALUE"""),382.06)</f>
        <v>382.06</v>
      </c>
      <c r="C968" s="1">
        <f>IFERROR(__xludf.DUMMYFUNCTION("""COMPUTED_VALUE"""),383.9)</f>
        <v>383.9</v>
      </c>
      <c r="D968" s="1">
        <f>IFERROR(__xludf.DUMMYFUNCTION("""COMPUTED_VALUE"""),367.8)</f>
        <v>367.8</v>
      </c>
      <c r="E968" s="1">
        <f>IFERROR(__xludf.DUMMYFUNCTION("""COMPUTED_VALUE"""),381.35)</f>
        <v>381.35</v>
      </c>
      <c r="F968" s="1">
        <f>IFERROR(__xludf.DUMMYFUNCTION("""COMPUTED_VALUE"""),3.8024368E7)</f>
        <v>38024368</v>
      </c>
    </row>
    <row r="969">
      <c r="A969" s="2">
        <f>IFERROR(__xludf.DUMMYFUNCTION("""COMPUTED_VALUE"""),45758.66666666667)</f>
        <v>45758.66667</v>
      </c>
      <c r="B969" s="1">
        <f>IFERROR(__xludf.DUMMYFUNCTION("""COMPUTED_VALUE"""),380.64)</f>
        <v>380.64</v>
      </c>
      <c r="C969" s="1">
        <f>IFERROR(__xludf.DUMMYFUNCTION("""COMPUTED_VALUE"""),390.05)</f>
        <v>390.05</v>
      </c>
      <c r="D969" s="1">
        <f>IFERROR(__xludf.DUMMYFUNCTION("""COMPUTED_VALUE"""),378.89)</f>
        <v>378.89</v>
      </c>
      <c r="E969" s="1">
        <f>IFERROR(__xludf.DUMMYFUNCTION("""COMPUTED_VALUE"""),388.45)</f>
        <v>388.45</v>
      </c>
      <c r="F969" s="1">
        <f>IFERROR(__xludf.DUMMYFUNCTION("""COMPUTED_VALUE"""),2.383922E7)</f>
        <v>23839220</v>
      </c>
    </row>
    <row r="970">
      <c r="A970" s="2">
        <f>IFERROR(__xludf.DUMMYFUNCTION("""COMPUTED_VALUE"""),45761.66666666667)</f>
        <v>45761.66667</v>
      </c>
      <c r="B970" s="1">
        <f>IFERROR(__xludf.DUMMYFUNCTION("""COMPUTED_VALUE"""),393.22)</f>
        <v>393.22</v>
      </c>
      <c r="C970" s="1">
        <f>IFERROR(__xludf.DUMMYFUNCTION("""COMPUTED_VALUE"""),394.65)</f>
        <v>394.65</v>
      </c>
      <c r="D970" s="1">
        <f>IFERROR(__xludf.DUMMYFUNCTION("""COMPUTED_VALUE"""),384.21)</f>
        <v>384.21</v>
      </c>
      <c r="E970" s="1">
        <f>IFERROR(__xludf.DUMMYFUNCTION("""COMPUTED_VALUE"""),387.81)</f>
        <v>387.81</v>
      </c>
      <c r="F970" s="1">
        <f>IFERROR(__xludf.DUMMYFUNCTION("""COMPUTED_VALUE"""),1.9251172E7)</f>
        <v>19251172</v>
      </c>
    </row>
    <row r="971">
      <c r="A971" s="2">
        <f>IFERROR(__xludf.DUMMYFUNCTION("""COMPUTED_VALUE"""),45762.66666666667)</f>
        <v>45762.66667</v>
      </c>
      <c r="B971" s="1">
        <f>IFERROR(__xludf.DUMMYFUNCTION("""COMPUTED_VALUE"""),388.51)</f>
        <v>388.51</v>
      </c>
      <c r="C971" s="1">
        <f>IFERROR(__xludf.DUMMYFUNCTION("""COMPUTED_VALUE"""),391.89)</f>
        <v>391.89</v>
      </c>
      <c r="D971" s="1">
        <f>IFERROR(__xludf.DUMMYFUNCTION("""COMPUTED_VALUE"""),384.16)</f>
        <v>384.16</v>
      </c>
      <c r="E971" s="1">
        <f>IFERROR(__xludf.DUMMYFUNCTION("""COMPUTED_VALUE"""),385.73)</f>
        <v>385.73</v>
      </c>
      <c r="F971" s="1">
        <f>IFERROR(__xludf.DUMMYFUNCTION("""COMPUTED_VALUE"""),1.719989E7)</f>
        <v>17199890</v>
      </c>
    </row>
    <row r="972">
      <c r="A972" s="2">
        <f>IFERROR(__xludf.DUMMYFUNCTION("""COMPUTED_VALUE"""),45763.66666666667)</f>
        <v>45763.66667</v>
      </c>
      <c r="B972" s="1">
        <f>IFERROR(__xludf.DUMMYFUNCTION("""COMPUTED_VALUE"""),380.67)</f>
        <v>380.67</v>
      </c>
      <c r="C972" s="1">
        <f>IFERROR(__xludf.DUMMYFUNCTION("""COMPUTED_VALUE"""),381.61)</f>
        <v>381.61</v>
      </c>
      <c r="D972" s="1">
        <f>IFERROR(__xludf.DUMMYFUNCTION("""COMPUTED_VALUE"""),368.0)</f>
        <v>368</v>
      </c>
      <c r="E972" s="1">
        <f>IFERROR(__xludf.DUMMYFUNCTION("""COMPUTED_VALUE"""),371.61)</f>
        <v>371.61</v>
      </c>
      <c r="F972" s="1">
        <f>IFERROR(__xludf.DUMMYFUNCTION("""COMPUTED_VALUE"""),2.1967826E7)</f>
        <v>21967826</v>
      </c>
    </row>
    <row r="973">
      <c r="A973" s="2">
        <f>IFERROR(__xludf.DUMMYFUNCTION("""COMPUTED_VALUE"""),45764.66666666667)</f>
        <v>45764.66667</v>
      </c>
      <c r="B973" s="1">
        <f>IFERROR(__xludf.DUMMYFUNCTION("""COMPUTED_VALUE"""),373.75)</f>
        <v>373.75</v>
      </c>
      <c r="C973" s="1">
        <f>IFERROR(__xludf.DUMMYFUNCTION("""COMPUTED_VALUE"""),374.32)</f>
        <v>374.32</v>
      </c>
      <c r="D973" s="1">
        <f>IFERROR(__xludf.DUMMYFUNCTION("""COMPUTED_VALUE"""),366.89)</f>
        <v>366.89</v>
      </c>
      <c r="E973" s="1">
        <f>IFERROR(__xludf.DUMMYFUNCTION("""COMPUTED_VALUE"""),367.78)</f>
        <v>367.78</v>
      </c>
      <c r="F973" s="1">
        <f>IFERROR(__xludf.DUMMYFUNCTION("""COMPUTED_VALUE"""),2.1120192E7)</f>
        <v>21120192</v>
      </c>
    </row>
    <row r="974">
      <c r="A974" s="2">
        <f>IFERROR(__xludf.DUMMYFUNCTION("""COMPUTED_VALUE"""),45768.66666666667)</f>
        <v>45768.66667</v>
      </c>
      <c r="B974" s="1">
        <f>IFERROR(__xludf.DUMMYFUNCTION("""COMPUTED_VALUE"""),362.82)</f>
        <v>362.82</v>
      </c>
      <c r="C974" s="1">
        <f>IFERROR(__xludf.DUMMYFUNCTION("""COMPUTED_VALUE"""),364.48)</f>
        <v>364.48</v>
      </c>
      <c r="D974" s="1">
        <f>IFERROR(__xludf.DUMMYFUNCTION("""COMPUTED_VALUE"""),355.67)</f>
        <v>355.67</v>
      </c>
      <c r="E974" s="1">
        <f>IFERROR(__xludf.DUMMYFUNCTION("""COMPUTED_VALUE"""),359.12)</f>
        <v>359.12</v>
      </c>
      <c r="F974" s="1">
        <f>IFERROR(__xludf.DUMMYFUNCTION("""COMPUTED_VALUE"""),2.0807279E7)</f>
        <v>20807279</v>
      </c>
    </row>
    <row r="975">
      <c r="A975" s="2">
        <f>IFERROR(__xludf.DUMMYFUNCTION("""COMPUTED_VALUE"""),45769.66666666667)</f>
        <v>45769.66667</v>
      </c>
      <c r="B975" s="1">
        <f>IFERROR(__xludf.DUMMYFUNCTION("""COMPUTED_VALUE"""),363.38)</f>
        <v>363.38</v>
      </c>
      <c r="C975" s="1">
        <f>IFERROR(__xludf.DUMMYFUNCTION("""COMPUTED_VALUE"""),367.77)</f>
        <v>367.77</v>
      </c>
      <c r="D975" s="1">
        <f>IFERROR(__xludf.DUMMYFUNCTION("""COMPUTED_VALUE"""),359.86)</f>
        <v>359.86</v>
      </c>
      <c r="E975" s="1">
        <f>IFERROR(__xludf.DUMMYFUNCTION("""COMPUTED_VALUE"""),366.82)</f>
        <v>366.82</v>
      </c>
      <c r="F975" s="1">
        <f>IFERROR(__xludf.DUMMYFUNCTION("""COMPUTED_VALUE"""),1.9484993E7)</f>
        <v>19484993</v>
      </c>
    </row>
    <row r="976">
      <c r="A976" s="2">
        <f>IFERROR(__xludf.DUMMYFUNCTION("""COMPUTED_VALUE"""),45770.66666666667)</f>
        <v>45770.66667</v>
      </c>
      <c r="B976" s="1">
        <f>IFERROR(__xludf.DUMMYFUNCTION("""COMPUTED_VALUE"""),376.06)</f>
        <v>376.06</v>
      </c>
      <c r="C976" s="1">
        <f>IFERROR(__xludf.DUMMYFUNCTION("""COMPUTED_VALUE"""),380.39)</f>
        <v>380.39</v>
      </c>
      <c r="D976" s="1">
        <f>IFERROR(__xludf.DUMMYFUNCTION("""COMPUTED_VALUE"""),373.02)</f>
        <v>373.02</v>
      </c>
      <c r="E976" s="1">
        <f>IFERROR(__xludf.DUMMYFUNCTION("""COMPUTED_VALUE"""),374.39)</f>
        <v>374.39</v>
      </c>
      <c r="F976" s="1">
        <f>IFERROR(__xludf.DUMMYFUNCTION("""COMPUTED_VALUE"""),2.0545526E7)</f>
        <v>20545526</v>
      </c>
    </row>
    <row r="977">
      <c r="A977" s="2">
        <f>IFERROR(__xludf.DUMMYFUNCTION("""COMPUTED_VALUE"""),45771.66666666667)</f>
        <v>45771.66667</v>
      </c>
      <c r="B977" s="1">
        <f>IFERROR(__xludf.DUMMYFUNCTION("""COMPUTED_VALUE"""),375.7)</f>
        <v>375.7</v>
      </c>
      <c r="C977" s="1">
        <f>IFERROR(__xludf.DUMMYFUNCTION("""COMPUTED_VALUE"""),388.45)</f>
        <v>388.45</v>
      </c>
      <c r="D977" s="1">
        <f>IFERROR(__xludf.DUMMYFUNCTION("""COMPUTED_VALUE"""),375.19)</f>
        <v>375.19</v>
      </c>
      <c r="E977" s="1">
        <f>IFERROR(__xludf.DUMMYFUNCTION("""COMPUTED_VALUE"""),387.3)</f>
        <v>387.3</v>
      </c>
      <c r="F977" s="1">
        <f>IFERROR(__xludf.DUMMYFUNCTION("""COMPUTED_VALUE"""),2.2232289E7)</f>
        <v>22232289</v>
      </c>
    </row>
    <row r="978">
      <c r="A978" s="2">
        <f>IFERROR(__xludf.DUMMYFUNCTION("""COMPUTED_VALUE"""),45772.66666666667)</f>
        <v>45772.66667</v>
      </c>
      <c r="B978" s="1">
        <f>IFERROR(__xludf.DUMMYFUNCTION("""COMPUTED_VALUE"""),387.0)</f>
        <v>387</v>
      </c>
      <c r="C978" s="1">
        <f>IFERROR(__xludf.DUMMYFUNCTION("""COMPUTED_VALUE"""),392.16)</f>
        <v>392.16</v>
      </c>
      <c r="D978" s="1">
        <f>IFERROR(__xludf.DUMMYFUNCTION("""COMPUTED_VALUE"""),384.6)</f>
        <v>384.6</v>
      </c>
      <c r="E978" s="1">
        <f>IFERROR(__xludf.DUMMYFUNCTION("""COMPUTED_VALUE"""),391.85)</f>
        <v>391.85</v>
      </c>
      <c r="F978" s="1">
        <f>IFERROR(__xludf.DUMMYFUNCTION("""COMPUTED_VALUE"""),1.8973165E7)</f>
        <v>18973165</v>
      </c>
    </row>
    <row r="979">
      <c r="A979" s="2">
        <f>IFERROR(__xludf.DUMMYFUNCTION("""COMPUTED_VALUE"""),45775.66666666667)</f>
        <v>45775.66667</v>
      </c>
      <c r="B979" s="1">
        <f>IFERROR(__xludf.DUMMYFUNCTION("""COMPUTED_VALUE"""),391.96)</f>
        <v>391.96</v>
      </c>
      <c r="C979" s="1">
        <f>IFERROR(__xludf.DUMMYFUNCTION("""COMPUTED_VALUE"""),392.74)</f>
        <v>392.74</v>
      </c>
      <c r="D979" s="1">
        <f>IFERROR(__xludf.DUMMYFUNCTION("""COMPUTED_VALUE"""),386.64)</f>
        <v>386.64</v>
      </c>
      <c r="E979" s="1">
        <f>IFERROR(__xludf.DUMMYFUNCTION("""COMPUTED_VALUE"""),391.16)</f>
        <v>391.16</v>
      </c>
      <c r="F979" s="1">
        <f>IFERROR(__xludf.DUMMYFUNCTION("""COMPUTED_VALUE"""),1.657943E7)</f>
        <v>16579430</v>
      </c>
    </row>
    <row r="980">
      <c r="A980" s="2">
        <f>IFERROR(__xludf.DUMMYFUNCTION("""COMPUTED_VALUE"""),45776.66666666667)</f>
        <v>45776.66667</v>
      </c>
      <c r="B980" s="1">
        <f>IFERROR(__xludf.DUMMYFUNCTION("""COMPUTED_VALUE"""),391.3)</f>
        <v>391.3</v>
      </c>
      <c r="C980" s="1">
        <f>IFERROR(__xludf.DUMMYFUNCTION("""COMPUTED_VALUE"""),395.1)</f>
        <v>395.1</v>
      </c>
      <c r="D980" s="1">
        <f>IFERROR(__xludf.DUMMYFUNCTION("""COMPUTED_VALUE"""),390.38)</f>
        <v>390.38</v>
      </c>
      <c r="E980" s="1">
        <f>IFERROR(__xludf.DUMMYFUNCTION("""COMPUTED_VALUE"""),394.04)</f>
        <v>394.04</v>
      </c>
      <c r="F980" s="1">
        <f>IFERROR(__xludf.DUMMYFUNCTION("""COMPUTED_VALUE"""),1.4973976E7)</f>
        <v>14973976</v>
      </c>
    </row>
    <row r="981">
      <c r="A981" s="2">
        <f>IFERROR(__xludf.DUMMYFUNCTION("""COMPUTED_VALUE"""),45777.66666666667)</f>
        <v>45777.66667</v>
      </c>
      <c r="B981" s="1">
        <f>IFERROR(__xludf.DUMMYFUNCTION("""COMPUTED_VALUE"""),390.3)</f>
        <v>390.3</v>
      </c>
      <c r="C981" s="1">
        <f>IFERROR(__xludf.DUMMYFUNCTION("""COMPUTED_VALUE"""),396.66)</f>
        <v>396.66</v>
      </c>
      <c r="D981" s="1">
        <f>IFERROR(__xludf.DUMMYFUNCTION("""COMPUTED_VALUE"""),384.44)</f>
        <v>384.44</v>
      </c>
      <c r="E981" s="1">
        <f>IFERROR(__xludf.DUMMYFUNCTION("""COMPUTED_VALUE"""),395.26)</f>
        <v>395.26</v>
      </c>
      <c r="F981" s="1">
        <f>IFERROR(__xludf.DUMMYFUNCTION("""COMPUTED_VALUE"""),3.6461075E7)</f>
        <v>36461075</v>
      </c>
    </row>
    <row r="982">
      <c r="A982" s="2">
        <f>IFERROR(__xludf.DUMMYFUNCTION("""COMPUTED_VALUE"""),45778.66666666667)</f>
        <v>45778.66667</v>
      </c>
      <c r="B982" s="1">
        <f>IFERROR(__xludf.DUMMYFUNCTION("""COMPUTED_VALUE"""),431.11)</f>
        <v>431.11</v>
      </c>
      <c r="C982" s="1">
        <f>IFERROR(__xludf.DUMMYFUNCTION("""COMPUTED_VALUE"""),436.99)</f>
        <v>436.99</v>
      </c>
      <c r="D982" s="1">
        <f>IFERROR(__xludf.DUMMYFUNCTION("""COMPUTED_VALUE"""),424.9)</f>
        <v>424.9</v>
      </c>
      <c r="E982" s="1">
        <f>IFERROR(__xludf.DUMMYFUNCTION("""COMPUTED_VALUE"""),425.4)</f>
        <v>425.4</v>
      </c>
      <c r="F982" s="1">
        <f>IFERROR(__xludf.DUMMYFUNCTION("""COMPUTED_VALUE"""),5.89381E7)</f>
        <v>58938100</v>
      </c>
    </row>
    <row r="983">
      <c r="A983" s="2">
        <f>IFERROR(__xludf.DUMMYFUNCTION("""COMPUTED_VALUE"""),45779.66666666667)</f>
        <v>45779.66667</v>
      </c>
      <c r="B983" s="1">
        <f>IFERROR(__xludf.DUMMYFUNCTION("""COMPUTED_VALUE"""),431.74)</f>
        <v>431.74</v>
      </c>
      <c r="C983" s="1">
        <f>IFERROR(__xludf.DUMMYFUNCTION("""COMPUTED_VALUE"""),439.44)</f>
        <v>439.44</v>
      </c>
      <c r="D983" s="1">
        <f>IFERROR(__xludf.DUMMYFUNCTION("""COMPUTED_VALUE"""),429.99)</f>
        <v>429.99</v>
      </c>
      <c r="E983" s="1">
        <f>IFERROR(__xludf.DUMMYFUNCTION("""COMPUTED_VALUE"""),435.28)</f>
        <v>435.28</v>
      </c>
      <c r="F983" s="1">
        <f>IFERROR(__xludf.DUMMYFUNCTION("""COMPUTED_VALUE"""),3.0757434E7)</f>
        <v>30757434</v>
      </c>
    </row>
    <row r="984">
      <c r="A984" s="2">
        <f>IFERROR(__xludf.DUMMYFUNCTION("""COMPUTED_VALUE"""),45782.66666666667)</f>
        <v>45782.66667</v>
      </c>
      <c r="B984" s="1">
        <f>IFERROR(__xludf.DUMMYFUNCTION("""COMPUTED_VALUE"""),432.87)</f>
        <v>432.87</v>
      </c>
      <c r="C984" s="1">
        <f>IFERROR(__xludf.DUMMYFUNCTION("""COMPUTED_VALUE"""),439.5)</f>
        <v>439.5</v>
      </c>
      <c r="D984" s="1">
        <f>IFERROR(__xludf.DUMMYFUNCTION("""COMPUTED_VALUE"""),432.11)</f>
        <v>432.11</v>
      </c>
      <c r="E984" s="1">
        <f>IFERROR(__xludf.DUMMYFUNCTION("""COMPUTED_VALUE"""),436.17)</f>
        <v>436.17</v>
      </c>
      <c r="F984" s="1">
        <f>IFERROR(__xludf.DUMMYFUNCTION("""COMPUTED_VALUE"""),2.0136053E7)</f>
        <v>20136053</v>
      </c>
    </row>
    <row r="985">
      <c r="A985" s="2">
        <f>IFERROR(__xludf.DUMMYFUNCTION("""COMPUTED_VALUE"""),45783.66666666667)</f>
        <v>45783.66667</v>
      </c>
      <c r="B985" s="1">
        <f>IFERROR(__xludf.DUMMYFUNCTION("""COMPUTED_VALUE"""),432.2)</f>
        <v>432.2</v>
      </c>
      <c r="C985" s="1">
        <f>IFERROR(__xludf.DUMMYFUNCTION("""COMPUTED_VALUE"""),437.73)</f>
        <v>437.73</v>
      </c>
      <c r="D985" s="1">
        <f>IFERROR(__xludf.DUMMYFUNCTION("""COMPUTED_VALUE"""),431.17)</f>
        <v>431.17</v>
      </c>
      <c r="E985" s="1">
        <f>IFERROR(__xludf.DUMMYFUNCTION("""COMPUTED_VALUE"""),433.31)</f>
        <v>433.31</v>
      </c>
      <c r="F985" s="1">
        <f>IFERROR(__xludf.DUMMYFUNCTION("""COMPUTED_VALUE"""),1.5104204E7)</f>
        <v>15104204</v>
      </c>
    </row>
    <row r="986">
      <c r="A986" s="2">
        <f>IFERROR(__xludf.DUMMYFUNCTION("""COMPUTED_VALUE"""),45784.66666666667)</f>
        <v>45784.66667</v>
      </c>
      <c r="B986" s="1">
        <f>IFERROR(__xludf.DUMMYFUNCTION("""COMPUTED_VALUE"""),433.84)</f>
        <v>433.84</v>
      </c>
      <c r="C986" s="1">
        <f>IFERROR(__xludf.DUMMYFUNCTION("""COMPUTED_VALUE"""),438.12)</f>
        <v>438.12</v>
      </c>
      <c r="D986" s="1">
        <f>IFERROR(__xludf.DUMMYFUNCTION("""COMPUTED_VALUE"""),431.11)</f>
        <v>431.11</v>
      </c>
      <c r="E986" s="1">
        <f>IFERROR(__xludf.DUMMYFUNCTION("""COMPUTED_VALUE"""),433.35)</f>
        <v>433.35</v>
      </c>
      <c r="F986" s="1">
        <f>IFERROR(__xludf.DUMMYFUNCTION("""COMPUTED_VALUE"""),2.3307241E7)</f>
        <v>23307241</v>
      </c>
    </row>
    <row r="987">
      <c r="A987" s="2">
        <f>IFERROR(__xludf.DUMMYFUNCTION("""COMPUTED_VALUE"""),45785.66666666667)</f>
        <v>45785.66667</v>
      </c>
      <c r="B987" s="1">
        <f>IFERROR(__xludf.DUMMYFUNCTION("""COMPUTED_VALUE"""),437.93)</f>
        <v>437.93</v>
      </c>
      <c r="C987" s="1">
        <f>IFERROR(__xludf.DUMMYFUNCTION("""COMPUTED_VALUE"""),443.67)</f>
        <v>443.67</v>
      </c>
      <c r="D987" s="1">
        <f>IFERROR(__xludf.DUMMYFUNCTION("""COMPUTED_VALUE"""),435.66)</f>
        <v>435.66</v>
      </c>
      <c r="E987" s="1">
        <f>IFERROR(__xludf.DUMMYFUNCTION("""COMPUTED_VALUE"""),438.17)</f>
        <v>438.17</v>
      </c>
      <c r="F987" s="1">
        <f>IFERROR(__xludf.DUMMYFUNCTION("""COMPUTED_VALUE"""),2.349133E7)</f>
        <v>23491330</v>
      </c>
    </row>
    <row r="988">
      <c r="A988" s="2">
        <f>IFERROR(__xludf.DUMMYFUNCTION("""COMPUTED_VALUE"""),45786.66666666667)</f>
        <v>45786.66667</v>
      </c>
      <c r="B988" s="1">
        <f>IFERROR(__xludf.DUMMYFUNCTION("""COMPUTED_VALUE"""),440.0)</f>
        <v>440</v>
      </c>
      <c r="C988" s="1">
        <f>IFERROR(__xludf.DUMMYFUNCTION("""COMPUTED_VALUE"""),440.74)</f>
        <v>440.74</v>
      </c>
      <c r="D988" s="1">
        <f>IFERROR(__xludf.DUMMYFUNCTION("""COMPUTED_VALUE"""),435.88)</f>
        <v>435.88</v>
      </c>
      <c r="E988" s="1">
        <f>IFERROR(__xludf.DUMMYFUNCTION("""COMPUTED_VALUE"""),438.73)</f>
        <v>438.73</v>
      </c>
      <c r="F988" s="1">
        <f>IFERROR(__xludf.DUMMYFUNCTION("""COMPUTED_VALUE"""),1.5324233E7)</f>
        <v>15324233</v>
      </c>
    </row>
    <row r="989">
      <c r="A989" s="2">
        <f>IFERROR(__xludf.DUMMYFUNCTION("""COMPUTED_VALUE"""),45789.66666666667)</f>
        <v>45789.66667</v>
      </c>
      <c r="B989" s="1">
        <f>IFERROR(__xludf.DUMMYFUNCTION("""COMPUTED_VALUE"""),445.94)</f>
        <v>445.94</v>
      </c>
      <c r="C989" s="1">
        <f>IFERROR(__xludf.DUMMYFUNCTION("""COMPUTED_VALUE"""),449.37)</f>
        <v>449.37</v>
      </c>
      <c r="D989" s="1">
        <f>IFERROR(__xludf.DUMMYFUNCTION("""COMPUTED_VALUE"""),439.78)</f>
        <v>439.78</v>
      </c>
      <c r="E989" s="1">
        <f>IFERROR(__xludf.DUMMYFUNCTION("""COMPUTED_VALUE"""),449.26)</f>
        <v>449.26</v>
      </c>
      <c r="F989" s="1">
        <f>IFERROR(__xludf.DUMMYFUNCTION("""COMPUTED_VALUE"""),2.2821935E7)</f>
        <v>22821935</v>
      </c>
    </row>
    <row r="990">
      <c r="A990" s="2">
        <f>IFERROR(__xludf.DUMMYFUNCTION("""COMPUTED_VALUE"""),45790.66666666667)</f>
        <v>45790.66667</v>
      </c>
      <c r="B990" s="1">
        <f>IFERROR(__xludf.DUMMYFUNCTION("""COMPUTED_VALUE"""),447.78)</f>
        <v>447.78</v>
      </c>
      <c r="C990" s="1">
        <f>IFERROR(__xludf.DUMMYFUNCTION("""COMPUTED_VALUE"""),450.67)</f>
        <v>450.67</v>
      </c>
      <c r="D990" s="1">
        <f>IFERROR(__xludf.DUMMYFUNCTION("""COMPUTED_VALUE"""),445.36)</f>
        <v>445.36</v>
      </c>
      <c r="E990" s="1">
        <f>IFERROR(__xludf.DUMMYFUNCTION("""COMPUTED_VALUE"""),449.14)</f>
        <v>449.14</v>
      </c>
      <c r="F990" s="1">
        <f>IFERROR(__xludf.DUMMYFUNCTION("""COMPUTED_VALUE"""),2.3618819E7)</f>
        <v>23618819</v>
      </c>
    </row>
    <row r="991">
      <c r="A991" s="2">
        <f>IFERROR(__xludf.DUMMYFUNCTION("""COMPUTED_VALUE"""),45791.66666666667)</f>
        <v>45791.66667</v>
      </c>
      <c r="B991" s="1">
        <f>IFERROR(__xludf.DUMMYFUNCTION("""COMPUTED_VALUE"""),448.14)</f>
        <v>448.14</v>
      </c>
      <c r="C991" s="1">
        <f>IFERROR(__xludf.DUMMYFUNCTION("""COMPUTED_VALUE"""),453.9)</f>
        <v>453.9</v>
      </c>
      <c r="D991" s="1">
        <f>IFERROR(__xludf.DUMMYFUNCTION("""COMPUTED_VALUE"""),448.14)</f>
        <v>448.14</v>
      </c>
      <c r="E991" s="1">
        <f>IFERROR(__xludf.DUMMYFUNCTION("""COMPUTED_VALUE"""),452.94)</f>
        <v>452.94</v>
      </c>
      <c r="F991" s="1">
        <f>IFERROR(__xludf.DUMMYFUNCTION("""COMPUTED_VALUE"""),1.9902796E7)</f>
        <v>19902796</v>
      </c>
    </row>
    <row r="992">
      <c r="A992" s="2">
        <f>IFERROR(__xludf.DUMMYFUNCTION("""COMPUTED_VALUE"""),45792.66666666667)</f>
        <v>45792.66667</v>
      </c>
      <c r="B992" s="1">
        <f>IFERROR(__xludf.DUMMYFUNCTION("""COMPUTED_VALUE"""),450.77)</f>
        <v>450.77</v>
      </c>
      <c r="C992" s="1">
        <f>IFERROR(__xludf.DUMMYFUNCTION("""COMPUTED_VALUE"""),456.19)</f>
        <v>456.19</v>
      </c>
      <c r="D992" s="1">
        <f>IFERROR(__xludf.DUMMYFUNCTION("""COMPUTED_VALUE"""),450.43)</f>
        <v>450.43</v>
      </c>
      <c r="E992" s="1">
        <f>IFERROR(__xludf.DUMMYFUNCTION("""COMPUTED_VALUE"""),453.13)</f>
        <v>453.13</v>
      </c>
      <c r="F992" s="1">
        <f>IFERROR(__xludf.DUMMYFUNCTION("""COMPUTED_VALUE"""),2.1992323E7)</f>
        <v>21992323</v>
      </c>
    </row>
    <row r="993">
      <c r="A993" s="2">
        <f>IFERROR(__xludf.DUMMYFUNCTION("""COMPUTED_VALUE"""),45793.66666666667)</f>
        <v>45793.66667</v>
      </c>
      <c r="B993" s="1">
        <f>IFERROR(__xludf.DUMMYFUNCTION("""COMPUTED_VALUE"""),452.05)</f>
        <v>452.05</v>
      </c>
      <c r="C993" s="1">
        <f>IFERROR(__xludf.DUMMYFUNCTION("""COMPUTED_VALUE"""),454.36)</f>
        <v>454.36</v>
      </c>
      <c r="D993" s="1">
        <f>IFERROR(__xludf.DUMMYFUNCTION("""COMPUTED_VALUE"""),448.73)</f>
        <v>448.73</v>
      </c>
      <c r="E993" s="1">
        <f>IFERROR(__xludf.DUMMYFUNCTION("""COMPUTED_VALUE"""),454.27)</f>
        <v>454.27</v>
      </c>
      <c r="F993" s="1">
        <f>IFERROR(__xludf.DUMMYFUNCTION("""COMPUTED_VALUE"""),2.3849781E7)</f>
        <v>23849781</v>
      </c>
    </row>
    <row r="994">
      <c r="A994" s="2">
        <f>IFERROR(__xludf.DUMMYFUNCTION("""COMPUTED_VALUE"""),45796.66666666667)</f>
        <v>45796.66667</v>
      </c>
      <c r="B994" s="1">
        <f>IFERROR(__xludf.DUMMYFUNCTION("""COMPUTED_VALUE"""),450.88)</f>
        <v>450.88</v>
      </c>
      <c r="C994" s="1">
        <f>IFERROR(__xludf.DUMMYFUNCTION("""COMPUTED_VALUE"""),459.59)</f>
        <v>459.59</v>
      </c>
      <c r="D994" s="1">
        <f>IFERROR(__xludf.DUMMYFUNCTION("""COMPUTED_VALUE"""),450.8)</f>
        <v>450.8</v>
      </c>
      <c r="E994" s="1">
        <f>IFERROR(__xludf.DUMMYFUNCTION("""COMPUTED_VALUE"""),458.87)</f>
        <v>458.87</v>
      </c>
      <c r="F994" s="1">
        <f>IFERROR(__xludf.DUMMYFUNCTION("""COMPUTED_VALUE"""),2.1336509E7)</f>
        <v>21336509</v>
      </c>
    </row>
    <row r="995">
      <c r="A995" s="2">
        <f>IFERROR(__xludf.DUMMYFUNCTION("""COMPUTED_VALUE"""),45797.66666666667)</f>
        <v>45797.66667</v>
      </c>
      <c r="B995" s="1">
        <f>IFERROR(__xludf.DUMMYFUNCTION("""COMPUTED_VALUE"""),455.59)</f>
        <v>455.59</v>
      </c>
      <c r="C995" s="1">
        <f>IFERROR(__xludf.DUMMYFUNCTION("""COMPUTED_VALUE"""),458.34)</f>
        <v>458.34</v>
      </c>
      <c r="D995" s="1">
        <f>IFERROR(__xludf.DUMMYFUNCTION("""COMPUTED_VALUE"""),454.32)</f>
        <v>454.32</v>
      </c>
      <c r="E995" s="1">
        <f>IFERROR(__xludf.DUMMYFUNCTION("""COMPUTED_VALUE"""),458.17)</f>
        <v>458.17</v>
      </c>
      <c r="F995" s="1">
        <f>IFERROR(__xludf.DUMMYFUNCTION("""COMPUTED_VALUE"""),1.5441808E7)</f>
        <v>15441808</v>
      </c>
    </row>
    <row r="996">
      <c r="A996" s="2">
        <f>IFERROR(__xludf.DUMMYFUNCTION("""COMPUTED_VALUE"""),45798.66666666667)</f>
        <v>45798.66667</v>
      </c>
      <c r="B996" s="1">
        <f>IFERROR(__xludf.DUMMYFUNCTION("""COMPUTED_VALUE"""),454.57)</f>
        <v>454.57</v>
      </c>
      <c r="C996" s="1">
        <f>IFERROR(__xludf.DUMMYFUNCTION("""COMPUTED_VALUE"""),457.78)</f>
        <v>457.78</v>
      </c>
      <c r="D996" s="1">
        <f>IFERROR(__xludf.DUMMYFUNCTION("""COMPUTED_VALUE"""),451.81)</f>
        <v>451.81</v>
      </c>
      <c r="E996" s="1">
        <f>IFERROR(__xludf.DUMMYFUNCTION("""COMPUTED_VALUE"""),452.57)</f>
        <v>452.57</v>
      </c>
      <c r="F996" s="1">
        <f>IFERROR(__xludf.DUMMYFUNCTION("""COMPUTED_VALUE"""),1.9216906E7)</f>
        <v>19216906</v>
      </c>
    </row>
    <row r="997">
      <c r="A997" s="2">
        <f>IFERROR(__xludf.DUMMYFUNCTION("""COMPUTED_VALUE"""),45799.66666666667)</f>
        <v>45799.66667</v>
      </c>
      <c r="B997" s="1">
        <f>IFERROR(__xludf.DUMMYFUNCTION("""COMPUTED_VALUE"""),454.95)</f>
        <v>454.95</v>
      </c>
      <c r="C997" s="1">
        <f>IFERROR(__xludf.DUMMYFUNCTION("""COMPUTED_VALUE"""),460.25)</f>
        <v>460.25</v>
      </c>
      <c r="D997" s="1">
        <f>IFERROR(__xludf.DUMMYFUNCTION("""COMPUTED_VALUE"""),453.9)</f>
        <v>453.9</v>
      </c>
      <c r="E997" s="1">
        <f>IFERROR(__xludf.DUMMYFUNCTION("""COMPUTED_VALUE"""),454.86)</f>
        <v>454.86</v>
      </c>
      <c r="F997" s="1">
        <f>IFERROR(__xludf.DUMMYFUNCTION("""COMPUTED_VALUE"""),1.8025612E7)</f>
        <v>18025612</v>
      </c>
    </row>
    <row r="998">
      <c r="A998" s="2">
        <f>IFERROR(__xludf.DUMMYFUNCTION("""COMPUTED_VALUE"""),45800.66666666667)</f>
        <v>45800.66667</v>
      </c>
      <c r="B998" s="1">
        <f>IFERROR(__xludf.DUMMYFUNCTION("""COMPUTED_VALUE"""),449.98)</f>
        <v>449.98</v>
      </c>
      <c r="C998" s="1">
        <f>IFERROR(__xludf.DUMMYFUNCTION("""COMPUTED_VALUE"""),453.69)</f>
        <v>453.69</v>
      </c>
      <c r="D998" s="1">
        <f>IFERROR(__xludf.DUMMYFUNCTION("""COMPUTED_VALUE"""),448.91)</f>
        <v>448.91</v>
      </c>
      <c r="E998" s="1">
        <f>IFERROR(__xludf.DUMMYFUNCTION("""COMPUTED_VALUE"""),450.18)</f>
        <v>450.18</v>
      </c>
      <c r="F998" s="1">
        <f>IFERROR(__xludf.DUMMYFUNCTION("""COMPUTED_VALUE"""),1.6883509E7)</f>
        <v>16883509</v>
      </c>
    </row>
    <row r="999">
      <c r="A999" s="2">
        <f>IFERROR(__xludf.DUMMYFUNCTION("""COMPUTED_VALUE"""),45804.66666666667)</f>
        <v>45804.66667</v>
      </c>
      <c r="B999" s="1">
        <f>IFERROR(__xludf.DUMMYFUNCTION("""COMPUTED_VALUE"""),456.48)</f>
        <v>456.48</v>
      </c>
      <c r="C999" s="1">
        <f>IFERROR(__xludf.DUMMYFUNCTION("""COMPUTED_VALUE"""),460.95)</f>
        <v>460.95</v>
      </c>
      <c r="D999" s="1">
        <f>IFERROR(__xludf.DUMMYFUNCTION("""COMPUTED_VALUE"""),456.12)</f>
        <v>456.12</v>
      </c>
      <c r="E999" s="1">
        <f>IFERROR(__xludf.DUMMYFUNCTION("""COMPUTED_VALUE"""),460.69)</f>
        <v>460.69</v>
      </c>
      <c r="F999" s="1">
        <f>IFERROR(__xludf.DUMMYFUNCTION("""COMPUTED_VALUE"""),2.0974293E7)</f>
        <v>20974293</v>
      </c>
    </row>
    <row r="1000">
      <c r="A1000" s="2">
        <f>IFERROR(__xludf.DUMMYFUNCTION("""COMPUTED_VALUE"""),45805.66666666667)</f>
        <v>45805.66667</v>
      </c>
      <c r="B1000" s="1">
        <f>IFERROR(__xludf.DUMMYFUNCTION("""COMPUTED_VALUE"""),461.22)</f>
        <v>461.22</v>
      </c>
      <c r="C1000" s="1">
        <f>IFERROR(__xludf.DUMMYFUNCTION("""COMPUTED_VALUE"""),462.52)</f>
        <v>462.52</v>
      </c>
      <c r="D1000" s="1">
        <f>IFERROR(__xludf.DUMMYFUNCTION("""COMPUTED_VALUE"""),456.93)</f>
        <v>456.93</v>
      </c>
      <c r="E1000" s="1">
        <f>IFERROR(__xludf.DUMMYFUNCTION("""COMPUTED_VALUE"""),457.36)</f>
        <v>457.36</v>
      </c>
      <c r="F1000" s="1">
        <f>IFERROR(__xludf.DUMMYFUNCTION("""COMPUTED_VALUE"""),1.7086261E7)</f>
        <v>17086261</v>
      </c>
    </row>
    <row r="1001">
      <c r="A1001" s="2">
        <f>IFERROR(__xludf.DUMMYFUNCTION("""COMPUTED_VALUE"""),45806.66666666667)</f>
        <v>45806.66667</v>
      </c>
      <c r="B1001" s="1">
        <f>IFERROR(__xludf.DUMMYFUNCTION("""COMPUTED_VALUE"""),461.55)</f>
        <v>461.55</v>
      </c>
      <c r="C1001" s="1">
        <f>IFERROR(__xludf.DUMMYFUNCTION("""COMPUTED_VALUE"""),461.72)</f>
        <v>461.72</v>
      </c>
      <c r="D1001" s="1">
        <f>IFERROR(__xludf.DUMMYFUNCTION("""COMPUTED_VALUE"""),455.31)</f>
        <v>455.31</v>
      </c>
      <c r="E1001" s="1">
        <f>IFERROR(__xludf.DUMMYFUNCTION("""COMPUTED_VALUE"""),458.68)</f>
        <v>458.68</v>
      </c>
      <c r="F1001" s="1">
        <f>IFERROR(__xludf.DUMMYFUNCTION("""COMPUTED_VALUE"""),1.3982211E7)</f>
        <v>13982211</v>
      </c>
    </row>
    <row r="1002">
      <c r="A1002" s="2">
        <f>IFERROR(__xludf.DUMMYFUNCTION("""COMPUTED_VALUE"""),45807.66666666667)</f>
        <v>45807.66667</v>
      </c>
      <c r="B1002" s="1">
        <f>IFERROR(__xludf.DUMMYFUNCTION("""COMPUTED_VALUE"""),459.72)</f>
        <v>459.72</v>
      </c>
      <c r="C1002" s="1">
        <f>IFERROR(__xludf.DUMMYFUNCTION("""COMPUTED_VALUE"""),461.68)</f>
        <v>461.68</v>
      </c>
      <c r="D1002" s="1">
        <f>IFERROR(__xludf.DUMMYFUNCTION("""COMPUTED_VALUE"""),455.54)</f>
        <v>455.54</v>
      </c>
      <c r="E1002" s="1">
        <f>IFERROR(__xludf.DUMMYFUNCTION("""COMPUTED_VALUE"""),460.36)</f>
        <v>460.36</v>
      </c>
      <c r="F1002" s="1">
        <f>IFERROR(__xludf.DUMMYFUNCTION("""COMPUTED_VALUE"""),3.4770475E7)</f>
        <v>34770475</v>
      </c>
    </row>
    <row r="1003">
      <c r="A1003" s="2">
        <f>IFERROR(__xludf.DUMMYFUNCTION("""COMPUTED_VALUE"""),45810.66666666667)</f>
        <v>45810.66667</v>
      </c>
      <c r="B1003" s="1">
        <f>IFERROR(__xludf.DUMMYFUNCTION("""COMPUTED_VALUE"""),457.14)</f>
        <v>457.14</v>
      </c>
      <c r="C1003" s="1">
        <f>IFERROR(__xludf.DUMMYFUNCTION("""COMPUTED_VALUE"""),462.11)</f>
        <v>462.11</v>
      </c>
      <c r="D1003" s="1">
        <f>IFERROR(__xludf.DUMMYFUNCTION("""COMPUTED_VALUE"""),456.89)</f>
        <v>456.89</v>
      </c>
      <c r="E1003" s="1">
        <f>IFERROR(__xludf.DUMMYFUNCTION("""COMPUTED_VALUE"""),461.97)</f>
        <v>461.97</v>
      </c>
      <c r="F1003" s="1">
        <f>IFERROR(__xludf.DUMMYFUNCTION("""COMPUTED_VALUE"""),1.6626495E7)</f>
        <v>16626495</v>
      </c>
    </row>
    <row r="1004">
      <c r="A1004" s="2">
        <f>IFERROR(__xludf.DUMMYFUNCTION("""COMPUTED_VALUE"""),45811.66666666667)</f>
        <v>45811.66667</v>
      </c>
      <c r="B1004" s="1">
        <f>IFERROR(__xludf.DUMMYFUNCTION("""COMPUTED_VALUE"""),461.47)</f>
        <v>461.47</v>
      </c>
      <c r="C1004" s="1">
        <f>IFERROR(__xludf.DUMMYFUNCTION("""COMPUTED_VALUE"""),464.14)</f>
        <v>464.14</v>
      </c>
      <c r="D1004" s="1">
        <f>IFERROR(__xludf.DUMMYFUNCTION("""COMPUTED_VALUE"""),460.86)</f>
        <v>460.86</v>
      </c>
      <c r="E1004" s="1">
        <f>IFERROR(__xludf.DUMMYFUNCTION("""COMPUTED_VALUE"""),462.97)</f>
        <v>462.97</v>
      </c>
      <c r="F1004" s="1">
        <f>IFERROR(__xludf.DUMMYFUNCTION("""COMPUTED_VALUE"""),1.574376E7)</f>
        <v>15743760</v>
      </c>
    </row>
    <row r="1005">
      <c r="A1005" s="2">
        <f>IFERROR(__xludf.DUMMYFUNCTION("""COMPUTED_VALUE"""),45812.66666666667)</f>
        <v>45812.66667</v>
      </c>
      <c r="B1005" s="1">
        <f>IFERROR(__xludf.DUMMYFUNCTION("""COMPUTED_VALUE"""),464.0)</f>
        <v>464</v>
      </c>
      <c r="C1005" s="1">
        <f>IFERROR(__xludf.DUMMYFUNCTION("""COMPUTED_VALUE"""),465.69)</f>
        <v>465.69</v>
      </c>
      <c r="D1005" s="1">
        <f>IFERROR(__xludf.DUMMYFUNCTION("""COMPUTED_VALUE"""),463.02)</f>
        <v>463.02</v>
      </c>
      <c r="E1005" s="1">
        <f>IFERROR(__xludf.DUMMYFUNCTION("""COMPUTED_VALUE"""),463.87)</f>
        <v>463.87</v>
      </c>
      <c r="F1005" s="1">
        <f>IFERROR(__xludf.DUMMYFUNCTION("""COMPUTED_VALUE"""),1.4162688E7)</f>
        <v>14162688</v>
      </c>
    </row>
    <row r="1006">
      <c r="A1006" s="2">
        <f>IFERROR(__xludf.DUMMYFUNCTION("""COMPUTED_VALUE"""),45813.66666666667)</f>
        <v>45813.66667</v>
      </c>
      <c r="B1006" s="1">
        <f>IFERROR(__xludf.DUMMYFUNCTION("""COMPUTED_VALUE"""),464.96)</f>
        <v>464.96</v>
      </c>
      <c r="C1006" s="1">
        <f>IFERROR(__xludf.DUMMYFUNCTION("""COMPUTED_VALUE"""),469.65)</f>
        <v>469.65</v>
      </c>
      <c r="D1006" s="1">
        <f>IFERROR(__xludf.DUMMYFUNCTION("""COMPUTED_VALUE"""),464.03)</f>
        <v>464.03</v>
      </c>
      <c r="E1006" s="1">
        <f>IFERROR(__xludf.DUMMYFUNCTION("""COMPUTED_VALUE"""),467.68)</f>
        <v>467.68</v>
      </c>
      <c r="F1006" s="1">
        <f>IFERROR(__xludf.DUMMYFUNCTION("""COMPUTED_VALUE"""),2.015446E7)</f>
        <v>20154460</v>
      </c>
    </row>
    <row r="1007">
      <c r="A1007" s="2">
        <f>IFERROR(__xludf.DUMMYFUNCTION("""COMPUTED_VALUE"""),45814.66666666667)</f>
        <v>45814.66667</v>
      </c>
      <c r="B1007" s="1">
        <f>IFERROR(__xludf.DUMMYFUNCTION("""COMPUTED_VALUE"""),470.09)</f>
        <v>470.09</v>
      </c>
      <c r="C1007" s="1">
        <f>IFERROR(__xludf.DUMMYFUNCTION("""COMPUTED_VALUE"""),473.34)</f>
        <v>473.34</v>
      </c>
      <c r="D1007" s="1">
        <f>IFERROR(__xludf.DUMMYFUNCTION("""COMPUTED_VALUE"""),468.78)</f>
        <v>468.78</v>
      </c>
      <c r="E1007" s="1">
        <f>IFERROR(__xludf.DUMMYFUNCTION("""COMPUTED_VALUE"""),470.38)</f>
        <v>470.38</v>
      </c>
      <c r="F1007" s="1">
        <f>IFERROR(__xludf.DUMMYFUNCTION("""COMPUTED_VALUE"""),1.5285624E7)</f>
        <v>15285624</v>
      </c>
    </row>
    <row r="1008">
      <c r="A1008" s="2">
        <f>IFERROR(__xludf.DUMMYFUNCTION("""COMPUTED_VALUE"""),45817.66666666667)</f>
        <v>45817.66667</v>
      </c>
      <c r="B1008" s="1">
        <f>IFERROR(__xludf.DUMMYFUNCTION("""COMPUTED_VALUE"""),469.7)</f>
        <v>469.7</v>
      </c>
      <c r="C1008" s="1">
        <f>IFERROR(__xludf.DUMMYFUNCTION("""COMPUTED_VALUE"""),473.43)</f>
        <v>473.43</v>
      </c>
      <c r="D1008" s="1">
        <f>IFERROR(__xludf.DUMMYFUNCTION("""COMPUTED_VALUE"""),468.62)</f>
        <v>468.62</v>
      </c>
      <c r="E1008" s="1">
        <f>IFERROR(__xludf.DUMMYFUNCTION("""COMPUTED_VALUE"""),472.75)</f>
        <v>472.75</v>
      </c>
      <c r="F1008" s="1">
        <f>IFERROR(__xludf.DUMMYFUNCTION("""COMPUTED_VALUE"""),1.6469932E7)</f>
        <v>16469932</v>
      </c>
    </row>
    <row r="1009">
      <c r="A1009" s="2">
        <f>IFERROR(__xludf.DUMMYFUNCTION("""COMPUTED_VALUE"""),45818.66666666667)</f>
        <v>45818.66667</v>
      </c>
      <c r="B1009" s="1">
        <f>IFERROR(__xludf.DUMMYFUNCTION("""COMPUTED_VALUE"""),471.19)</f>
        <v>471.19</v>
      </c>
      <c r="C1009" s="1">
        <f>IFERROR(__xludf.DUMMYFUNCTION("""COMPUTED_VALUE"""),472.8)</f>
        <v>472.8</v>
      </c>
      <c r="D1009" s="1">
        <f>IFERROR(__xludf.DUMMYFUNCTION("""COMPUTED_VALUE"""),466.96)</f>
        <v>466.96</v>
      </c>
      <c r="E1009" s="1">
        <f>IFERROR(__xludf.DUMMYFUNCTION("""COMPUTED_VALUE"""),470.92)</f>
        <v>470.92</v>
      </c>
      <c r="F1009" s="1">
        <f>IFERROR(__xludf.DUMMYFUNCTION("""COMPUTED_VALUE"""),1.5375944E7)</f>
        <v>15375944</v>
      </c>
    </row>
    <row r="1010">
      <c r="A1010" s="2">
        <f>IFERROR(__xludf.DUMMYFUNCTION("""COMPUTED_VALUE"""),45819.66666666667)</f>
        <v>45819.66667</v>
      </c>
      <c r="B1010" s="1">
        <f>IFERROR(__xludf.DUMMYFUNCTION("""COMPUTED_VALUE"""),470.02)</f>
        <v>470.02</v>
      </c>
      <c r="C1010" s="1">
        <f>IFERROR(__xludf.DUMMYFUNCTION("""COMPUTED_VALUE"""),475.47)</f>
        <v>475.47</v>
      </c>
      <c r="D1010" s="1">
        <f>IFERROR(__xludf.DUMMYFUNCTION("""COMPUTED_VALUE"""),469.66)</f>
        <v>469.66</v>
      </c>
      <c r="E1010" s="1">
        <f>IFERROR(__xludf.DUMMYFUNCTION("""COMPUTED_VALUE"""),472.62)</f>
        <v>472.62</v>
      </c>
      <c r="F1010" s="1">
        <f>IFERROR(__xludf.DUMMYFUNCTION("""COMPUTED_VALUE"""),1.6399176E7)</f>
        <v>16399176</v>
      </c>
    </row>
    <row r="1011">
      <c r="A1011" s="2">
        <f>IFERROR(__xludf.DUMMYFUNCTION("""COMPUTED_VALUE"""),45820.66666666667)</f>
        <v>45820.66667</v>
      </c>
      <c r="B1011" s="1">
        <f>IFERROR(__xludf.DUMMYFUNCTION("""COMPUTED_VALUE"""),475.02)</f>
        <v>475.02</v>
      </c>
      <c r="C1011" s="1">
        <f>IFERROR(__xludf.DUMMYFUNCTION("""COMPUTED_VALUE"""),480.42)</f>
        <v>480.42</v>
      </c>
      <c r="D1011" s="1">
        <f>IFERROR(__xludf.DUMMYFUNCTION("""COMPUTED_VALUE"""),473.52)</f>
        <v>473.52</v>
      </c>
      <c r="E1011" s="1">
        <f>IFERROR(__xludf.DUMMYFUNCTION("""COMPUTED_VALUE"""),478.87)</f>
        <v>478.87</v>
      </c>
      <c r="F1011" s="1">
        <f>IFERROR(__xludf.DUMMYFUNCTION("""COMPUTED_VALUE"""),1.8950582E7)</f>
        <v>18950582</v>
      </c>
    </row>
    <row r="1012">
      <c r="A1012" s="2">
        <f>IFERROR(__xludf.DUMMYFUNCTION("""COMPUTED_VALUE"""),45821.66666666667)</f>
        <v>45821.66667</v>
      </c>
      <c r="B1012" s="1">
        <f>IFERROR(__xludf.DUMMYFUNCTION("""COMPUTED_VALUE"""),476.41)</f>
        <v>476.41</v>
      </c>
      <c r="C1012" s="1">
        <f>IFERROR(__xludf.DUMMYFUNCTION("""COMPUTED_VALUE"""),479.18)</f>
        <v>479.18</v>
      </c>
      <c r="D1012" s="1">
        <f>IFERROR(__xludf.DUMMYFUNCTION("""COMPUTED_VALUE"""),472.76)</f>
        <v>472.76</v>
      </c>
      <c r="E1012" s="1">
        <f>IFERROR(__xludf.DUMMYFUNCTION("""COMPUTED_VALUE"""),474.96)</f>
        <v>474.96</v>
      </c>
      <c r="F1012" s="1">
        <f>IFERROR(__xludf.DUMMYFUNCTION("""COMPUTED_VALUE"""),1.6814456E7)</f>
        <v>16814456</v>
      </c>
    </row>
    <row r="1013">
      <c r="A1013" s="2">
        <f>IFERROR(__xludf.DUMMYFUNCTION("""COMPUTED_VALUE"""),45824.66666666667)</f>
        <v>45824.66667</v>
      </c>
      <c r="B1013" s="1">
        <f>IFERROR(__xludf.DUMMYFUNCTION("""COMPUTED_VALUE"""),475.21)</f>
        <v>475.21</v>
      </c>
      <c r="C1013" s="1">
        <f>IFERROR(__xludf.DUMMYFUNCTION("""COMPUTED_VALUE"""),480.69)</f>
        <v>480.69</v>
      </c>
      <c r="D1013" s="1">
        <f>IFERROR(__xludf.DUMMYFUNCTION("""COMPUTED_VALUE"""),475.0)</f>
        <v>475</v>
      </c>
      <c r="E1013" s="1">
        <f>IFERROR(__xludf.DUMMYFUNCTION("""COMPUTED_VALUE"""),479.14)</f>
        <v>479.14</v>
      </c>
      <c r="F1013" s="1">
        <f>IFERROR(__xludf.DUMMYFUNCTION("""COMPUTED_VALUE"""),1.5626104E7)</f>
        <v>15626104</v>
      </c>
    </row>
    <row r="1014">
      <c r="A1014" s="2">
        <f>IFERROR(__xludf.DUMMYFUNCTION("""COMPUTED_VALUE"""),45825.66666666667)</f>
        <v>45825.66667</v>
      </c>
      <c r="B1014" s="1">
        <f>IFERROR(__xludf.DUMMYFUNCTION("""COMPUTED_VALUE"""),475.4)</f>
        <v>475.4</v>
      </c>
      <c r="C1014" s="1">
        <f>IFERROR(__xludf.DUMMYFUNCTION("""COMPUTED_VALUE"""),478.74)</f>
        <v>478.74</v>
      </c>
      <c r="D1014" s="1">
        <f>IFERROR(__xludf.DUMMYFUNCTION("""COMPUTED_VALUE"""),474.08)</f>
        <v>474.08</v>
      </c>
      <c r="E1014" s="1">
        <f>IFERROR(__xludf.DUMMYFUNCTION("""COMPUTED_VALUE"""),478.04)</f>
        <v>478.04</v>
      </c>
      <c r="F1014" s="1">
        <f>IFERROR(__xludf.DUMMYFUNCTION("""COMPUTED_VALUE"""),1.5414128E7)</f>
        <v>15414128</v>
      </c>
    </row>
    <row r="1015">
      <c r="A1015" s="2">
        <f>IFERROR(__xludf.DUMMYFUNCTION("""COMPUTED_VALUE"""),45826.66666666667)</f>
        <v>45826.66667</v>
      </c>
      <c r="B1015" s="1">
        <f>IFERROR(__xludf.DUMMYFUNCTION("""COMPUTED_VALUE"""),478.0)</f>
        <v>478</v>
      </c>
      <c r="C1015" s="1">
        <f>IFERROR(__xludf.DUMMYFUNCTION("""COMPUTED_VALUE"""),481.0)</f>
        <v>481</v>
      </c>
      <c r="D1015" s="1">
        <f>IFERROR(__xludf.DUMMYFUNCTION("""COMPUTED_VALUE"""),474.46)</f>
        <v>474.46</v>
      </c>
      <c r="E1015" s="1">
        <f>IFERROR(__xludf.DUMMYFUNCTION("""COMPUTED_VALUE"""),480.24)</f>
        <v>480.24</v>
      </c>
      <c r="F1015" s="1">
        <f>IFERROR(__xludf.DUMMYFUNCTION("""COMPUTED_VALUE"""),1.7526452E7)</f>
        <v>17526452</v>
      </c>
    </row>
    <row r="1016">
      <c r="A1016" s="2">
        <f>IFERROR(__xludf.DUMMYFUNCTION("""COMPUTED_VALUE"""),45828.66666666667)</f>
        <v>45828.66667</v>
      </c>
      <c r="B1016" s="1">
        <f>IFERROR(__xludf.DUMMYFUNCTION("""COMPUTED_VALUE"""),482.23)</f>
        <v>482.23</v>
      </c>
      <c r="C1016" s="1">
        <f>IFERROR(__xludf.DUMMYFUNCTION("""COMPUTED_VALUE"""),483.46)</f>
        <v>483.46</v>
      </c>
      <c r="D1016" s="1">
        <f>IFERROR(__xludf.DUMMYFUNCTION("""COMPUTED_VALUE"""),476.87)</f>
        <v>476.87</v>
      </c>
      <c r="E1016" s="1">
        <f>IFERROR(__xludf.DUMMYFUNCTION("""COMPUTED_VALUE"""),477.4)</f>
        <v>477.4</v>
      </c>
      <c r="F1016" s="1">
        <f>IFERROR(__xludf.DUMMYFUNCTION("""COMPUTED_VALUE"""),3.7576206E7)</f>
        <v>37576206</v>
      </c>
    </row>
    <row r="1017">
      <c r="A1017" s="2">
        <f>IFERROR(__xludf.DUMMYFUNCTION("""COMPUTED_VALUE"""),45831.66666666667)</f>
        <v>45831.66667</v>
      </c>
      <c r="B1017" s="1">
        <f>IFERROR(__xludf.DUMMYFUNCTION("""COMPUTED_VALUE"""),478.21)</f>
        <v>478.21</v>
      </c>
      <c r="C1017" s="1">
        <f>IFERROR(__xludf.DUMMYFUNCTION("""COMPUTED_VALUE"""),487.75)</f>
        <v>487.75</v>
      </c>
      <c r="D1017" s="1">
        <f>IFERROR(__xludf.DUMMYFUNCTION("""COMPUTED_VALUE"""),472.51)</f>
        <v>472.51</v>
      </c>
      <c r="E1017" s="1">
        <f>IFERROR(__xludf.DUMMYFUNCTION("""COMPUTED_VALUE"""),486.0)</f>
        <v>486</v>
      </c>
      <c r="F1017" s="1">
        <f>IFERROR(__xludf.DUMMYFUNCTION("""COMPUTED_VALUE"""),2.4863952E7)</f>
        <v>24863952</v>
      </c>
    </row>
    <row r="1018">
      <c r="A1018" s="2">
        <f>IFERROR(__xludf.DUMMYFUNCTION("""COMPUTED_VALUE"""),45832.66666666667)</f>
        <v>45832.66667</v>
      </c>
      <c r="B1018" s="1">
        <f>IFERROR(__xludf.DUMMYFUNCTION("""COMPUTED_VALUE"""),488.95)</f>
        <v>488.95</v>
      </c>
      <c r="C1018" s="1">
        <f>IFERROR(__xludf.DUMMYFUNCTION("""COMPUTED_VALUE"""),491.85)</f>
        <v>491.85</v>
      </c>
      <c r="D1018" s="1">
        <f>IFERROR(__xludf.DUMMYFUNCTION("""COMPUTED_VALUE"""),486.8)</f>
        <v>486.8</v>
      </c>
      <c r="E1018" s="1">
        <f>IFERROR(__xludf.DUMMYFUNCTION("""COMPUTED_VALUE"""),490.11)</f>
        <v>490.11</v>
      </c>
      <c r="F1018" s="1">
        <f>IFERROR(__xludf.DUMMYFUNCTION("""COMPUTED_VALUE"""),2.2305642E7)</f>
        <v>22305642</v>
      </c>
    </row>
    <row r="1019">
      <c r="A1019" s="2">
        <f>IFERROR(__xludf.DUMMYFUNCTION("""COMPUTED_VALUE"""),45833.66666666667)</f>
        <v>45833.66667</v>
      </c>
      <c r="B1019" s="1">
        <f>IFERROR(__xludf.DUMMYFUNCTION("""COMPUTED_VALUE"""),492.04)</f>
        <v>492.04</v>
      </c>
      <c r="C1019" s="1">
        <f>IFERROR(__xludf.DUMMYFUNCTION("""COMPUTED_VALUE"""),494.56)</f>
        <v>494.56</v>
      </c>
      <c r="D1019" s="1">
        <f>IFERROR(__xludf.DUMMYFUNCTION("""COMPUTED_VALUE"""),489.39)</f>
        <v>489.39</v>
      </c>
      <c r="E1019" s="1">
        <f>IFERROR(__xludf.DUMMYFUNCTION("""COMPUTED_VALUE"""),492.27)</f>
        <v>492.27</v>
      </c>
      <c r="F1019" s="1">
        <f>IFERROR(__xludf.DUMMYFUNCTION("""COMPUTED_VALUE"""),1.7495099E7)</f>
        <v>17495099</v>
      </c>
    </row>
    <row r="1020">
      <c r="A1020" s="2">
        <f>IFERROR(__xludf.DUMMYFUNCTION("""COMPUTED_VALUE"""),45834.66666666667)</f>
        <v>45834.66667</v>
      </c>
      <c r="B1020" s="1">
        <f>IFERROR(__xludf.DUMMYFUNCTION("""COMPUTED_VALUE"""),492.98)</f>
        <v>492.98</v>
      </c>
      <c r="C1020" s="1">
        <f>IFERROR(__xludf.DUMMYFUNCTION("""COMPUTED_VALUE"""),498.04)</f>
        <v>498.04</v>
      </c>
      <c r="D1020" s="1">
        <f>IFERROR(__xludf.DUMMYFUNCTION("""COMPUTED_VALUE"""),492.81)</f>
        <v>492.81</v>
      </c>
      <c r="E1020" s="1">
        <f>IFERROR(__xludf.DUMMYFUNCTION("""COMPUTED_VALUE"""),497.45)</f>
        <v>497.45</v>
      </c>
      <c r="F1020" s="1">
        <f>IFERROR(__xludf.DUMMYFUNCTION("""COMPUTED_VALUE"""),2.1578853E7)</f>
        <v>21578853</v>
      </c>
    </row>
    <row r="1021">
      <c r="A1021" s="2">
        <f>IFERROR(__xludf.DUMMYFUNCTION("""COMPUTED_VALUE"""),45835.66666666667)</f>
        <v>45835.66667</v>
      </c>
      <c r="B1021" s="1">
        <f>IFERROR(__xludf.DUMMYFUNCTION("""COMPUTED_VALUE"""),497.55)</f>
        <v>497.55</v>
      </c>
      <c r="C1021" s="1">
        <f>IFERROR(__xludf.DUMMYFUNCTION("""COMPUTED_VALUE"""),499.3)</f>
        <v>499.3</v>
      </c>
      <c r="D1021" s="1">
        <f>IFERROR(__xludf.DUMMYFUNCTION("""COMPUTED_VALUE"""),493.03)</f>
        <v>493.03</v>
      </c>
      <c r="E1021" s="1">
        <f>IFERROR(__xludf.DUMMYFUNCTION("""COMPUTED_VALUE"""),495.94)</f>
        <v>495.94</v>
      </c>
      <c r="F1021" s="1">
        <f>IFERROR(__xludf.DUMMYFUNCTION("""COMPUTED_VALUE"""),3.4539236E7)</f>
        <v>34539236</v>
      </c>
    </row>
    <row r="1022">
      <c r="A1022" s="2">
        <f>IFERROR(__xludf.DUMMYFUNCTION("""COMPUTED_VALUE"""),45838.66666666667)</f>
        <v>45838.66667</v>
      </c>
      <c r="B1022" s="1">
        <f>IFERROR(__xludf.DUMMYFUNCTION("""COMPUTED_VALUE"""),497.04)</f>
        <v>497.04</v>
      </c>
      <c r="C1022" s="1">
        <f>IFERROR(__xludf.DUMMYFUNCTION("""COMPUTED_VALUE"""),500.76)</f>
        <v>500.76</v>
      </c>
      <c r="D1022" s="1">
        <f>IFERROR(__xludf.DUMMYFUNCTION("""COMPUTED_VALUE"""),495.33)</f>
        <v>495.33</v>
      </c>
      <c r="E1022" s="1">
        <f>IFERROR(__xludf.DUMMYFUNCTION("""COMPUTED_VALUE"""),497.41)</f>
        <v>497.41</v>
      </c>
      <c r="F1022" s="1">
        <f>IFERROR(__xludf.DUMMYFUNCTION("""COMPUTED_VALUE"""),2.8368991E7)</f>
        <v>28368991</v>
      </c>
    </row>
    <row r="1023">
      <c r="A1023" s="2">
        <f>IFERROR(__xludf.DUMMYFUNCTION("""COMPUTED_VALUE"""),45839.66666666667)</f>
        <v>45839.66667</v>
      </c>
      <c r="B1023" s="1">
        <f>IFERROR(__xludf.DUMMYFUNCTION("""COMPUTED_VALUE"""),496.47)</f>
        <v>496.47</v>
      </c>
      <c r="C1023" s="1">
        <f>IFERROR(__xludf.DUMMYFUNCTION("""COMPUTED_VALUE"""),498.05)</f>
        <v>498.05</v>
      </c>
      <c r="D1023" s="1">
        <f>IFERROR(__xludf.DUMMYFUNCTION("""COMPUTED_VALUE"""),490.98)</f>
        <v>490.98</v>
      </c>
      <c r="E1023" s="1">
        <f>IFERROR(__xludf.DUMMYFUNCTION("""COMPUTED_VALUE"""),492.05)</f>
        <v>492.05</v>
      </c>
      <c r="F1023" s="1">
        <f>IFERROR(__xludf.DUMMYFUNCTION("""COMPUTED_VALUE"""),1.9945375E7)</f>
        <v>19945375</v>
      </c>
    </row>
    <row r="1024">
      <c r="A1024" s="2">
        <f>IFERROR(__xludf.DUMMYFUNCTION("""COMPUTED_VALUE"""),45840.66666666667)</f>
        <v>45840.66667</v>
      </c>
      <c r="B1024" s="1">
        <f>IFERROR(__xludf.DUMMYFUNCTION("""COMPUTED_VALUE"""),489.99)</f>
        <v>489.99</v>
      </c>
      <c r="C1024" s="1">
        <f>IFERROR(__xludf.DUMMYFUNCTION("""COMPUTED_VALUE"""),493.5)</f>
        <v>493.5</v>
      </c>
      <c r="D1024" s="1">
        <f>IFERROR(__xludf.DUMMYFUNCTION("""COMPUTED_VALUE"""),488.7)</f>
        <v>488.7</v>
      </c>
      <c r="E1024" s="1">
        <f>IFERROR(__xludf.DUMMYFUNCTION("""COMPUTED_VALUE"""),491.09)</f>
        <v>491.09</v>
      </c>
      <c r="F1024" s="1">
        <f>IFERROR(__xludf.DUMMYFUNCTION("""COMPUTED_VALUE"""),1.6319641E7)</f>
        <v>16319641</v>
      </c>
    </row>
    <row r="1025">
      <c r="A1025" s="2">
        <f>IFERROR(__xludf.DUMMYFUNCTION("""COMPUTED_VALUE"""),45841.54513888889)</f>
        <v>45841.54514</v>
      </c>
      <c r="B1025" s="1">
        <f>IFERROR(__xludf.DUMMYFUNCTION("""COMPUTED_VALUE"""),493.81)</f>
        <v>493.81</v>
      </c>
      <c r="C1025" s="1">
        <f>IFERROR(__xludf.DUMMYFUNCTION("""COMPUTED_VALUE"""),500.13)</f>
        <v>500.13</v>
      </c>
      <c r="D1025" s="1">
        <f>IFERROR(__xludf.DUMMYFUNCTION("""COMPUTED_VALUE"""),493.44)</f>
        <v>493.44</v>
      </c>
      <c r="E1025" s="1">
        <f>IFERROR(__xludf.DUMMYFUNCTION("""COMPUTED_VALUE"""),498.84)</f>
        <v>498.84</v>
      </c>
      <c r="F1025" s="1">
        <f>IFERROR(__xludf.DUMMYFUNCTION("""COMPUTED_VALUE"""),1.3984829E7)</f>
        <v>13984829</v>
      </c>
    </row>
    <row r="1026">
      <c r="A1026" s="2">
        <f>IFERROR(__xludf.DUMMYFUNCTION("""COMPUTED_VALUE"""),45845.66666666667)</f>
        <v>45845.66667</v>
      </c>
      <c r="B1026" s="1">
        <f>IFERROR(__xludf.DUMMYFUNCTION("""COMPUTED_VALUE"""),497.38)</f>
        <v>497.38</v>
      </c>
      <c r="C1026" s="1">
        <f>IFERROR(__xludf.DUMMYFUNCTION("""COMPUTED_VALUE"""),498.75)</f>
        <v>498.75</v>
      </c>
      <c r="D1026" s="1">
        <f>IFERROR(__xludf.DUMMYFUNCTION("""COMPUTED_VALUE"""),495.23)</f>
        <v>495.23</v>
      </c>
      <c r="E1026" s="1">
        <f>IFERROR(__xludf.DUMMYFUNCTION("""COMPUTED_VALUE"""),497.72)</f>
        <v>497.72</v>
      </c>
      <c r="F1026" s="1">
        <f>IFERROR(__xludf.DUMMYFUNCTION("""COMPUTED_VALUE"""),1.3981605E7)</f>
        <v>13981605</v>
      </c>
    </row>
    <row r="1027">
      <c r="A1027" s="2">
        <f>IFERROR(__xludf.DUMMYFUNCTION("""COMPUTED_VALUE"""),45846.66666666667)</f>
        <v>45846.66667</v>
      </c>
      <c r="B1027" s="1">
        <f>IFERROR(__xludf.DUMMYFUNCTION("""COMPUTED_VALUE"""),497.24)</f>
        <v>497.24</v>
      </c>
      <c r="C1027" s="1">
        <f>IFERROR(__xludf.DUMMYFUNCTION("""COMPUTED_VALUE"""),498.2)</f>
        <v>498.2</v>
      </c>
      <c r="D1027" s="1">
        <f>IFERROR(__xludf.DUMMYFUNCTION("""COMPUTED_VALUE"""),494.11)</f>
        <v>494.11</v>
      </c>
      <c r="E1027" s="1">
        <f>IFERROR(__xludf.DUMMYFUNCTION("""COMPUTED_VALUE"""),496.62)</f>
        <v>496.62</v>
      </c>
      <c r="F1027" s="1">
        <f>IFERROR(__xludf.DUMMYFUNCTION("""COMPUTED_VALUE"""),1.1846586E7)</f>
        <v>11846586</v>
      </c>
    </row>
    <row r="1028">
      <c r="A1028" s="2">
        <f>IFERROR(__xludf.DUMMYFUNCTION("""COMPUTED_VALUE"""),45847.66666666667)</f>
        <v>45847.66667</v>
      </c>
      <c r="B1028" s="1">
        <f>IFERROR(__xludf.DUMMYFUNCTION("""COMPUTED_VALUE"""),500.3)</f>
        <v>500.3</v>
      </c>
      <c r="C1028" s="1">
        <f>IFERROR(__xludf.DUMMYFUNCTION("""COMPUTED_VALUE"""),506.78)</f>
        <v>506.78</v>
      </c>
      <c r="D1028" s="1">
        <f>IFERROR(__xludf.DUMMYFUNCTION("""COMPUTED_VALUE"""),499.74)</f>
        <v>499.74</v>
      </c>
      <c r="E1028" s="1">
        <f>IFERROR(__xludf.DUMMYFUNCTION("""COMPUTED_VALUE"""),503.51)</f>
        <v>503.51</v>
      </c>
      <c r="F1028" s="1">
        <f>IFERROR(__xludf.DUMMYFUNCTION("""COMPUTED_VALUE"""),1.8659538E7)</f>
        <v>18659538</v>
      </c>
    </row>
    <row r="1029">
      <c r="A1029" s="2">
        <f>IFERROR(__xludf.DUMMYFUNCTION("""COMPUTED_VALUE"""),45848.66666666667)</f>
        <v>45848.66667</v>
      </c>
      <c r="B1029" s="1">
        <f>IFERROR(__xludf.DUMMYFUNCTION("""COMPUTED_VALUE"""),503.05)</f>
        <v>503.05</v>
      </c>
      <c r="C1029" s="1">
        <f>IFERROR(__xludf.DUMMYFUNCTION("""COMPUTED_VALUE"""),504.44)</f>
        <v>504.44</v>
      </c>
      <c r="D1029" s="1">
        <f>IFERROR(__xludf.DUMMYFUNCTION("""COMPUTED_VALUE"""),497.75)</f>
        <v>497.75</v>
      </c>
      <c r="E1029" s="1">
        <f>IFERROR(__xludf.DUMMYFUNCTION("""COMPUTED_VALUE"""),501.48)</f>
        <v>501.48</v>
      </c>
      <c r="F1029" s="1">
        <f>IFERROR(__xludf.DUMMYFUNCTION("""COMPUTED_VALUE"""),1.649874E7)</f>
        <v>16498740</v>
      </c>
    </row>
    <row r="1030">
      <c r="A1030" s="2">
        <f>IFERROR(__xludf.DUMMYFUNCTION("""COMPUTED_VALUE"""),45849.66666666667)</f>
        <v>45849.66667</v>
      </c>
      <c r="B1030" s="1">
        <f>IFERROR(__xludf.DUMMYFUNCTION("""COMPUTED_VALUE"""),498.47)</f>
        <v>498.47</v>
      </c>
      <c r="C1030" s="1">
        <f>IFERROR(__xludf.DUMMYFUNCTION("""COMPUTED_VALUE"""),505.03)</f>
        <v>505.03</v>
      </c>
      <c r="D1030" s="1">
        <f>IFERROR(__xludf.DUMMYFUNCTION("""COMPUTED_VALUE"""),497.8)</f>
        <v>497.8</v>
      </c>
      <c r="E1030" s="1">
        <f>IFERROR(__xludf.DUMMYFUNCTION("""COMPUTED_VALUE"""),503.32)</f>
        <v>503.32</v>
      </c>
      <c r="F1030" s="1">
        <f>IFERROR(__xludf.DUMMYFUNCTION("""COMPUTED_VALUE"""),1.6459512E7)</f>
        <v>16459512</v>
      </c>
    </row>
    <row r="1031">
      <c r="A1031" s="2">
        <f>IFERROR(__xludf.DUMMYFUNCTION("""COMPUTED_VALUE"""),45852.66666666667)</f>
        <v>45852.66667</v>
      </c>
      <c r="B1031" s="1">
        <f>IFERROR(__xludf.DUMMYFUNCTION("""COMPUTED_VALUE"""),501.52)</f>
        <v>501.52</v>
      </c>
      <c r="C1031" s="1">
        <f>IFERROR(__xludf.DUMMYFUNCTION("""COMPUTED_VALUE"""),503.97)</f>
        <v>503.97</v>
      </c>
      <c r="D1031" s="1">
        <f>IFERROR(__xludf.DUMMYFUNCTION("""COMPUTED_VALUE"""),501.03)</f>
        <v>501.03</v>
      </c>
      <c r="E1031" s="1">
        <f>IFERROR(__xludf.DUMMYFUNCTION("""COMPUTED_VALUE"""),503.02)</f>
        <v>503.02</v>
      </c>
      <c r="F1031" s="1">
        <f>IFERROR(__xludf.DUMMYFUNCTION("""COMPUTED_VALUE"""),1.2058848E7)</f>
        <v>12058848</v>
      </c>
    </row>
    <row r="1032">
      <c r="A1032" s="2">
        <f>IFERROR(__xludf.DUMMYFUNCTION("""COMPUTED_VALUE"""),45853.66666666667)</f>
        <v>45853.66667</v>
      </c>
      <c r="B1032" s="1">
        <f>IFERROR(__xludf.DUMMYFUNCTION("""COMPUTED_VALUE"""),503.02)</f>
        <v>503.02</v>
      </c>
      <c r="C1032" s="1">
        <f>IFERROR(__xludf.DUMMYFUNCTION("""COMPUTED_VALUE"""),508.3)</f>
        <v>508.3</v>
      </c>
      <c r="D1032" s="1">
        <f>IFERROR(__xludf.DUMMYFUNCTION("""COMPUTED_VALUE"""),502.79)</f>
        <v>502.79</v>
      </c>
      <c r="E1032" s="1">
        <f>IFERROR(__xludf.DUMMYFUNCTION("""COMPUTED_VALUE"""),505.82)</f>
        <v>505.82</v>
      </c>
      <c r="F1032" s="1">
        <f>IFERROR(__xludf.DUMMYFUNCTION("""COMPUTED_VALUE"""),1.4927202E7)</f>
        <v>14927202</v>
      </c>
    </row>
    <row r="1033">
      <c r="A1033" s="2">
        <f>IFERROR(__xludf.DUMMYFUNCTION("""COMPUTED_VALUE"""),45854.66666666667)</f>
        <v>45854.66667</v>
      </c>
      <c r="B1033" s="1">
        <f>IFERROR(__xludf.DUMMYFUNCTION("""COMPUTED_VALUE"""),505.18)</f>
        <v>505.18</v>
      </c>
      <c r="C1033" s="1">
        <f>IFERROR(__xludf.DUMMYFUNCTION("""COMPUTED_VALUE"""),506.72)</f>
        <v>506.72</v>
      </c>
      <c r="D1033" s="1">
        <f>IFERROR(__xludf.DUMMYFUNCTION("""COMPUTED_VALUE"""),501.89)</f>
        <v>501.89</v>
      </c>
      <c r="E1033" s="1">
        <f>IFERROR(__xludf.DUMMYFUNCTION("""COMPUTED_VALUE"""),505.62)</f>
        <v>505.62</v>
      </c>
      <c r="F1033" s="1">
        <f>IFERROR(__xludf.DUMMYFUNCTION("""COMPUTED_VALUE"""),1.5154374E7)</f>
        <v>15154374</v>
      </c>
    </row>
    <row r="1034">
      <c r="A1034" s="2">
        <f>IFERROR(__xludf.DUMMYFUNCTION("""COMPUTED_VALUE"""),45855.66666666667)</f>
        <v>45855.66667</v>
      </c>
      <c r="B1034" s="1">
        <f>IFERROR(__xludf.DUMMYFUNCTION("""COMPUTED_VALUE"""),505.68)</f>
        <v>505.68</v>
      </c>
      <c r="C1034" s="1">
        <f>IFERROR(__xludf.DUMMYFUNCTION("""COMPUTED_VALUE"""),513.37)</f>
        <v>513.37</v>
      </c>
      <c r="D1034" s="1">
        <f>IFERROR(__xludf.DUMMYFUNCTION("""COMPUTED_VALUE"""),505.62)</f>
        <v>505.62</v>
      </c>
      <c r="E1034" s="1">
        <f>IFERROR(__xludf.DUMMYFUNCTION("""COMPUTED_VALUE"""),511.7)</f>
        <v>511.7</v>
      </c>
      <c r="F1034" s="1">
        <f>IFERROR(__xludf.DUMMYFUNCTION("""COMPUTED_VALUE"""),1.7503129E7)</f>
        <v>17503129</v>
      </c>
    </row>
    <row r="1035">
      <c r="A1035" s="2">
        <f>IFERROR(__xludf.DUMMYFUNCTION("""COMPUTED_VALUE"""),45856.66666666667)</f>
        <v>45856.66667</v>
      </c>
      <c r="B1035" s="1">
        <f>IFERROR(__xludf.DUMMYFUNCTION("""COMPUTED_VALUE"""),514.48)</f>
        <v>514.48</v>
      </c>
      <c r="C1035" s="1">
        <f>IFERROR(__xludf.DUMMYFUNCTION("""COMPUTED_VALUE"""),514.64)</f>
        <v>514.64</v>
      </c>
      <c r="D1035" s="1">
        <f>IFERROR(__xludf.DUMMYFUNCTION("""COMPUTED_VALUE"""),507.43)</f>
        <v>507.43</v>
      </c>
      <c r="E1035" s="1">
        <f>IFERROR(__xludf.DUMMYFUNCTION("""COMPUTED_VALUE"""),510.05)</f>
        <v>510.05</v>
      </c>
      <c r="F1035" s="1">
        <f>IFERROR(__xludf.DUMMYFUNCTION("""COMPUTED_VALUE"""),2.1209666E7)</f>
        <v>21209666</v>
      </c>
    </row>
    <row r="1036">
      <c r="A1036" s="2">
        <f>IFERROR(__xludf.DUMMYFUNCTION("""COMPUTED_VALUE"""),45859.66666666667)</f>
        <v>45859.66667</v>
      </c>
      <c r="B1036" s="1">
        <f>IFERROR(__xludf.DUMMYFUNCTION("""COMPUTED_VALUE"""),506.71)</f>
        <v>506.71</v>
      </c>
      <c r="C1036" s="1">
        <f>IFERROR(__xludf.DUMMYFUNCTION("""COMPUTED_VALUE"""),512.09)</f>
        <v>512.09</v>
      </c>
      <c r="D1036" s="1">
        <f>IFERROR(__xludf.DUMMYFUNCTION("""COMPUTED_VALUE"""),505.55)</f>
        <v>505.55</v>
      </c>
      <c r="E1036" s="1">
        <f>IFERROR(__xludf.DUMMYFUNCTION("""COMPUTED_VALUE"""),510.06)</f>
        <v>510.06</v>
      </c>
      <c r="F1036" s="1">
        <f>IFERROR(__xludf.DUMMYFUNCTION("""COMPUTED_VALUE"""),1.4066805E7)</f>
        <v>14066805</v>
      </c>
    </row>
    <row r="1037">
      <c r="A1037" s="2">
        <f>IFERROR(__xludf.DUMMYFUNCTION("""COMPUTED_VALUE"""),45860.66666666667)</f>
        <v>45860.66667</v>
      </c>
      <c r="B1037" s="1">
        <f>IFERROR(__xludf.DUMMYFUNCTION("""COMPUTED_VALUE"""),510.97)</f>
        <v>510.97</v>
      </c>
      <c r="C1037" s="1">
        <f>IFERROR(__xludf.DUMMYFUNCTION("""COMPUTED_VALUE"""),511.2)</f>
        <v>511.2</v>
      </c>
      <c r="D1037" s="1">
        <f>IFERROR(__xludf.DUMMYFUNCTION("""COMPUTED_VALUE"""),505.27)</f>
        <v>505.27</v>
      </c>
      <c r="E1037" s="1">
        <f>IFERROR(__xludf.DUMMYFUNCTION("""COMPUTED_VALUE"""),505.27)</f>
        <v>505.27</v>
      </c>
      <c r="F1037" s="1">
        <f>IFERROR(__xludf.DUMMYFUNCTION("""COMPUTED_VALUE"""),1.3868644E7)</f>
        <v>13868644</v>
      </c>
    </row>
    <row r="1038">
      <c r="A1038" s="2">
        <f>IFERROR(__xludf.DUMMYFUNCTION("""COMPUTED_VALUE"""),45861.66666666667)</f>
        <v>45861.66667</v>
      </c>
      <c r="B1038" s="1">
        <f>IFERROR(__xludf.DUMMYFUNCTION("""COMPUTED_VALUE"""),506.75)</f>
        <v>506.75</v>
      </c>
      <c r="C1038" s="1">
        <f>IFERROR(__xludf.DUMMYFUNCTION("""COMPUTED_VALUE"""),506.79)</f>
        <v>506.79</v>
      </c>
      <c r="D1038" s="1">
        <f>IFERROR(__xludf.DUMMYFUNCTION("""COMPUTED_VALUE"""),500.7)</f>
        <v>500.7</v>
      </c>
      <c r="E1038" s="1">
        <f>IFERROR(__xludf.DUMMYFUNCTION("""COMPUTED_VALUE"""),505.87)</f>
        <v>505.87</v>
      </c>
      <c r="F1038" s="1">
        <f>IFERROR(__xludf.DUMMYFUNCTION("""COMPUTED_VALUE"""),1.6396585E7)</f>
        <v>16396585</v>
      </c>
    </row>
    <row r="1039">
      <c r="A1039" s="2">
        <f>IFERROR(__xludf.DUMMYFUNCTION("""COMPUTED_VALUE"""),45862.66666666667)</f>
        <v>45862.66667</v>
      </c>
      <c r="B1039" s="1">
        <f>IFERROR(__xludf.DUMMYFUNCTION("""COMPUTED_VALUE"""),508.77)</f>
        <v>508.77</v>
      </c>
      <c r="C1039" s="1">
        <f>IFERROR(__xludf.DUMMYFUNCTION("""COMPUTED_VALUE"""),513.67)</f>
        <v>513.67</v>
      </c>
      <c r="D1039" s="1">
        <f>IFERROR(__xludf.DUMMYFUNCTION("""COMPUTED_VALUE"""),507.3)</f>
        <v>507.3</v>
      </c>
      <c r="E1039" s="1">
        <f>IFERROR(__xludf.DUMMYFUNCTION("""COMPUTED_VALUE"""),510.88)</f>
        <v>510.88</v>
      </c>
      <c r="F1039" s="1">
        <f>IFERROR(__xludf.DUMMYFUNCTION("""COMPUTED_VALUE"""),1.6107E7)</f>
        <v>16107000</v>
      </c>
    </row>
    <row r="1040">
      <c r="A1040" s="2">
        <f>IFERROR(__xludf.DUMMYFUNCTION("""COMPUTED_VALUE"""),45863.66666666667)</f>
        <v>45863.66667</v>
      </c>
      <c r="B1040" s="1">
        <f>IFERROR(__xludf.DUMMYFUNCTION("""COMPUTED_VALUE"""),512.47)</f>
        <v>512.47</v>
      </c>
      <c r="C1040" s="1">
        <f>IFERROR(__xludf.DUMMYFUNCTION("""COMPUTED_VALUE"""),518.29)</f>
        <v>518.29</v>
      </c>
      <c r="D1040" s="1">
        <f>IFERROR(__xludf.DUMMYFUNCTION("""COMPUTED_VALUE"""),510.36)</f>
        <v>510.36</v>
      </c>
      <c r="E1040" s="1">
        <f>IFERROR(__xludf.DUMMYFUNCTION("""COMPUTED_VALUE"""),513.71)</f>
        <v>513.71</v>
      </c>
      <c r="F1040" s="1">
        <f>IFERROR(__xludf.DUMMYFUNCTION("""COMPUTED_VALUE"""),1.9125699E7)</f>
        <v>19125699</v>
      </c>
    </row>
    <row r="1041">
      <c r="A1041" s="2">
        <f>IFERROR(__xludf.DUMMYFUNCTION("""COMPUTED_VALUE"""),45866.66666666667)</f>
        <v>45866.66667</v>
      </c>
      <c r="B1041" s="1">
        <f>IFERROR(__xludf.DUMMYFUNCTION("""COMPUTED_VALUE"""),514.08)</f>
        <v>514.08</v>
      </c>
      <c r="C1041" s="1">
        <f>IFERROR(__xludf.DUMMYFUNCTION("""COMPUTED_VALUE"""),515.0)</f>
        <v>515</v>
      </c>
      <c r="D1041" s="1">
        <f>IFERROR(__xludf.DUMMYFUNCTION("""COMPUTED_VALUE"""),510.12)</f>
        <v>510.12</v>
      </c>
      <c r="E1041" s="1">
        <f>IFERROR(__xludf.DUMMYFUNCTION("""COMPUTED_VALUE"""),512.5)</f>
        <v>512.5</v>
      </c>
      <c r="F1041" s="1">
        <f>IFERROR(__xludf.DUMMYFUNCTION("""COMPUTED_VALUE"""),1.4308027E7)</f>
        <v>14308027</v>
      </c>
    </row>
    <row r="1042">
      <c r="A1042" s="2">
        <f>IFERROR(__xludf.DUMMYFUNCTION("""COMPUTED_VALUE"""),45867.66666666667)</f>
        <v>45867.66667</v>
      </c>
      <c r="B1042" s="1">
        <f>IFERROR(__xludf.DUMMYFUNCTION("""COMPUTED_VALUE"""),515.53)</f>
        <v>515.53</v>
      </c>
      <c r="C1042" s="1">
        <f>IFERROR(__xludf.DUMMYFUNCTION("""COMPUTED_VALUE"""),517.62)</f>
        <v>517.62</v>
      </c>
      <c r="D1042" s="1">
        <f>IFERROR(__xludf.DUMMYFUNCTION("""COMPUTED_VALUE"""),511.56)</f>
        <v>511.56</v>
      </c>
      <c r="E1042" s="1">
        <f>IFERROR(__xludf.DUMMYFUNCTION("""COMPUTED_VALUE"""),512.57)</f>
        <v>512.57</v>
      </c>
      <c r="F1042" s="1">
        <f>IFERROR(__xludf.DUMMYFUNCTION("""COMPUTED_VALUE"""),1.6469235E7)</f>
        <v>16469235</v>
      </c>
    </row>
    <row r="1043">
      <c r="A1043" s="2">
        <f>IFERROR(__xludf.DUMMYFUNCTION("""COMPUTED_VALUE"""),45868.66666666667)</f>
        <v>45868.66667</v>
      </c>
      <c r="B1043" s="1">
        <f>IFERROR(__xludf.DUMMYFUNCTION("""COMPUTED_VALUE"""),515.17)</f>
        <v>515.17</v>
      </c>
      <c r="C1043" s="1">
        <f>IFERROR(__xludf.DUMMYFUNCTION("""COMPUTED_VALUE"""),515.95)</f>
        <v>515.95</v>
      </c>
      <c r="D1043" s="1">
        <f>IFERROR(__xludf.DUMMYFUNCTION("""COMPUTED_VALUE"""),509.44)</f>
        <v>509.44</v>
      </c>
      <c r="E1043" s="1">
        <f>IFERROR(__xludf.DUMMYFUNCTION("""COMPUTED_VALUE"""),513.24)</f>
        <v>513.24</v>
      </c>
      <c r="F1043" s="1">
        <f>IFERROR(__xludf.DUMMYFUNCTION("""COMPUTED_VALUE"""),2.6380434E7)</f>
        <v>26380434</v>
      </c>
    </row>
    <row r="1044">
      <c r="A1044" s="2">
        <f>IFERROR(__xludf.DUMMYFUNCTION("""COMPUTED_VALUE"""),45869.66666666667)</f>
        <v>45869.66667</v>
      </c>
      <c r="B1044" s="1">
        <f>IFERROR(__xludf.DUMMYFUNCTION("""COMPUTED_VALUE"""),555.23)</f>
        <v>555.23</v>
      </c>
      <c r="C1044" s="1">
        <f>IFERROR(__xludf.DUMMYFUNCTION("""COMPUTED_VALUE"""),555.45)</f>
        <v>555.45</v>
      </c>
      <c r="D1044" s="1">
        <f>IFERROR(__xludf.DUMMYFUNCTION("""COMPUTED_VALUE"""),531.9)</f>
        <v>531.9</v>
      </c>
      <c r="E1044" s="1">
        <f>IFERROR(__xludf.DUMMYFUNCTION("""COMPUTED_VALUE"""),533.5)</f>
        <v>533.5</v>
      </c>
      <c r="F1044" s="1">
        <f>IFERROR(__xludf.DUMMYFUNCTION("""COMPUTED_VALUE"""),5.1617326E7)</f>
        <v>51617326</v>
      </c>
    </row>
    <row r="1045">
      <c r="A1045" s="2">
        <f>IFERROR(__xludf.DUMMYFUNCTION("""COMPUTED_VALUE"""),45870.66666666667)</f>
        <v>45870.66667</v>
      </c>
      <c r="B1045" s="1">
        <f>IFERROR(__xludf.DUMMYFUNCTION("""COMPUTED_VALUE"""),535.0)</f>
        <v>535</v>
      </c>
      <c r="C1045" s="1">
        <f>IFERROR(__xludf.DUMMYFUNCTION("""COMPUTED_VALUE"""),535.8)</f>
        <v>535.8</v>
      </c>
      <c r="D1045" s="1">
        <f>IFERROR(__xludf.DUMMYFUNCTION("""COMPUTED_VALUE"""),520.86)</f>
        <v>520.86</v>
      </c>
      <c r="E1045" s="1">
        <f>IFERROR(__xludf.DUMMYFUNCTION("""COMPUTED_VALUE"""),524.11)</f>
        <v>524.11</v>
      </c>
      <c r="F1045" s="1">
        <f>IFERROR(__xludf.DUMMYFUNCTION("""COMPUTED_VALUE"""),2.8977628E7)</f>
        <v>28977628</v>
      </c>
    </row>
    <row r="1046">
      <c r="A1046" s="2">
        <f>IFERROR(__xludf.DUMMYFUNCTION("""COMPUTED_VALUE"""),45873.66666666667)</f>
        <v>45873.66667</v>
      </c>
      <c r="B1046" s="1">
        <f>IFERROR(__xludf.DUMMYFUNCTION("""COMPUTED_VALUE"""),528.27)</f>
        <v>528.27</v>
      </c>
      <c r="C1046" s="1">
        <f>IFERROR(__xludf.DUMMYFUNCTION("""COMPUTED_VALUE"""),538.25)</f>
        <v>538.25</v>
      </c>
      <c r="D1046" s="1">
        <f>IFERROR(__xludf.DUMMYFUNCTION("""COMPUTED_VALUE"""),528.13)</f>
        <v>528.13</v>
      </c>
      <c r="E1046" s="1">
        <f>IFERROR(__xludf.DUMMYFUNCTION("""COMPUTED_VALUE"""),535.64)</f>
        <v>535.64</v>
      </c>
      <c r="F1046" s="1">
        <f>IFERROR(__xludf.DUMMYFUNCTION("""COMPUTED_VALUE"""),2.5349004E7)</f>
        <v>25349004</v>
      </c>
    </row>
    <row r="1047">
      <c r="A1047" s="2">
        <f>IFERROR(__xludf.DUMMYFUNCTION("""COMPUTED_VALUE"""),45874.66666666667)</f>
        <v>45874.66667</v>
      </c>
      <c r="B1047" s="1">
        <f>IFERROR(__xludf.DUMMYFUNCTION("""COMPUTED_VALUE"""),537.18)</f>
        <v>537.18</v>
      </c>
      <c r="C1047" s="1">
        <f>IFERROR(__xludf.DUMMYFUNCTION("""COMPUTED_VALUE"""),537.3)</f>
        <v>537.3</v>
      </c>
      <c r="D1047" s="1">
        <f>IFERROR(__xludf.DUMMYFUNCTION("""COMPUTED_VALUE"""),527.24)</f>
        <v>527.24</v>
      </c>
      <c r="E1047" s="1">
        <f>IFERROR(__xludf.DUMMYFUNCTION("""COMPUTED_VALUE"""),527.75)</f>
        <v>527.75</v>
      </c>
      <c r="F1047" s="1">
        <f>IFERROR(__xludf.DUMMYFUNCTION("""COMPUTED_VALUE"""),1.9171569E7)</f>
        <v>19171569</v>
      </c>
    </row>
    <row r="1048">
      <c r="A1048" s="2">
        <f>IFERROR(__xludf.DUMMYFUNCTION("""COMPUTED_VALUE"""),45875.66666666667)</f>
        <v>45875.66667</v>
      </c>
      <c r="B1048" s="1">
        <f>IFERROR(__xludf.DUMMYFUNCTION("""COMPUTED_VALUE"""),530.9)</f>
        <v>530.9</v>
      </c>
      <c r="C1048" s="1">
        <f>IFERROR(__xludf.DUMMYFUNCTION("""COMPUTED_VALUE"""),531.7)</f>
        <v>531.7</v>
      </c>
      <c r="D1048" s="1">
        <f>IFERROR(__xludf.DUMMYFUNCTION("""COMPUTED_VALUE"""),524.03)</f>
        <v>524.03</v>
      </c>
      <c r="E1048" s="1">
        <f>IFERROR(__xludf.DUMMYFUNCTION("""COMPUTED_VALUE"""),524.94)</f>
        <v>524.94</v>
      </c>
      <c r="F1048" s="1">
        <f>IFERROR(__xludf.DUMMYFUNCTION("""COMPUTED_VALUE"""),2.1355702E7)</f>
        <v>21355702</v>
      </c>
    </row>
    <row r="1049">
      <c r="A1049" s="2">
        <f>IFERROR(__xludf.DUMMYFUNCTION("""COMPUTED_VALUE"""),45876.66666666667)</f>
        <v>45876.66667</v>
      </c>
      <c r="B1049" s="1">
        <f>IFERROR(__xludf.DUMMYFUNCTION("""COMPUTED_VALUE"""),526.8)</f>
        <v>526.8</v>
      </c>
      <c r="C1049" s="1">
        <f>IFERROR(__xludf.DUMMYFUNCTION("""COMPUTED_VALUE"""),528.09)</f>
        <v>528.09</v>
      </c>
      <c r="D1049" s="1">
        <f>IFERROR(__xludf.DUMMYFUNCTION("""COMPUTED_VALUE"""),517.55)</f>
        <v>517.55</v>
      </c>
      <c r="E1049" s="1">
        <f>IFERROR(__xludf.DUMMYFUNCTION("""COMPUTED_VALUE"""),520.84)</f>
        <v>520.84</v>
      </c>
      <c r="F1049" s="1">
        <f>IFERROR(__xludf.DUMMYFUNCTION("""COMPUTED_VALUE"""),1.6079144E7)</f>
        <v>16079144</v>
      </c>
    </row>
    <row r="1050">
      <c r="A1050" s="2">
        <f>IFERROR(__xludf.DUMMYFUNCTION("""COMPUTED_VALUE"""),45877.66666666667)</f>
        <v>45877.66667</v>
      </c>
      <c r="B1050" s="1">
        <f>IFERROR(__xludf.DUMMYFUNCTION("""COMPUTED_VALUE"""),522.6)</f>
        <v>522.6</v>
      </c>
      <c r="C1050" s="1">
        <f>IFERROR(__xludf.DUMMYFUNCTION("""COMPUTED_VALUE"""),524.66)</f>
        <v>524.66</v>
      </c>
      <c r="D1050" s="1">
        <f>IFERROR(__xludf.DUMMYFUNCTION("""COMPUTED_VALUE"""),519.41)</f>
        <v>519.41</v>
      </c>
      <c r="E1050" s="1">
        <f>IFERROR(__xludf.DUMMYFUNCTION("""COMPUTED_VALUE"""),522.04)</f>
        <v>522.04</v>
      </c>
      <c r="F1050" s="1">
        <f>IFERROR(__xludf.DUMMYFUNCTION("""COMPUTED_VALUE"""),1.5531009E7)</f>
        <v>15531009</v>
      </c>
    </row>
    <row r="1051">
      <c r="A1051" s="2">
        <f>IFERROR(__xludf.DUMMYFUNCTION("""COMPUTED_VALUE"""),45880.66666666667)</f>
        <v>45880.66667</v>
      </c>
      <c r="B1051" s="1">
        <f>IFERROR(__xludf.DUMMYFUNCTION("""COMPUTED_VALUE"""),522.3)</f>
        <v>522.3</v>
      </c>
      <c r="C1051" s="1">
        <f>IFERROR(__xludf.DUMMYFUNCTION("""COMPUTED_VALUE"""),527.59)</f>
        <v>527.59</v>
      </c>
      <c r="D1051" s="1">
        <f>IFERROR(__xludf.DUMMYFUNCTION("""COMPUTED_VALUE"""),519.72)</f>
        <v>519.72</v>
      </c>
      <c r="E1051" s="1">
        <f>IFERROR(__xludf.DUMMYFUNCTION("""COMPUTED_VALUE"""),521.77)</f>
        <v>521.77</v>
      </c>
      <c r="F1051" s="1">
        <f>IFERROR(__xludf.DUMMYFUNCTION("""COMPUTED_VALUE"""),2.0194372E7)</f>
        <v>20194372</v>
      </c>
    </row>
    <row r="1052">
      <c r="A1052" s="2">
        <f>IFERROR(__xludf.DUMMYFUNCTION("""COMPUTED_VALUE"""),45881.66666666667)</f>
        <v>45881.66667</v>
      </c>
      <c r="B1052" s="1">
        <f>IFERROR(__xludf.DUMMYFUNCTION("""COMPUTED_VALUE"""),523.75)</f>
        <v>523.75</v>
      </c>
      <c r="C1052" s="1">
        <f>IFERROR(__xludf.DUMMYFUNCTION("""COMPUTED_VALUE"""),530.98)</f>
        <v>530.98</v>
      </c>
      <c r="D1052" s="1">
        <f>IFERROR(__xludf.DUMMYFUNCTION("""COMPUTED_VALUE"""),522.7)</f>
        <v>522.7</v>
      </c>
      <c r="E1052" s="1">
        <f>IFERROR(__xludf.DUMMYFUNCTION("""COMPUTED_VALUE"""),529.24)</f>
        <v>529.24</v>
      </c>
      <c r="F1052" s="1">
        <f>IFERROR(__xludf.DUMMYFUNCTION("""COMPUTED_VALUE"""),1.8688921E7)</f>
        <v>18688921</v>
      </c>
    </row>
    <row r="1053">
      <c r="A1053" s="2">
        <f>IFERROR(__xludf.DUMMYFUNCTION("""COMPUTED_VALUE"""),45882.66666666667)</f>
        <v>45882.66667</v>
      </c>
      <c r="B1053" s="1">
        <f>IFERROR(__xludf.DUMMYFUNCTION("""COMPUTED_VALUE"""),532.11)</f>
        <v>532.11</v>
      </c>
      <c r="C1053" s="1">
        <f>IFERROR(__xludf.DUMMYFUNCTION("""COMPUTED_VALUE"""),532.7)</f>
        <v>532.7</v>
      </c>
      <c r="D1053" s="1">
        <f>IFERROR(__xludf.DUMMYFUNCTION("""COMPUTED_VALUE"""),519.37)</f>
        <v>519.37</v>
      </c>
      <c r="E1053" s="1">
        <f>IFERROR(__xludf.DUMMYFUNCTION("""COMPUTED_VALUE"""),520.58)</f>
        <v>520.58</v>
      </c>
      <c r="F1053" s="1">
        <f>IFERROR(__xludf.DUMMYFUNCTION("""COMPUTED_VALUE"""),1.961916E7)</f>
        <v>19619160</v>
      </c>
    </row>
    <row r="1054">
      <c r="A1054" s="2">
        <f>IFERROR(__xludf.DUMMYFUNCTION("""COMPUTED_VALUE"""),45883.66666666667)</f>
        <v>45883.66667</v>
      </c>
      <c r="B1054" s="1">
        <f>IFERROR(__xludf.DUMMYFUNCTION("""COMPUTED_VALUE"""),522.56)</f>
        <v>522.56</v>
      </c>
      <c r="C1054" s="1">
        <f>IFERROR(__xludf.DUMMYFUNCTION("""COMPUTED_VALUE"""),525.95)</f>
        <v>525.95</v>
      </c>
      <c r="D1054" s="1">
        <f>IFERROR(__xludf.DUMMYFUNCTION("""COMPUTED_VALUE"""),520.14)</f>
        <v>520.14</v>
      </c>
      <c r="E1054" s="1">
        <f>IFERROR(__xludf.DUMMYFUNCTION("""COMPUTED_VALUE"""),522.48)</f>
        <v>522.48</v>
      </c>
      <c r="F1054" s="1">
        <f>IFERROR(__xludf.DUMMYFUNCTION("""COMPUTED_VALUE"""),2.0269074E7)</f>
        <v>20269074</v>
      </c>
    </row>
    <row r="1055">
      <c r="A1055" s="2">
        <f>IFERROR(__xludf.DUMMYFUNCTION("""COMPUTED_VALUE"""),45884.66666666667)</f>
        <v>45884.66667</v>
      </c>
      <c r="B1055" s="1">
        <f>IFERROR(__xludf.DUMMYFUNCTION("""COMPUTED_VALUE"""),522.77)</f>
        <v>522.77</v>
      </c>
      <c r="C1055" s="1">
        <f>IFERROR(__xludf.DUMMYFUNCTION("""COMPUTED_VALUE"""),526.1)</f>
        <v>526.1</v>
      </c>
      <c r="D1055" s="1">
        <f>IFERROR(__xludf.DUMMYFUNCTION("""COMPUTED_VALUE"""),519.08)</f>
        <v>519.08</v>
      </c>
      <c r="E1055" s="1">
        <f>IFERROR(__xludf.DUMMYFUNCTION("""COMPUTED_VALUE"""),520.17)</f>
        <v>520.17</v>
      </c>
      <c r="F1055" s="1">
        <f>IFERROR(__xludf.DUMMYFUNCTION("""COMPUTED_VALUE"""),2.5213272E7)</f>
        <v>25213272</v>
      </c>
    </row>
    <row r="1056">
      <c r="A1056" s="2">
        <f>IFERROR(__xludf.DUMMYFUNCTION("""COMPUTED_VALUE"""),45887.66666666667)</f>
        <v>45887.66667</v>
      </c>
      <c r="B1056" s="1">
        <f>IFERROR(__xludf.DUMMYFUNCTION("""COMPUTED_VALUE"""),521.59)</f>
        <v>521.59</v>
      </c>
      <c r="C1056" s="1">
        <f>IFERROR(__xludf.DUMMYFUNCTION("""COMPUTED_VALUE"""),522.82)</f>
        <v>522.82</v>
      </c>
      <c r="D1056" s="1">
        <f>IFERROR(__xludf.DUMMYFUNCTION("""COMPUTED_VALUE"""),514.02)</f>
        <v>514.02</v>
      </c>
      <c r="E1056" s="1">
        <f>IFERROR(__xludf.DUMMYFUNCTION("""COMPUTED_VALUE"""),517.1)</f>
        <v>517.1</v>
      </c>
      <c r="F1056" s="1">
        <f>IFERROR(__xludf.DUMMYFUNCTION("""COMPUTED_VALUE"""),2.3760583E7)</f>
        <v>23760583</v>
      </c>
    </row>
    <row r="1057">
      <c r="A1057" s="2">
        <f>IFERROR(__xludf.DUMMYFUNCTION("""COMPUTED_VALUE"""),45888.66666666667)</f>
        <v>45888.66667</v>
      </c>
      <c r="B1057" s="1">
        <f>IFERROR(__xludf.DUMMYFUNCTION("""COMPUTED_VALUE"""),515.0)</f>
        <v>515</v>
      </c>
      <c r="C1057" s="1">
        <f>IFERROR(__xludf.DUMMYFUNCTION("""COMPUTED_VALUE"""),515.16)</f>
        <v>515.16</v>
      </c>
      <c r="D1057" s="1">
        <f>IFERROR(__xludf.DUMMYFUNCTION("""COMPUTED_VALUE"""),508.55)</f>
        <v>508.55</v>
      </c>
      <c r="E1057" s="1">
        <f>IFERROR(__xludf.DUMMYFUNCTION("""COMPUTED_VALUE"""),509.77)</f>
        <v>509.77</v>
      </c>
      <c r="F1057" s="1">
        <f>IFERROR(__xludf.DUMMYFUNCTION("""COMPUTED_VALUE"""),2.1481016E7)</f>
        <v>21481016</v>
      </c>
    </row>
    <row r="1058">
      <c r="A1058" s="2">
        <f>IFERROR(__xludf.DUMMYFUNCTION("""COMPUTED_VALUE"""),45889.66666666667)</f>
        <v>45889.66667</v>
      </c>
      <c r="B1058" s="1">
        <f>IFERROR(__xludf.DUMMYFUNCTION("""COMPUTED_VALUE"""),509.87)</f>
        <v>509.87</v>
      </c>
      <c r="C1058" s="1">
        <f>IFERROR(__xludf.DUMMYFUNCTION("""COMPUTED_VALUE"""),511.0)</f>
        <v>511</v>
      </c>
      <c r="D1058" s="1">
        <f>IFERROR(__xludf.DUMMYFUNCTION("""COMPUTED_VALUE"""),504.44)</f>
        <v>504.44</v>
      </c>
      <c r="E1058" s="1">
        <f>IFERROR(__xludf.DUMMYFUNCTION("""COMPUTED_VALUE"""),505.72)</f>
        <v>505.72</v>
      </c>
      <c r="F1058" s="1">
        <f>IFERROR(__xludf.DUMMYFUNCTION("""COMPUTED_VALUE"""),2.7723025E7)</f>
        <v>27723025</v>
      </c>
    </row>
    <row r="1059">
      <c r="A1059" s="2">
        <f>IFERROR(__xludf.DUMMYFUNCTION("""COMPUTED_VALUE"""),45890.66666666667)</f>
        <v>45890.66667</v>
      </c>
      <c r="B1059" s="1">
        <f>IFERROR(__xludf.DUMMYFUNCTION("""COMPUTED_VALUE"""),503.69)</f>
        <v>503.69</v>
      </c>
      <c r="C1059" s="1">
        <f>IFERROR(__xludf.DUMMYFUNCTION("""COMPUTED_VALUE"""),507.63)</f>
        <v>507.63</v>
      </c>
      <c r="D1059" s="1">
        <f>IFERROR(__xludf.DUMMYFUNCTION("""COMPUTED_VALUE"""),502.72)</f>
        <v>502.72</v>
      </c>
      <c r="E1059" s="1">
        <f>IFERROR(__xludf.DUMMYFUNCTION("""COMPUTED_VALUE"""),504.24)</f>
        <v>504.24</v>
      </c>
      <c r="F1059" s="1">
        <f>IFERROR(__xludf.DUMMYFUNCTION("""COMPUTED_VALUE"""),1.8443254E7)</f>
        <v>18443254</v>
      </c>
    </row>
    <row r="1060">
      <c r="A1060" s="2">
        <f>IFERROR(__xludf.DUMMYFUNCTION("""COMPUTED_VALUE"""),45891.66666666667)</f>
        <v>45891.66667</v>
      </c>
      <c r="B1060" s="1">
        <f>IFERROR(__xludf.DUMMYFUNCTION("""COMPUTED_VALUE"""),504.25)</f>
        <v>504.25</v>
      </c>
      <c r="C1060" s="1">
        <f>IFERROR(__xludf.DUMMYFUNCTION("""COMPUTED_VALUE"""),510.73)</f>
        <v>510.73</v>
      </c>
      <c r="D1060" s="1">
        <f>IFERROR(__xludf.DUMMYFUNCTION("""COMPUTED_VALUE"""),502.41)</f>
        <v>502.41</v>
      </c>
      <c r="E1060" s="1">
        <f>IFERROR(__xludf.DUMMYFUNCTION("""COMPUTED_VALUE"""),507.23)</f>
        <v>507.23</v>
      </c>
      <c r="F1060" s="1">
        <f>IFERROR(__xludf.DUMMYFUNCTION("""COMPUTED_VALUE"""),2.4324161E7)</f>
        <v>24324161</v>
      </c>
    </row>
    <row r="1061">
      <c r="A1061" s="2">
        <f>IFERROR(__xludf.DUMMYFUNCTION("""COMPUTED_VALUE"""),45894.66666666667)</f>
        <v>45894.66667</v>
      </c>
      <c r="B1061" s="1">
        <f>IFERROR(__xludf.DUMMYFUNCTION("""COMPUTED_VALUE"""),506.63)</f>
        <v>506.63</v>
      </c>
      <c r="C1061" s="1">
        <f>IFERROR(__xludf.DUMMYFUNCTION("""COMPUTED_VALUE"""),508.19)</f>
        <v>508.19</v>
      </c>
      <c r="D1061" s="1">
        <f>IFERROR(__xludf.DUMMYFUNCTION("""COMPUTED_VALUE"""),504.12)</f>
        <v>504.12</v>
      </c>
      <c r="E1061" s="1">
        <f>IFERROR(__xludf.DUMMYFUNCTION("""COMPUTED_VALUE"""),504.26)</f>
        <v>504.26</v>
      </c>
      <c r="F1061" s="1">
        <f>IFERROR(__xludf.DUMMYFUNCTION("""COMPUTED_VALUE"""),2.1638579E7)</f>
        <v>21638579</v>
      </c>
    </row>
    <row r="1062">
      <c r="A1062" s="2">
        <f>IFERROR(__xludf.DUMMYFUNCTION("""COMPUTED_VALUE"""),45895.66666666667)</f>
        <v>45895.66667</v>
      </c>
      <c r="B1062" s="1">
        <f>IFERROR(__xludf.DUMMYFUNCTION("""COMPUTED_VALUE"""),504.36)</f>
        <v>504.36</v>
      </c>
      <c r="C1062" s="1">
        <f>IFERROR(__xludf.DUMMYFUNCTION("""COMPUTED_VALUE"""),504.98)</f>
        <v>504.98</v>
      </c>
      <c r="D1062" s="1">
        <f>IFERROR(__xludf.DUMMYFUNCTION("""COMPUTED_VALUE"""),498.51)</f>
        <v>498.51</v>
      </c>
      <c r="E1062" s="1">
        <f>IFERROR(__xludf.DUMMYFUNCTION("""COMPUTED_VALUE"""),502.04)</f>
        <v>502.04</v>
      </c>
      <c r="F1062" s="1">
        <f>IFERROR(__xludf.DUMMYFUNCTION("""COMPUTED_VALUE"""),3.0835709E7)</f>
        <v>30835709</v>
      </c>
    </row>
    <row r="1063">
      <c r="A1063" s="2">
        <f>IFERROR(__xludf.DUMMYFUNCTION("""COMPUTED_VALUE"""),45896.66666666667)</f>
        <v>45896.66667</v>
      </c>
      <c r="B1063" s="1">
        <f>IFERROR(__xludf.DUMMYFUNCTION("""COMPUTED_VALUE"""),502.0)</f>
        <v>502</v>
      </c>
      <c r="C1063" s="1">
        <f>IFERROR(__xludf.DUMMYFUNCTION("""COMPUTED_VALUE"""),507.29)</f>
        <v>507.29</v>
      </c>
      <c r="D1063" s="1">
        <f>IFERROR(__xludf.DUMMYFUNCTION("""COMPUTED_VALUE"""),499.9)</f>
        <v>499.9</v>
      </c>
      <c r="E1063" s="1">
        <f>IFERROR(__xludf.DUMMYFUNCTION("""COMPUTED_VALUE"""),506.74)</f>
        <v>506.74</v>
      </c>
      <c r="F1063" s="1">
        <f>IFERROR(__xludf.DUMMYFUNCTION("""COMPUTED_VALUE"""),1.7277893E7)</f>
        <v>17277893</v>
      </c>
    </row>
    <row r="1064">
      <c r="A1064" s="2">
        <f>IFERROR(__xludf.DUMMYFUNCTION("""COMPUTED_VALUE"""),45897.66666666667)</f>
        <v>45897.66667</v>
      </c>
      <c r="B1064" s="1">
        <f>IFERROR(__xludf.DUMMYFUNCTION("""COMPUTED_VALUE"""),507.09)</f>
        <v>507.09</v>
      </c>
      <c r="C1064" s="1">
        <f>IFERROR(__xludf.DUMMYFUNCTION("""COMPUTED_VALUE"""),511.09)</f>
        <v>511.09</v>
      </c>
      <c r="D1064" s="1">
        <f>IFERROR(__xludf.DUMMYFUNCTION("""COMPUTED_VALUE"""),505.5)</f>
        <v>505.5</v>
      </c>
      <c r="E1064" s="1">
        <f>IFERROR(__xludf.DUMMYFUNCTION("""COMPUTED_VALUE"""),509.64)</f>
        <v>509.64</v>
      </c>
      <c r="F1064" s="1">
        <f>IFERROR(__xludf.DUMMYFUNCTION("""COMPUTED_VALUE"""),1.8015593E7)</f>
        <v>18015593</v>
      </c>
    </row>
    <row r="1065">
      <c r="A1065" s="2">
        <f>IFERROR(__xludf.DUMMYFUNCTION("""COMPUTED_VALUE"""),45898.66666666667)</f>
        <v>45898.66667</v>
      </c>
      <c r="B1065" s="1">
        <f>IFERROR(__xludf.DUMMYFUNCTION("""COMPUTED_VALUE"""),508.66)</f>
        <v>508.66</v>
      </c>
      <c r="C1065" s="1">
        <f>IFERROR(__xludf.DUMMYFUNCTION("""COMPUTED_VALUE"""),509.6)</f>
        <v>509.6</v>
      </c>
      <c r="D1065" s="1">
        <f>IFERROR(__xludf.DUMMYFUNCTION("""COMPUTED_VALUE"""),504.49)</f>
        <v>504.49</v>
      </c>
      <c r="E1065" s="1">
        <f>IFERROR(__xludf.DUMMYFUNCTION("""COMPUTED_VALUE"""),506.69)</f>
        <v>506.69</v>
      </c>
      <c r="F1065" s="1">
        <f>IFERROR(__xludf.DUMMYFUNCTION("""COMPUTED_VALUE"""),2.0961569E7)</f>
        <v>20961569</v>
      </c>
    </row>
    <row r="1066">
      <c r="A1066" s="2">
        <f>IFERROR(__xludf.DUMMYFUNCTION("""COMPUTED_VALUE"""),45902.66666666667)</f>
        <v>45902.66667</v>
      </c>
      <c r="B1066" s="1">
        <f>IFERROR(__xludf.DUMMYFUNCTION("""COMPUTED_VALUE"""),500.47)</f>
        <v>500.47</v>
      </c>
      <c r="C1066" s="1">
        <f>IFERROR(__xludf.DUMMYFUNCTION("""COMPUTED_VALUE"""),506.0)</f>
        <v>506</v>
      </c>
      <c r="D1066" s="1">
        <f>IFERROR(__xludf.DUMMYFUNCTION("""COMPUTED_VALUE"""),496.81)</f>
        <v>496.81</v>
      </c>
      <c r="E1066" s="1">
        <f>IFERROR(__xludf.DUMMYFUNCTION("""COMPUTED_VALUE"""),505.12)</f>
        <v>505.12</v>
      </c>
      <c r="F1066" s="1">
        <f>IFERROR(__xludf.DUMMYFUNCTION("""COMPUTED_VALUE"""),1.8127995E7)</f>
        <v>18127995</v>
      </c>
    </row>
    <row r="1067">
      <c r="A1067" s="2">
        <f>IFERROR(__xludf.DUMMYFUNCTION("""COMPUTED_VALUE"""),45903.66666666667)</f>
        <v>45903.66667</v>
      </c>
      <c r="B1067" s="1">
        <f>IFERROR(__xludf.DUMMYFUNCTION("""COMPUTED_VALUE"""),503.79)</f>
        <v>503.79</v>
      </c>
      <c r="C1067" s="1">
        <f>IFERROR(__xludf.DUMMYFUNCTION("""COMPUTED_VALUE"""),507.79)</f>
        <v>507.79</v>
      </c>
      <c r="D1067" s="1">
        <f>IFERROR(__xludf.DUMMYFUNCTION("""COMPUTED_VALUE"""),502.32)</f>
        <v>502.32</v>
      </c>
      <c r="E1067" s="1">
        <f>IFERROR(__xludf.DUMMYFUNCTION("""COMPUTED_VALUE"""),505.35)</f>
        <v>505.35</v>
      </c>
      <c r="F1067" s="1">
        <f>IFERROR(__xludf.DUMMYFUNCTION("""COMPUTED_VALUE"""),1.6345078E7)</f>
        <v>16345078</v>
      </c>
    </row>
    <row r="1068">
      <c r="A1068" s="2">
        <f>IFERROR(__xludf.DUMMYFUNCTION("""COMPUTED_VALUE"""),45904.66666666667)</f>
        <v>45904.66667</v>
      </c>
      <c r="B1068" s="1">
        <f>IFERROR(__xludf.DUMMYFUNCTION("""COMPUTED_VALUE"""),504.3)</f>
        <v>504.3</v>
      </c>
      <c r="C1068" s="1">
        <f>IFERROR(__xludf.DUMMYFUNCTION("""COMPUTED_VALUE"""),508.15)</f>
        <v>508.15</v>
      </c>
      <c r="D1068" s="1">
        <f>IFERROR(__xludf.DUMMYFUNCTION("""COMPUTED_VALUE"""),503.15)</f>
        <v>503.15</v>
      </c>
      <c r="E1068" s="1">
        <f>IFERROR(__xludf.DUMMYFUNCTION("""COMPUTED_VALUE"""),507.97)</f>
        <v>507.97</v>
      </c>
      <c r="F1068" s="1">
        <f>IFERROR(__xludf.DUMMYFUNCTION("""COMPUTED_VALUE"""),1.5509486E7)</f>
        <v>15509486</v>
      </c>
    </row>
    <row r="1069">
      <c r="A1069" s="2">
        <f>IFERROR(__xludf.DUMMYFUNCTION("""COMPUTED_VALUE"""),45905.66666666667)</f>
        <v>45905.66667</v>
      </c>
      <c r="B1069" s="1">
        <f>IFERROR(__xludf.DUMMYFUNCTION("""COMPUTED_VALUE"""),509.07)</f>
        <v>509.07</v>
      </c>
      <c r="C1069" s="1">
        <f>IFERROR(__xludf.DUMMYFUNCTION("""COMPUTED_VALUE"""),511.97)</f>
        <v>511.97</v>
      </c>
      <c r="D1069" s="1">
        <f>IFERROR(__xludf.DUMMYFUNCTION("""COMPUTED_VALUE"""),492.37)</f>
        <v>492.37</v>
      </c>
      <c r="E1069" s="1">
        <f>IFERROR(__xludf.DUMMYFUNCTION("""COMPUTED_VALUE"""),495.0)</f>
        <v>495</v>
      </c>
      <c r="F1069" s="1">
        <f>IFERROR(__xludf.DUMMYFUNCTION("""COMPUTED_VALUE"""),3.1994846E7)</f>
        <v>31994846</v>
      </c>
    </row>
    <row r="1070">
      <c r="A1070" s="2">
        <f>IFERROR(__xludf.DUMMYFUNCTION("""COMPUTED_VALUE"""),45908.66666666667)</f>
        <v>45908.66667</v>
      </c>
      <c r="B1070" s="1">
        <f>IFERROR(__xludf.DUMMYFUNCTION("""COMPUTED_VALUE"""),498.11)</f>
        <v>498.11</v>
      </c>
      <c r="C1070" s="1">
        <f>IFERROR(__xludf.DUMMYFUNCTION("""COMPUTED_VALUE"""),501.2)</f>
        <v>501.2</v>
      </c>
      <c r="D1070" s="1">
        <f>IFERROR(__xludf.DUMMYFUNCTION("""COMPUTED_VALUE"""),495.03)</f>
        <v>495.03</v>
      </c>
      <c r="E1070" s="1">
        <f>IFERROR(__xludf.DUMMYFUNCTION("""COMPUTED_VALUE"""),498.2)</f>
        <v>498.2</v>
      </c>
      <c r="F1070" s="1">
        <f>IFERROR(__xludf.DUMMYFUNCTION("""COMPUTED_VALUE"""),1.6771015E7)</f>
        <v>16771015</v>
      </c>
    </row>
    <row r="1071">
      <c r="A1071" s="2">
        <f>IFERROR(__xludf.DUMMYFUNCTION("""COMPUTED_VALUE"""),45909.66666666667)</f>
        <v>45909.66667</v>
      </c>
      <c r="B1071" s="1">
        <f>IFERROR(__xludf.DUMMYFUNCTION("""COMPUTED_VALUE"""),501.43)</f>
        <v>501.43</v>
      </c>
      <c r="C1071" s="1">
        <f>IFERROR(__xludf.DUMMYFUNCTION("""COMPUTED_VALUE"""),502.25)</f>
        <v>502.25</v>
      </c>
      <c r="D1071" s="1">
        <f>IFERROR(__xludf.DUMMYFUNCTION("""COMPUTED_VALUE"""),497.7)</f>
        <v>497.7</v>
      </c>
      <c r="E1071" s="1">
        <f>IFERROR(__xludf.DUMMYFUNCTION("""COMPUTED_VALUE"""),498.41)</f>
        <v>498.41</v>
      </c>
      <c r="F1071" s="1">
        <f>IFERROR(__xludf.DUMMYFUNCTION("""COMPUTED_VALUE"""),1.4410542E7)</f>
        <v>14410542</v>
      </c>
    </row>
    <row r="1072">
      <c r="A1072" s="2">
        <f>IFERROR(__xludf.DUMMYFUNCTION("""COMPUTED_VALUE"""),45910.66666666667)</f>
        <v>45910.66667</v>
      </c>
      <c r="B1072" s="1">
        <f>IFERROR(__xludf.DUMMYFUNCTION("""COMPUTED_VALUE"""),502.98)</f>
        <v>502.98</v>
      </c>
      <c r="C1072" s="1">
        <f>IFERROR(__xludf.DUMMYFUNCTION("""COMPUTED_VALUE"""),503.23)</f>
        <v>503.23</v>
      </c>
      <c r="D1072" s="1">
        <f>IFERROR(__xludf.DUMMYFUNCTION("""COMPUTED_VALUE"""),496.72)</f>
        <v>496.72</v>
      </c>
      <c r="E1072" s="1">
        <f>IFERROR(__xludf.DUMMYFUNCTION("""COMPUTED_VALUE"""),500.37)</f>
        <v>500.37</v>
      </c>
      <c r="F1072" s="1">
        <f>IFERROR(__xludf.DUMMYFUNCTION("""COMPUTED_VALUE"""),2.1611816E7)</f>
        <v>21611816</v>
      </c>
    </row>
    <row r="1073">
      <c r="A1073" s="2">
        <f>IFERROR(__xludf.DUMMYFUNCTION("""COMPUTED_VALUE"""),45911.66666666667)</f>
        <v>45911.66667</v>
      </c>
      <c r="B1073" s="1">
        <f>IFERROR(__xludf.DUMMYFUNCTION("""COMPUTED_VALUE"""),502.25)</f>
        <v>502.25</v>
      </c>
      <c r="C1073" s="1">
        <f>IFERROR(__xludf.DUMMYFUNCTION("""COMPUTED_VALUE"""),503.17)</f>
        <v>503.17</v>
      </c>
      <c r="D1073" s="1">
        <f>IFERROR(__xludf.DUMMYFUNCTION("""COMPUTED_VALUE"""),497.88)</f>
        <v>497.88</v>
      </c>
      <c r="E1073" s="1">
        <f>IFERROR(__xludf.DUMMYFUNCTION("""COMPUTED_VALUE"""),501.01)</f>
        <v>501.01</v>
      </c>
      <c r="F1073" s="1">
        <f>IFERROR(__xludf.DUMMYFUNCTION("""COMPUTED_VALUE"""),1.8881608E7)</f>
        <v>18881608</v>
      </c>
    </row>
    <row r="1074">
      <c r="A1074" s="2">
        <f>IFERROR(__xludf.DUMMYFUNCTION("""COMPUTED_VALUE"""),45912.66666666667)</f>
        <v>45912.66667</v>
      </c>
      <c r="B1074" s="1">
        <f>IFERROR(__xludf.DUMMYFUNCTION("""COMPUTED_VALUE"""),506.65)</f>
        <v>506.65</v>
      </c>
      <c r="C1074" s="1">
        <f>IFERROR(__xludf.DUMMYFUNCTION("""COMPUTED_VALUE"""),512.55)</f>
        <v>512.55</v>
      </c>
      <c r="D1074" s="1">
        <f>IFERROR(__xludf.DUMMYFUNCTION("""COMPUTED_VALUE"""),503.85)</f>
        <v>503.85</v>
      </c>
      <c r="E1074" s="1">
        <f>IFERROR(__xludf.DUMMYFUNCTION("""COMPUTED_VALUE"""),509.9)</f>
        <v>509.9</v>
      </c>
      <c r="F1074" s="1">
        <f>IFERROR(__xludf.DUMMYFUNCTION("""COMPUTED_VALUE"""),2.3624884E7)</f>
        <v>23624884</v>
      </c>
    </row>
    <row r="1075">
      <c r="A1075" s="2">
        <f>IFERROR(__xludf.DUMMYFUNCTION("""COMPUTED_VALUE"""),45915.66666666667)</f>
        <v>45915.66667</v>
      </c>
      <c r="B1075" s="1">
        <f>IFERROR(__xludf.DUMMYFUNCTION("""COMPUTED_VALUE"""),508.79)</f>
        <v>508.79</v>
      </c>
      <c r="C1075" s="1">
        <f>IFERROR(__xludf.DUMMYFUNCTION("""COMPUTED_VALUE"""),515.47)</f>
        <v>515.47</v>
      </c>
      <c r="D1075" s="1">
        <f>IFERROR(__xludf.DUMMYFUNCTION("""COMPUTED_VALUE"""),507.0)</f>
        <v>507</v>
      </c>
      <c r="E1075" s="1">
        <f>IFERROR(__xludf.DUMMYFUNCTION("""COMPUTED_VALUE"""),515.36)</f>
        <v>515.36</v>
      </c>
      <c r="F1075" s="1">
        <f>IFERROR(__xludf.DUMMYFUNCTION("""COMPUTED_VALUE"""),1.7143786E7)</f>
        <v>17143786</v>
      </c>
    </row>
    <row r="1076">
      <c r="A1076" s="2">
        <f>IFERROR(__xludf.DUMMYFUNCTION("""COMPUTED_VALUE"""),45916.66666666667)</f>
        <v>45916.66667</v>
      </c>
      <c r="B1076" s="1">
        <f>IFERROR(__xludf.DUMMYFUNCTION("""COMPUTED_VALUE"""),516.88)</f>
        <v>516.88</v>
      </c>
      <c r="C1076" s="1">
        <f>IFERROR(__xludf.DUMMYFUNCTION("""COMPUTED_VALUE"""),517.23)</f>
        <v>517.23</v>
      </c>
      <c r="D1076" s="1">
        <f>IFERROR(__xludf.DUMMYFUNCTION("""COMPUTED_VALUE"""),508.6)</f>
        <v>508.6</v>
      </c>
      <c r="E1076" s="1">
        <f>IFERROR(__xludf.DUMMYFUNCTION("""COMPUTED_VALUE"""),509.04)</f>
        <v>509.04</v>
      </c>
      <c r="F1076" s="1">
        <f>IFERROR(__xludf.DUMMYFUNCTION("""COMPUTED_VALUE"""),1.9711922E7)</f>
        <v>19711922</v>
      </c>
    </row>
    <row r="1077">
      <c r="A1077" s="2">
        <f>IFERROR(__xludf.DUMMYFUNCTION("""COMPUTED_VALUE"""),45917.66666666667)</f>
        <v>45917.66667</v>
      </c>
      <c r="B1077" s="1">
        <f>IFERROR(__xludf.DUMMYFUNCTION("""COMPUTED_VALUE"""),510.62)</f>
        <v>510.62</v>
      </c>
      <c r="C1077" s="1">
        <f>IFERROR(__xludf.DUMMYFUNCTION("""COMPUTED_VALUE"""),511.29)</f>
        <v>511.29</v>
      </c>
      <c r="D1077" s="1">
        <f>IFERROR(__xludf.DUMMYFUNCTION("""COMPUTED_VALUE"""),505.93)</f>
        <v>505.93</v>
      </c>
      <c r="E1077" s="1">
        <f>IFERROR(__xludf.DUMMYFUNCTION("""COMPUTED_VALUE"""),510.02)</f>
        <v>510.02</v>
      </c>
      <c r="F1077" s="1">
        <f>IFERROR(__xludf.DUMMYFUNCTION("""COMPUTED_VALUE"""),1.5816585E7)</f>
        <v>15816585</v>
      </c>
    </row>
    <row r="1078">
      <c r="A1078" s="2">
        <f>IFERROR(__xludf.DUMMYFUNCTION("""COMPUTED_VALUE"""),45918.66666666667)</f>
        <v>45918.66667</v>
      </c>
      <c r="B1078" s="1">
        <f>IFERROR(__xludf.DUMMYFUNCTION("""COMPUTED_VALUE"""),511.49)</f>
        <v>511.49</v>
      </c>
      <c r="C1078" s="1">
        <f>IFERROR(__xludf.DUMMYFUNCTION("""COMPUTED_VALUE"""),513.07)</f>
        <v>513.07</v>
      </c>
      <c r="D1078" s="1">
        <f>IFERROR(__xludf.DUMMYFUNCTION("""COMPUTED_VALUE"""),507.66)</f>
        <v>507.66</v>
      </c>
      <c r="E1078" s="1">
        <f>IFERROR(__xludf.DUMMYFUNCTION("""COMPUTED_VALUE"""),508.45)</f>
        <v>508.45</v>
      </c>
      <c r="F1078" s="1">
        <f>IFERROR(__xludf.DUMMYFUNCTION("""COMPUTED_VALUE"""),1.8913696E7)</f>
        <v>18913696</v>
      </c>
    </row>
    <row r="1079">
      <c r="A1079" s="2">
        <f>IFERROR(__xludf.DUMMYFUNCTION("""COMPUTED_VALUE"""),45919.66666666667)</f>
        <v>45919.66667</v>
      </c>
      <c r="B1079" s="1">
        <f>IFERROR(__xludf.DUMMYFUNCTION("""COMPUTED_VALUE"""),510.56)</f>
        <v>510.56</v>
      </c>
      <c r="C1079" s="1">
        <f>IFERROR(__xludf.DUMMYFUNCTION("""COMPUTED_VALUE"""),519.3)</f>
        <v>519.3</v>
      </c>
      <c r="D1079" s="1">
        <f>IFERROR(__xludf.DUMMYFUNCTION("""COMPUTED_VALUE"""),510.31)</f>
        <v>510.31</v>
      </c>
      <c r="E1079" s="1">
        <f>IFERROR(__xludf.DUMMYFUNCTION("""COMPUTED_VALUE"""),517.93)</f>
        <v>517.93</v>
      </c>
      <c r="F1079" s="1">
        <f>IFERROR(__xludf.DUMMYFUNCTION("""COMPUTED_VALUE"""),5.2474093E7)</f>
        <v>52474093</v>
      </c>
    </row>
    <row r="1080">
      <c r="A1080" s="2">
        <f>IFERROR(__xludf.DUMMYFUNCTION("""COMPUTED_VALUE"""),45922.66666666667)</f>
        <v>45922.66667</v>
      </c>
      <c r="B1080" s="1">
        <f>IFERROR(__xludf.DUMMYFUNCTION("""COMPUTED_VALUE"""),515.59)</f>
        <v>515.59</v>
      </c>
      <c r="C1080" s="1">
        <f>IFERROR(__xludf.DUMMYFUNCTION("""COMPUTED_VALUE"""),517.74)</f>
        <v>517.74</v>
      </c>
      <c r="D1080" s="1">
        <f>IFERROR(__xludf.DUMMYFUNCTION("""COMPUTED_VALUE"""),512.54)</f>
        <v>512.54</v>
      </c>
      <c r="E1080" s="1">
        <f>IFERROR(__xludf.DUMMYFUNCTION("""COMPUTED_VALUE"""),514.45)</f>
        <v>514.45</v>
      </c>
      <c r="F1080" s="1">
        <f>IFERROR(__xludf.DUMMYFUNCTION("""COMPUTED_VALUE"""),2.0009314E7)</f>
        <v>20009314</v>
      </c>
    </row>
    <row r="1081">
      <c r="A1081" s="2">
        <f>IFERROR(__xludf.DUMMYFUNCTION("""COMPUTED_VALUE"""),45923.66666666667)</f>
        <v>45923.66667</v>
      </c>
      <c r="B1081" s="1">
        <f>IFERROR(__xludf.DUMMYFUNCTION("""COMPUTED_VALUE"""),513.8)</f>
        <v>513.8</v>
      </c>
      <c r="C1081" s="1">
        <f>IFERROR(__xludf.DUMMYFUNCTION("""COMPUTED_VALUE"""),514.59)</f>
        <v>514.59</v>
      </c>
      <c r="D1081" s="1">
        <f>IFERROR(__xludf.DUMMYFUNCTION("""COMPUTED_VALUE"""),507.31)</f>
        <v>507.31</v>
      </c>
      <c r="E1081" s="1">
        <f>IFERROR(__xludf.DUMMYFUNCTION("""COMPUTED_VALUE"""),509.23)</f>
        <v>509.23</v>
      </c>
      <c r="F1081" s="1">
        <f>IFERROR(__xludf.DUMMYFUNCTION("""COMPUTED_VALUE"""),1.979958E7)</f>
        <v>19799580</v>
      </c>
    </row>
    <row r="1082">
      <c r="A1082" s="2">
        <f>IFERROR(__xludf.DUMMYFUNCTION("""COMPUTED_VALUE"""),45924.66666666667)</f>
        <v>45924.66667</v>
      </c>
      <c r="B1082" s="1">
        <f>IFERROR(__xludf.DUMMYFUNCTION("""COMPUTED_VALUE"""),513.8)</f>
        <v>513.8</v>
      </c>
      <c r="C1082" s="1">
        <f>IFERROR(__xludf.DUMMYFUNCTION("""COMPUTED_VALUE"""),514.59)</f>
        <v>514.59</v>
      </c>
      <c r="D1082" s="1">
        <f>IFERROR(__xludf.DUMMYFUNCTION("""COMPUTED_VALUE"""),507.31)</f>
        <v>507.31</v>
      </c>
      <c r="E1082" s="1">
        <f>IFERROR(__xludf.DUMMYFUNCTION("""COMPUTED_VALUE"""),509.23)</f>
        <v>509.23</v>
      </c>
      <c r="F1082" s="1">
        <f>IFERROR(__xludf.DUMMYFUNCTION("""COMPUTED_VALUE"""),98063.0)</f>
        <v>98063</v>
      </c>
    </row>
    <row r="1083">
      <c r="A1083" s="2">
        <f>IFERROR(__xludf.DUMMYFUNCTION("""COMPUTED_VALUE"""),45925.66666666667)</f>
        <v>45925.66667</v>
      </c>
      <c r="B1083" s="1">
        <f>IFERROR(__xludf.DUMMYFUNCTION("""COMPUTED_VALUE"""),508.3)</f>
        <v>508.3</v>
      </c>
      <c r="C1083" s="1">
        <f>IFERROR(__xludf.DUMMYFUNCTION("""COMPUTED_VALUE"""),510.01)</f>
        <v>510.01</v>
      </c>
      <c r="D1083" s="1">
        <f>IFERROR(__xludf.DUMMYFUNCTION("""COMPUTED_VALUE"""),505.04)</f>
        <v>505.04</v>
      </c>
      <c r="E1083" s="1">
        <f>IFERROR(__xludf.DUMMYFUNCTION("""COMPUTED_VALUE"""),507.03)</f>
        <v>507.03</v>
      </c>
      <c r="F1083" s="1">
        <f>IFERROR(__xludf.DUMMYFUNCTION("""COMPUTED_VALUE"""),1.5786468E7)</f>
        <v>15786468</v>
      </c>
    </row>
    <row r="1084">
      <c r="A1084" s="2">
        <f>IFERROR(__xludf.DUMMYFUNCTION("""COMPUTED_VALUE"""),45926.66666666667)</f>
        <v>45926.66667</v>
      </c>
      <c r="B1084" s="1">
        <f>IFERROR(__xludf.DUMMYFUNCTION("""COMPUTED_VALUE"""),510.06)</f>
        <v>510.06</v>
      </c>
      <c r="C1084" s="1">
        <f>IFERROR(__xludf.DUMMYFUNCTION("""COMPUTED_VALUE"""),513.94)</f>
        <v>513.94</v>
      </c>
      <c r="D1084" s="1">
        <f>IFERROR(__xludf.DUMMYFUNCTION("""COMPUTED_VALUE"""),506.62)</f>
        <v>506.62</v>
      </c>
      <c r="E1084" s="1">
        <f>IFERROR(__xludf.DUMMYFUNCTION("""COMPUTED_VALUE"""),511.46)</f>
        <v>511.46</v>
      </c>
      <c r="F1084" s="1">
        <f>IFERROR(__xludf.DUMMYFUNCTION("""COMPUTED_VALUE"""),1.6213129E7)</f>
        <v>16213129</v>
      </c>
    </row>
    <row r="1085">
      <c r="A1085" s="2">
        <f>IFERROR(__xludf.DUMMYFUNCTION("""COMPUTED_VALUE"""),45929.66666666667)</f>
        <v>45929.66667</v>
      </c>
      <c r="B1085" s="1">
        <f>IFERROR(__xludf.DUMMYFUNCTION("""COMPUTED_VALUE"""),511.5)</f>
        <v>511.5</v>
      </c>
      <c r="C1085" s="1">
        <f>IFERROR(__xludf.DUMMYFUNCTION("""COMPUTED_VALUE"""),516.85)</f>
        <v>516.85</v>
      </c>
      <c r="D1085" s="1">
        <f>IFERROR(__xludf.DUMMYFUNCTION("""COMPUTED_VALUE"""),508.88)</f>
        <v>508.88</v>
      </c>
      <c r="E1085" s="1">
        <f>IFERROR(__xludf.DUMMYFUNCTION("""COMPUTED_VALUE"""),514.6)</f>
        <v>514.6</v>
      </c>
      <c r="F1085" s="1">
        <f>IFERROR(__xludf.DUMMYFUNCTION("""COMPUTED_VALUE"""),1.7617775E7)</f>
        <v>17617775</v>
      </c>
    </row>
    <row r="1086">
      <c r="A1086" s="2">
        <f>IFERROR(__xludf.DUMMYFUNCTION("""COMPUTED_VALUE"""),45930.66666666667)</f>
        <v>45930.66667</v>
      </c>
      <c r="B1086" s="1">
        <f>IFERROR(__xludf.DUMMYFUNCTION("""COMPUTED_VALUE"""),513.24)</f>
        <v>513.24</v>
      </c>
      <c r="C1086" s="1">
        <f>IFERROR(__xludf.DUMMYFUNCTION("""COMPUTED_VALUE"""),518.16)</f>
        <v>518.16</v>
      </c>
      <c r="D1086" s="1">
        <f>IFERROR(__xludf.DUMMYFUNCTION("""COMPUTED_VALUE"""),509.66)</f>
        <v>509.66</v>
      </c>
      <c r="E1086" s="1">
        <f>IFERROR(__xludf.DUMMYFUNCTION("""COMPUTED_VALUE"""),517.95)</f>
        <v>517.95</v>
      </c>
      <c r="F1086" s="1">
        <f>IFERROR(__xludf.DUMMYFUNCTION("""COMPUTED_VALUE"""),1.9728229E7)</f>
        <v>19728229</v>
      </c>
    </row>
    <row r="1087">
      <c r="A1087" s="2">
        <f>IFERROR(__xludf.DUMMYFUNCTION("""COMPUTED_VALUE"""),45931.66666666667)</f>
        <v>45931.66667</v>
      </c>
      <c r="B1087" s="1">
        <f>IFERROR(__xludf.DUMMYFUNCTION("""COMPUTED_VALUE"""),514.8)</f>
        <v>514.8</v>
      </c>
      <c r="C1087" s="1">
        <f>IFERROR(__xludf.DUMMYFUNCTION("""COMPUTED_VALUE"""),520.51)</f>
        <v>520.51</v>
      </c>
      <c r="D1087" s="1">
        <f>IFERROR(__xludf.DUMMYFUNCTION("""COMPUTED_VALUE"""),511.69)</f>
        <v>511.69</v>
      </c>
      <c r="E1087" s="1">
        <f>IFERROR(__xludf.DUMMYFUNCTION("""COMPUTED_VALUE"""),519.71)</f>
        <v>519.71</v>
      </c>
      <c r="F1087" s="1">
        <f>IFERROR(__xludf.DUMMYFUNCTION("""COMPUTED_VALUE"""),2.2632336E7)</f>
        <v>22632336</v>
      </c>
    </row>
    <row r="1088">
      <c r="A1088" s="2">
        <f>IFERROR(__xludf.DUMMYFUNCTION("""COMPUTED_VALUE"""),45932.66666666667)</f>
        <v>45932.66667</v>
      </c>
      <c r="B1088" s="1">
        <f>IFERROR(__xludf.DUMMYFUNCTION("""COMPUTED_VALUE"""),517.64)</f>
        <v>517.64</v>
      </c>
      <c r="C1088" s="1">
        <f>IFERROR(__xludf.DUMMYFUNCTION("""COMPUTED_VALUE"""),521.6)</f>
        <v>521.6</v>
      </c>
      <c r="D1088" s="1">
        <f>IFERROR(__xludf.DUMMYFUNCTION("""COMPUTED_VALUE"""),510.68)</f>
        <v>510.68</v>
      </c>
      <c r="E1088" s="1">
        <f>IFERROR(__xludf.DUMMYFUNCTION("""COMPUTED_VALUE"""),515.74)</f>
        <v>515.74</v>
      </c>
      <c r="F1088" s="1">
        <f>IFERROR(__xludf.DUMMYFUNCTION("""COMPUTED_VALUE"""),2.1222886E7)</f>
        <v>21222886</v>
      </c>
    </row>
    <row r="1089">
      <c r="A1089" s="2">
        <f>IFERROR(__xludf.DUMMYFUNCTION("""COMPUTED_VALUE"""),45933.66666666667)</f>
        <v>45933.66667</v>
      </c>
      <c r="B1089" s="1">
        <f>IFERROR(__xludf.DUMMYFUNCTION("""COMPUTED_VALUE"""),517.1)</f>
        <v>517.1</v>
      </c>
      <c r="C1089" s="1">
        <f>IFERROR(__xludf.DUMMYFUNCTION("""COMPUTED_VALUE"""),520.49)</f>
        <v>520.49</v>
      </c>
      <c r="D1089" s="1">
        <f>IFERROR(__xludf.DUMMYFUNCTION("""COMPUTED_VALUE"""),515.0)</f>
        <v>515</v>
      </c>
      <c r="E1089" s="1">
        <f>IFERROR(__xludf.DUMMYFUNCTION("""COMPUTED_VALUE"""),517.35)</f>
        <v>517.35</v>
      </c>
      <c r="F1089" s="1">
        <f>IFERROR(__xludf.DUMMYFUNCTION("""COMPUTED_VALUE"""),1.5112321E7)</f>
        <v>15112321</v>
      </c>
    </row>
    <row r="1090">
      <c r="A1090" s="2">
        <f>IFERROR(__xludf.DUMMYFUNCTION("""COMPUTED_VALUE"""),45936.66666666667)</f>
        <v>45936.66667</v>
      </c>
      <c r="B1090" s="1">
        <f>IFERROR(__xludf.DUMMYFUNCTION("""COMPUTED_VALUE"""),518.61)</f>
        <v>518.61</v>
      </c>
      <c r="C1090" s="1">
        <f>IFERROR(__xludf.DUMMYFUNCTION("""COMPUTED_VALUE"""),531.03)</f>
        <v>531.03</v>
      </c>
      <c r="D1090" s="1">
        <f>IFERROR(__xludf.DUMMYFUNCTION("""COMPUTED_VALUE"""),518.2)</f>
        <v>518.2</v>
      </c>
      <c r="E1090" s="1">
        <f>IFERROR(__xludf.DUMMYFUNCTION("""COMPUTED_VALUE"""),528.57)</f>
        <v>528.57</v>
      </c>
      <c r="F1090" s="1">
        <f>IFERROR(__xludf.DUMMYFUNCTION("""COMPUTED_VALUE"""),2.1388581E7)</f>
        <v>21388581</v>
      </c>
    </row>
    <row r="1091">
      <c r="A1091" s="2">
        <f>IFERROR(__xludf.DUMMYFUNCTION("""COMPUTED_VALUE"""),45937.66666666667)</f>
        <v>45937.66667</v>
      </c>
      <c r="B1091" s="1">
        <f>IFERROR(__xludf.DUMMYFUNCTION("""COMPUTED_VALUE"""),528.29)</f>
        <v>528.29</v>
      </c>
      <c r="C1091" s="1">
        <f>IFERROR(__xludf.DUMMYFUNCTION("""COMPUTED_VALUE"""),529.8)</f>
        <v>529.8</v>
      </c>
      <c r="D1091" s="1">
        <f>IFERROR(__xludf.DUMMYFUNCTION("""COMPUTED_VALUE"""),521.44)</f>
        <v>521.44</v>
      </c>
      <c r="E1091" s="1">
        <f>IFERROR(__xludf.DUMMYFUNCTION("""COMPUTED_VALUE"""),523.98)</f>
        <v>523.98</v>
      </c>
      <c r="F1091" s="1">
        <f>IFERROR(__xludf.DUMMYFUNCTION("""COMPUTED_VALUE"""),1.4615208E7)</f>
        <v>14615208</v>
      </c>
    </row>
    <row r="1092">
      <c r="A1092" s="2">
        <f>IFERROR(__xludf.DUMMYFUNCTION("""COMPUTED_VALUE"""),45938.66666666667)</f>
        <v>45938.66667</v>
      </c>
      <c r="B1092" s="1">
        <f>IFERROR(__xludf.DUMMYFUNCTION("""COMPUTED_VALUE"""),523.28)</f>
        <v>523.28</v>
      </c>
      <c r="C1092" s="1">
        <f>IFERROR(__xludf.DUMMYFUNCTION("""COMPUTED_VALUE"""),526.95)</f>
        <v>526.95</v>
      </c>
      <c r="D1092" s="1">
        <f>IFERROR(__xludf.DUMMYFUNCTION("""COMPUTED_VALUE"""),523.09)</f>
        <v>523.09</v>
      </c>
      <c r="E1092" s="1">
        <f>IFERROR(__xludf.DUMMYFUNCTION("""COMPUTED_VALUE"""),524.85)</f>
        <v>524.85</v>
      </c>
      <c r="F1092" s="1">
        <f>IFERROR(__xludf.DUMMYFUNCTION("""COMPUTED_VALUE"""),1.3363447E7)</f>
        <v>13363447</v>
      </c>
    </row>
    <row r="1093">
      <c r="A1093" s="2">
        <f>IFERROR(__xludf.DUMMYFUNCTION("""COMPUTED_VALUE"""),45939.66666666667)</f>
        <v>45939.66667</v>
      </c>
      <c r="B1093" s="1">
        <f>IFERROR(__xludf.DUMMYFUNCTION("""COMPUTED_VALUE"""),522.34)</f>
        <v>522.34</v>
      </c>
      <c r="C1093" s="1">
        <f>IFERROR(__xludf.DUMMYFUNCTION("""COMPUTED_VALUE"""),524.33)</f>
        <v>524.33</v>
      </c>
      <c r="D1093" s="1">
        <f>IFERROR(__xludf.DUMMYFUNCTION("""COMPUTED_VALUE"""),517.4)</f>
        <v>517.4</v>
      </c>
      <c r="E1093" s="1">
        <f>IFERROR(__xludf.DUMMYFUNCTION("""COMPUTED_VALUE"""),522.4)</f>
        <v>522.4</v>
      </c>
      <c r="F1093" s="1">
        <f>IFERROR(__xludf.DUMMYFUNCTION("""COMPUTED_VALUE"""),1.8343602E7)</f>
        <v>18343602</v>
      </c>
    </row>
    <row r="1094">
      <c r="A1094" s="2">
        <f>IFERROR(__xludf.DUMMYFUNCTION("""COMPUTED_VALUE"""),45940.66666666667)</f>
        <v>45940.66667</v>
      </c>
      <c r="B1094" s="1">
        <f>IFERROR(__xludf.DUMMYFUNCTION("""COMPUTED_VALUE"""),519.64)</f>
        <v>519.64</v>
      </c>
      <c r="C1094" s="1">
        <f>IFERROR(__xludf.DUMMYFUNCTION("""COMPUTED_VALUE"""),523.58)</f>
        <v>523.58</v>
      </c>
      <c r="D1094" s="1">
        <f>IFERROR(__xludf.DUMMYFUNCTION("""COMPUTED_VALUE"""),509.63)</f>
        <v>509.63</v>
      </c>
      <c r="E1094" s="1">
        <f>IFERROR(__xludf.DUMMYFUNCTION("""COMPUTED_VALUE"""),510.96)</f>
        <v>510.96</v>
      </c>
      <c r="F1094" s="1">
        <f>IFERROR(__xludf.DUMMYFUNCTION("""COMPUTED_VALUE"""),2.413384E7)</f>
        <v>24133840</v>
      </c>
    </row>
    <row r="1095">
      <c r="A1095" s="2">
        <f>IFERROR(__xludf.DUMMYFUNCTION("""COMPUTED_VALUE"""),45943.66666666667)</f>
        <v>45943.66667</v>
      </c>
      <c r="B1095" s="1">
        <f>IFERROR(__xludf.DUMMYFUNCTION("""COMPUTED_VALUE"""),516.41)</f>
        <v>516.41</v>
      </c>
      <c r="C1095" s="1">
        <f>IFERROR(__xludf.DUMMYFUNCTION("""COMPUTED_VALUE"""),516.41)</f>
        <v>516.41</v>
      </c>
      <c r="D1095" s="1">
        <f>IFERROR(__xludf.DUMMYFUNCTION("""COMPUTED_VALUE"""),511.68)</f>
        <v>511.68</v>
      </c>
      <c r="E1095" s="1">
        <f>IFERROR(__xludf.DUMMYFUNCTION("""COMPUTED_VALUE"""),514.05)</f>
        <v>514.05</v>
      </c>
      <c r="F1095" s="1">
        <f>IFERROR(__xludf.DUMMYFUNCTION("""COMPUTED_VALUE"""),1.4284238E7)</f>
        <v>14284238</v>
      </c>
    </row>
    <row r="1096">
      <c r="A1096" s="2">
        <f>IFERROR(__xludf.DUMMYFUNCTION("""COMPUTED_VALUE"""),45944.66666666667)</f>
        <v>45944.66667</v>
      </c>
      <c r="B1096" s="1">
        <f>IFERROR(__xludf.DUMMYFUNCTION("""COMPUTED_VALUE"""),510.23)</f>
        <v>510.23</v>
      </c>
      <c r="C1096" s="1">
        <f>IFERROR(__xludf.DUMMYFUNCTION("""COMPUTED_VALUE"""),515.28)</f>
        <v>515.28</v>
      </c>
      <c r="D1096" s="1">
        <f>IFERROR(__xludf.DUMMYFUNCTION("""COMPUTED_VALUE"""),506.0)</f>
        <v>506</v>
      </c>
      <c r="E1096" s="1">
        <f>IFERROR(__xludf.DUMMYFUNCTION("""COMPUTED_VALUE"""),513.57)</f>
        <v>513.57</v>
      </c>
      <c r="F1096" s="1">
        <f>IFERROR(__xludf.DUMMYFUNCTION("""COMPUTED_VALUE"""),1.46843E7)</f>
        <v>14684300</v>
      </c>
    </row>
    <row r="1097">
      <c r="A1097" s="2">
        <f>IFERROR(__xludf.DUMMYFUNCTION("""COMPUTED_VALUE"""),45945.66666666667)</f>
        <v>45945.66667</v>
      </c>
      <c r="B1097" s="1">
        <f>IFERROR(__xludf.DUMMYFUNCTION("""COMPUTED_VALUE"""),514.96)</f>
        <v>514.96</v>
      </c>
      <c r="C1097" s="1">
        <f>IFERROR(__xludf.DUMMYFUNCTION("""COMPUTED_VALUE"""),517.19)</f>
        <v>517.19</v>
      </c>
      <c r="D1097" s="1">
        <f>IFERROR(__xludf.DUMMYFUNCTION("""COMPUTED_VALUE"""),510.0)</f>
        <v>510</v>
      </c>
      <c r="E1097" s="1">
        <f>IFERROR(__xludf.DUMMYFUNCTION("""COMPUTED_VALUE"""),513.43)</f>
        <v>513.43</v>
      </c>
      <c r="F1097" s="1">
        <f>IFERROR(__xludf.DUMMYFUNCTION("""COMPUTED_VALUE"""),1.4694654E7)</f>
        <v>14694654</v>
      </c>
    </row>
    <row r="1098">
      <c r="A1098" s="2">
        <f>IFERROR(__xludf.DUMMYFUNCTION("""COMPUTED_VALUE"""),45946.66666666667)</f>
        <v>45946.66667</v>
      </c>
      <c r="B1098" s="1">
        <f>IFERROR(__xludf.DUMMYFUNCTION("""COMPUTED_VALUE"""),512.58)</f>
        <v>512.58</v>
      </c>
      <c r="C1098" s="1">
        <f>IFERROR(__xludf.DUMMYFUNCTION("""COMPUTED_VALUE"""),516.85)</f>
        <v>516.85</v>
      </c>
      <c r="D1098" s="1">
        <f>IFERROR(__xludf.DUMMYFUNCTION("""COMPUTED_VALUE"""),508.13)</f>
        <v>508.13</v>
      </c>
      <c r="E1098" s="1">
        <f>IFERROR(__xludf.DUMMYFUNCTION("""COMPUTED_VALUE"""),511.61)</f>
        <v>511.61</v>
      </c>
      <c r="F1098" s="1">
        <f>IFERROR(__xludf.DUMMYFUNCTION("""COMPUTED_VALUE"""),1.5559565E7)</f>
        <v>15559565</v>
      </c>
    </row>
    <row r="1099">
      <c r="A1099" s="2">
        <f>IFERROR(__xludf.DUMMYFUNCTION("""COMPUTED_VALUE"""),45947.66666666667)</f>
        <v>45947.66667</v>
      </c>
      <c r="B1099" s="1">
        <f>IFERROR(__xludf.DUMMYFUNCTION("""COMPUTED_VALUE"""),509.04)</f>
        <v>509.04</v>
      </c>
      <c r="C1099" s="1">
        <f>IFERROR(__xludf.DUMMYFUNCTION("""COMPUTED_VALUE"""),515.48)</f>
        <v>515.48</v>
      </c>
      <c r="D1099" s="1">
        <f>IFERROR(__xludf.DUMMYFUNCTION("""COMPUTED_VALUE"""),507.31)</f>
        <v>507.31</v>
      </c>
      <c r="E1099" s="1">
        <f>IFERROR(__xludf.DUMMYFUNCTION("""COMPUTED_VALUE"""),513.58)</f>
        <v>513.58</v>
      </c>
      <c r="F1099" s="1">
        <f>IFERROR(__xludf.DUMMYFUNCTION("""COMPUTED_VALUE"""),1.9867765E7)</f>
        <v>19867765</v>
      </c>
    </row>
    <row r="1100">
      <c r="A1100" s="2">
        <f>IFERROR(__xludf.DUMMYFUNCTION("""COMPUTED_VALUE"""),45950.66666666667)</f>
        <v>45950.66667</v>
      </c>
      <c r="B1100" s="1">
        <f>IFERROR(__xludf.DUMMYFUNCTION("""COMPUTED_VALUE"""),514.61)</f>
        <v>514.61</v>
      </c>
      <c r="C1100" s="1">
        <f>IFERROR(__xludf.DUMMYFUNCTION("""COMPUTED_VALUE"""),518.7)</f>
        <v>518.7</v>
      </c>
      <c r="D1100" s="1">
        <f>IFERROR(__xludf.DUMMYFUNCTION("""COMPUTED_VALUE"""),513.43)</f>
        <v>513.43</v>
      </c>
      <c r="E1100" s="1">
        <f>IFERROR(__xludf.DUMMYFUNCTION("""COMPUTED_VALUE"""),516.79)</f>
        <v>516.79</v>
      </c>
      <c r="F1100" s="1">
        <f>IFERROR(__xludf.DUMMYFUNCTION("""COMPUTED_VALUE"""),1.466562E7)</f>
        <v>14665620</v>
      </c>
    </row>
    <row r="1101">
      <c r="A1101" s="2">
        <f>IFERROR(__xludf.DUMMYFUNCTION("""COMPUTED_VALUE"""),45951.66666666667)</f>
        <v>45951.66667</v>
      </c>
      <c r="B1101" s="1">
        <f>IFERROR(__xludf.DUMMYFUNCTION("""COMPUTED_VALUE"""),517.5)</f>
        <v>517.5</v>
      </c>
      <c r="C1101" s="1">
        <f>IFERROR(__xludf.DUMMYFUNCTION("""COMPUTED_VALUE"""),518.69)</f>
        <v>518.69</v>
      </c>
      <c r="D1101" s="1">
        <f>IFERROR(__xludf.DUMMYFUNCTION("""COMPUTED_VALUE"""),513.04)</f>
        <v>513.04</v>
      </c>
      <c r="E1101" s="1">
        <f>IFERROR(__xludf.DUMMYFUNCTION("""COMPUTED_VALUE"""),517.66)</f>
        <v>517.66</v>
      </c>
      <c r="F1101" s="1">
        <f>IFERROR(__xludf.DUMMYFUNCTION("""COMPUTED_VALUE"""),1.5586204E7)</f>
        <v>15586204</v>
      </c>
    </row>
    <row r="1102">
      <c r="A1102" s="2">
        <f>IFERROR(__xludf.DUMMYFUNCTION("""COMPUTED_VALUE"""),45952.66666666667)</f>
        <v>45952.66667</v>
      </c>
      <c r="B1102" s="1">
        <f>IFERROR(__xludf.DUMMYFUNCTION("""COMPUTED_VALUE"""),521.15)</f>
        <v>521.15</v>
      </c>
      <c r="C1102" s="1">
        <f>IFERROR(__xludf.DUMMYFUNCTION("""COMPUTED_VALUE"""),525.23)</f>
        <v>525.23</v>
      </c>
      <c r="D1102" s="1">
        <f>IFERROR(__xludf.DUMMYFUNCTION("""COMPUTED_VALUE"""),517.71)</f>
        <v>517.71</v>
      </c>
      <c r="E1102" s="1">
        <f>IFERROR(__xludf.DUMMYFUNCTION("""COMPUTED_VALUE"""),520.54)</f>
        <v>520.54</v>
      </c>
      <c r="F1102" s="1">
        <f>IFERROR(__xludf.DUMMYFUNCTION("""COMPUTED_VALUE"""),1.8962694E7)</f>
        <v>18962694</v>
      </c>
    </row>
    <row r="1103">
      <c r="A1103" s="2">
        <f>IFERROR(__xludf.DUMMYFUNCTION("""COMPUTED_VALUE"""),45953.66666666667)</f>
        <v>45953.66667</v>
      </c>
      <c r="B1103" s="1">
        <f>IFERROR(__xludf.DUMMYFUNCTION("""COMPUTED_VALUE"""),522.46)</f>
        <v>522.46</v>
      </c>
      <c r="C1103" s="1">
        <f>IFERROR(__xludf.DUMMYFUNCTION("""COMPUTED_VALUE"""),523.95)</f>
        <v>523.95</v>
      </c>
      <c r="D1103" s="1">
        <f>IFERROR(__xludf.DUMMYFUNCTION("""COMPUTED_VALUE"""),518.61)</f>
        <v>518.61</v>
      </c>
      <c r="E1103" s="1">
        <f>IFERROR(__xludf.DUMMYFUNCTION("""COMPUTED_VALUE"""),520.56)</f>
        <v>520.56</v>
      </c>
      <c r="F1103" s="1">
        <f>IFERROR(__xludf.DUMMYFUNCTION("""COMPUTED_VALUE"""),1.4023532E7)</f>
        <v>14023532</v>
      </c>
    </row>
    <row r="1104">
      <c r="A1104" s="2">
        <f>IFERROR(__xludf.DUMMYFUNCTION("""COMPUTED_VALUE"""),45954.66666666667)</f>
        <v>45954.66667</v>
      </c>
      <c r="B1104" s="1">
        <f>IFERROR(__xludf.DUMMYFUNCTION("""COMPUTED_VALUE"""),522.79)</f>
        <v>522.79</v>
      </c>
      <c r="C1104" s="1">
        <f>IFERROR(__xludf.DUMMYFUNCTION("""COMPUTED_VALUE"""),525.35)</f>
        <v>525.35</v>
      </c>
      <c r="D1104" s="1">
        <f>IFERROR(__xludf.DUMMYFUNCTION("""COMPUTED_VALUE"""),520.71)</f>
        <v>520.71</v>
      </c>
      <c r="E1104" s="1">
        <f>IFERROR(__xludf.DUMMYFUNCTION("""COMPUTED_VALUE"""),523.61)</f>
        <v>523.61</v>
      </c>
      <c r="F1104" s="1">
        <f>IFERROR(__xludf.DUMMYFUNCTION("""COMPUTED_VALUE"""),1.553236E7)</f>
        <v>15532360</v>
      </c>
    </row>
    <row r="1105">
      <c r="A1105" s="2">
        <f>IFERROR(__xludf.DUMMYFUNCTION("""COMPUTED_VALUE"""),45957.66666666667)</f>
        <v>45957.66667</v>
      </c>
      <c r="B1105" s="1">
        <f>IFERROR(__xludf.DUMMYFUNCTION("""COMPUTED_VALUE"""),531.78)</f>
        <v>531.78</v>
      </c>
      <c r="C1105" s="1">
        <f>IFERROR(__xludf.DUMMYFUNCTION("""COMPUTED_VALUE"""),534.58)</f>
        <v>534.58</v>
      </c>
      <c r="D1105" s="1">
        <f>IFERROR(__xludf.DUMMYFUNCTION("""COMPUTED_VALUE"""),529.01)</f>
        <v>529.01</v>
      </c>
      <c r="E1105" s="1">
        <f>IFERROR(__xludf.DUMMYFUNCTION("""COMPUTED_VALUE"""),531.52)</f>
        <v>531.52</v>
      </c>
      <c r="F1105" s="1">
        <f>IFERROR(__xludf.DUMMYFUNCTION("""COMPUTED_VALUE"""),1.8734716E7)</f>
        <v>18734716</v>
      </c>
    </row>
    <row r="1106">
      <c r="A1106" s="2">
        <f>IFERROR(__xludf.DUMMYFUNCTION("""COMPUTED_VALUE"""),45958.66666666667)</f>
        <v>45958.66667</v>
      </c>
      <c r="B1106" s="1">
        <f>IFERROR(__xludf.DUMMYFUNCTION("""COMPUTED_VALUE"""),550.0)</f>
        <v>550</v>
      </c>
      <c r="C1106" s="1">
        <f>IFERROR(__xludf.DUMMYFUNCTION("""COMPUTED_VALUE"""),553.72)</f>
        <v>553.72</v>
      </c>
      <c r="D1106" s="1">
        <f>IFERROR(__xludf.DUMMYFUNCTION("""COMPUTED_VALUE"""),540.77)</f>
        <v>540.77</v>
      </c>
      <c r="E1106" s="1">
        <f>IFERROR(__xludf.DUMMYFUNCTION("""COMPUTED_VALUE"""),542.07)</f>
        <v>542.07</v>
      </c>
      <c r="F1106" s="1">
        <f>IFERROR(__xludf.DUMMYFUNCTION("""COMPUTED_VALUE"""),2.9986683E7)</f>
        <v>29986683</v>
      </c>
    </row>
    <row r="1107">
      <c r="A1107" s="2">
        <f>IFERROR(__xludf.DUMMYFUNCTION("""COMPUTED_VALUE"""),45959.66666666667)</f>
        <v>45959.66667</v>
      </c>
      <c r="B1107" s="1">
        <f>IFERROR(__xludf.DUMMYFUNCTION("""COMPUTED_VALUE"""),544.94)</f>
        <v>544.94</v>
      </c>
      <c r="C1107" s="1">
        <f>IFERROR(__xludf.DUMMYFUNCTION("""COMPUTED_VALUE"""),546.27)</f>
        <v>546.27</v>
      </c>
      <c r="D1107" s="1">
        <f>IFERROR(__xludf.DUMMYFUNCTION("""COMPUTED_VALUE"""),536.73)</f>
        <v>536.73</v>
      </c>
      <c r="E1107" s="1">
        <f>IFERROR(__xludf.DUMMYFUNCTION("""COMPUTED_VALUE"""),541.55)</f>
        <v>541.55</v>
      </c>
      <c r="F1107" s="1">
        <f>IFERROR(__xludf.DUMMYFUNCTION("""COMPUTED_VALUE"""),3.6023004E7)</f>
        <v>36023004</v>
      </c>
    </row>
    <row r="1108">
      <c r="A1108" s="2">
        <f>IFERROR(__xludf.DUMMYFUNCTION("""COMPUTED_VALUE"""),45960.66666666667)</f>
        <v>45960.66667</v>
      </c>
      <c r="B1108" s="1">
        <f>IFERROR(__xludf.DUMMYFUNCTION("""COMPUTED_VALUE"""),530.48)</f>
        <v>530.48</v>
      </c>
      <c r="C1108" s="1">
        <f>IFERROR(__xludf.DUMMYFUNCTION("""COMPUTED_VALUE"""),534.97)</f>
        <v>534.97</v>
      </c>
      <c r="D1108" s="1">
        <f>IFERROR(__xludf.DUMMYFUNCTION("""COMPUTED_VALUE"""),522.12)</f>
        <v>522.12</v>
      </c>
      <c r="E1108" s="1">
        <f>IFERROR(__xludf.DUMMYFUNCTION("""COMPUTED_VALUE"""),525.76)</f>
        <v>525.76</v>
      </c>
      <c r="F1108" s="1">
        <f>IFERROR(__xludf.DUMMYFUNCTION("""COMPUTED_VALUE"""),4.1023088E7)</f>
        <v>41023088</v>
      </c>
    </row>
    <row r="1109">
      <c r="A1109" s="2">
        <f>IFERROR(__xludf.DUMMYFUNCTION("""COMPUTED_VALUE"""),45961.66666666667)</f>
        <v>45961.66667</v>
      </c>
      <c r="B1109" s="1">
        <f>IFERROR(__xludf.DUMMYFUNCTION("""COMPUTED_VALUE"""),528.88)</f>
        <v>528.88</v>
      </c>
      <c r="C1109" s="1">
        <f>IFERROR(__xludf.DUMMYFUNCTION("""COMPUTED_VALUE"""),529.32)</f>
        <v>529.32</v>
      </c>
      <c r="D1109" s="1">
        <f>IFERROR(__xludf.DUMMYFUNCTION("""COMPUTED_VALUE"""),515.1)</f>
        <v>515.1</v>
      </c>
      <c r="E1109" s="1">
        <f>IFERROR(__xludf.DUMMYFUNCTION("""COMPUTED_VALUE"""),517.81)</f>
        <v>517.81</v>
      </c>
      <c r="F1109" s="1">
        <f>IFERROR(__xludf.DUMMYFUNCTION("""COMPUTED_VALUE"""),3.4006424E7)</f>
        <v>34006424</v>
      </c>
    </row>
    <row r="1110">
      <c r="A1110" s="2">
        <f>IFERROR(__xludf.DUMMYFUNCTION("""COMPUTED_VALUE"""),45964.66666666667)</f>
        <v>45964.66667</v>
      </c>
      <c r="B1110" s="1">
        <f>IFERROR(__xludf.DUMMYFUNCTION("""COMPUTED_VALUE"""),519.8)</f>
        <v>519.8</v>
      </c>
      <c r="C1110" s="1">
        <f>IFERROR(__xludf.DUMMYFUNCTION("""COMPUTED_VALUE"""),524.96)</f>
        <v>524.96</v>
      </c>
      <c r="D1110" s="1">
        <f>IFERROR(__xludf.DUMMYFUNCTION("""COMPUTED_VALUE"""),514.59)</f>
        <v>514.59</v>
      </c>
      <c r="E1110" s="1">
        <f>IFERROR(__xludf.DUMMYFUNCTION("""COMPUTED_VALUE"""),517.03)</f>
        <v>517.03</v>
      </c>
      <c r="F1110" s="1">
        <f>IFERROR(__xludf.DUMMYFUNCTION("""COMPUTED_VALUE"""),2.2374742E7)</f>
        <v>22374742</v>
      </c>
    </row>
    <row r="1111">
      <c r="A1111" s="2">
        <f>IFERROR(__xludf.DUMMYFUNCTION("""COMPUTED_VALUE"""),45965.66666666667)</f>
        <v>45965.66667</v>
      </c>
      <c r="B1111" s="1">
        <f>IFERROR(__xludf.DUMMYFUNCTION("""COMPUTED_VALUE"""),511.76)</f>
        <v>511.76</v>
      </c>
      <c r="C1111" s="1">
        <f>IFERROR(__xludf.DUMMYFUNCTION("""COMPUTED_VALUE"""),515.55)</f>
        <v>515.55</v>
      </c>
      <c r="D1111" s="1">
        <f>IFERROR(__xludf.DUMMYFUNCTION("""COMPUTED_VALUE"""),507.84)</f>
        <v>507.84</v>
      </c>
      <c r="E1111" s="1">
        <f>IFERROR(__xludf.DUMMYFUNCTION("""COMPUTED_VALUE"""),514.33)</f>
        <v>514.33</v>
      </c>
      <c r="F1111" s="1">
        <f>IFERROR(__xludf.DUMMYFUNCTION("""COMPUTED_VALUE"""),2.0958663E7)</f>
        <v>20958663</v>
      </c>
    </row>
    <row r="1112">
      <c r="A1112" s="2">
        <f>IFERROR(__xludf.DUMMYFUNCTION("""COMPUTED_VALUE"""),45966.66666666667)</f>
        <v>45966.66667</v>
      </c>
      <c r="B1112" s="1">
        <f>IFERROR(__xludf.DUMMYFUNCTION("""COMPUTED_VALUE"""),513.3)</f>
        <v>513.3</v>
      </c>
      <c r="C1112" s="1">
        <f>IFERROR(__xludf.DUMMYFUNCTION("""COMPUTED_VALUE"""),514.83)</f>
        <v>514.83</v>
      </c>
      <c r="D1112" s="1">
        <f>IFERROR(__xludf.DUMMYFUNCTION("""COMPUTED_VALUE"""),506.58)</f>
        <v>506.58</v>
      </c>
      <c r="E1112" s="1">
        <f>IFERROR(__xludf.DUMMYFUNCTION("""COMPUTED_VALUE"""),507.16)</f>
        <v>507.16</v>
      </c>
      <c r="F1112" s="1">
        <f>IFERROR(__xludf.DUMMYFUNCTION("""COMPUTED_VALUE"""),2.3024342E7)</f>
        <v>23024342</v>
      </c>
    </row>
    <row r="1113">
      <c r="A1113" s="2">
        <f>IFERROR(__xludf.DUMMYFUNCTION("""COMPUTED_VALUE"""),45967.66666666667)</f>
        <v>45967.66667</v>
      </c>
      <c r="B1113" s="1">
        <f>IFERROR(__xludf.DUMMYFUNCTION("""COMPUTED_VALUE"""),505.66)</f>
        <v>505.66</v>
      </c>
      <c r="C1113" s="1">
        <f>IFERROR(__xludf.DUMMYFUNCTION("""COMPUTED_VALUE"""),505.7)</f>
        <v>505.7</v>
      </c>
      <c r="D1113" s="1">
        <f>IFERROR(__xludf.DUMMYFUNCTION("""COMPUTED_VALUE"""),495.81)</f>
        <v>495.81</v>
      </c>
      <c r="E1113" s="1">
        <f>IFERROR(__xludf.DUMMYFUNCTION("""COMPUTED_VALUE"""),497.1)</f>
        <v>497.1</v>
      </c>
      <c r="F1113" s="1">
        <f>IFERROR(__xludf.DUMMYFUNCTION("""COMPUTED_VALUE"""),2.7406496E7)</f>
        <v>27406496</v>
      </c>
    </row>
    <row r="1114">
      <c r="A1114" s="2">
        <f>IFERROR(__xludf.DUMMYFUNCTION("""COMPUTED_VALUE"""),45968.66666666667)</f>
        <v>45968.66667</v>
      </c>
      <c r="B1114" s="1">
        <f>IFERROR(__xludf.DUMMYFUNCTION("""COMPUTED_VALUE"""),496.95)</f>
        <v>496.95</v>
      </c>
      <c r="C1114" s="1">
        <f>IFERROR(__xludf.DUMMYFUNCTION("""COMPUTED_VALUE"""),499.38)</f>
        <v>499.38</v>
      </c>
      <c r="D1114" s="1">
        <f>IFERROR(__xludf.DUMMYFUNCTION("""COMPUTED_VALUE"""),493.25)</f>
        <v>493.25</v>
      </c>
      <c r="E1114" s="1">
        <f>IFERROR(__xludf.DUMMYFUNCTION("""COMPUTED_VALUE"""),496.82)</f>
        <v>496.82</v>
      </c>
      <c r="F1114" s="1">
        <f>IFERROR(__xludf.DUMMYFUNCTION("""COMPUTED_VALUE"""),2.4019764E7)</f>
        <v>24019764</v>
      </c>
    </row>
    <row r="1115">
      <c r="A1115" s="2">
        <f>IFERROR(__xludf.DUMMYFUNCTION("""COMPUTED_VALUE"""),45971.66666666667)</f>
        <v>45971.66667</v>
      </c>
      <c r="B1115" s="1">
        <f>IFERROR(__xludf.DUMMYFUNCTION("""COMPUTED_VALUE"""),500.04)</f>
        <v>500.04</v>
      </c>
      <c r="C1115" s="1">
        <f>IFERROR(__xludf.DUMMYFUNCTION("""COMPUTED_VALUE"""),506.85)</f>
        <v>506.85</v>
      </c>
      <c r="D1115" s="1">
        <f>IFERROR(__xludf.DUMMYFUNCTION("""COMPUTED_VALUE"""),498.8)</f>
        <v>498.8</v>
      </c>
      <c r="E1115" s="1">
        <f>IFERROR(__xludf.DUMMYFUNCTION("""COMPUTED_VALUE"""),506.0)</f>
        <v>506</v>
      </c>
      <c r="F1115" s="1">
        <f>IFERROR(__xludf.DUMMYFUNCTION("""COMPUTED_VALUE"""),2.610148E7)</f>
        <v>26101480</v>
      </c>
    </row>
    <row r="1116">
      <c r="A1116" s="2">
        <f>IFERROR(__xludf.DUMMYFUNCTION("""COMPUTED_VALUE"""),45972.66666666667)</f>
        <v>45972.66667</v>
      </c>
      <c r="B1116" s="1">
        <f>IFERROR(__xludf.DUMMYFUNCTION("""COMPUTED_VALUE"""),504.8)</f>
        <v>504.8</v>
      </c>
      <c r="C1116" s="1">
        <f>IFERROR(__xludf.DUMMYFUNCTION("""COMPUTED_VALUE"""),509.6)</f>
        <v>509.6</v>
      </c>
      <c r="D1116" s="1">
        <f>IFERROR(__xludf.DUMMYFUNCTION("""COMPUTED_VALUE"""),502.35)</f>
        <v>502.35</v>
      </c>
      <c r="E1116" s="1">
        <f>IFERROR(__xludf.DUMMYFUNCTION("""COMPUTED_VALUE"""),508.68)</f>
        <v>508.68</v>
      </c>
      <c r="F1116" s="1">
        <f>IFERROR(__xludf.DUMMYFUNCTION("""COMPUTED_VALUE"""),1.798002E7)</f>
        <v>17980020</v>
      </c>
    </row>
    <row r="1117">
      <c r="A1117" s="2">
        <f>IFERROR(__xludf.DUMMYFUNCTION("""COMPUTED_VALUE"""),45973.66666666667)</f>
        <v>45973.66667</v>
      </c>
      <c r="B1117" s="1">
        <f>IFERROR(__xludf.DUMMYFUNCTION("""COMPUTED_VALUE"""),509.36)</f>
        <v>509.36</v>
      </c>
      <c r="C1117" s="1">
        <f>IFERROR(__xludf.DUMMYFUNCTION("""COMPUTED_VALUE"""),511.67)</f>
        <v>511.67</v>
      </c>
      <c r="D1117" s="1">
        <f>IFERROR(__xludf.DUMMYFUNCTION("""COMPUTED_VALUE"""),499.12)</f>
        <v>499.12</v>
      </c>
      <c r="E1117" s="1">
        <f>IFERROR(__xludf.DUMMYFUNCTION("""COMPUTED_VALUE"""),511.14)</f>
        <v>511.14</v>
      </c>
      <c r="F1117" s="1">
        <f>IFERROR(__xludf.DUMMYFUNCTION("""COMPUTED_VALUE"""),2.6574851E7)</f>
        <v>26574851</v>
      </c>
    </row>
    <row r="1118">
      <c r="A1118" s="2">
        <f>IFERROR(__xludf.DUMMYFUNCTION("""COMPUTED_VALUE"""),45974.66666666667)</f>
        <v>45974.66667</v>
      </c>
      <c r="B1118" s="1">
        <f>IFERROR(__xludf.DUMMYFUNCTION("""COMPUTED_VALUE"""),510.31)</f>
        <v>510.31</v>
      </c>
      <c r="C1118" s="1">
        <f>IFERROR(__xludf.DUMMYFUNCTION("""COMPUTED_VALUE"""),513.5)</f>
        <v>513.5</v>
      </c>
      <c r="D1118" s="1">
        <f>IFERROR(__xludf.DUMMYFUNCTION("""COMPUTED_VALUE"""),501.29)</f>
        <v>501.29</v>
      </c>
      <c r="E1118" s="1">
        <f>IFERROR(__xludf.DUMMYFUNCTION("""COMPUTED_VALUE"""),503.29)</f>
        <v>503.29</v>
      </c>
      <c r="F1118" s="1">
        <f>IFERROR(__xludf.DUMMYFUNCTION("""COMPUTED_VALUE"""),2.5273114E7)</f>
        <v>25273114</v>
      </c>
    </row>
    <row r="1119">
      <c r="A1119" s="2">
        <f>IFERROR(__xludf.DUMMYFUNCTION("""COMPUTED_VALUE"""),45975.66666666667)</f>
        <v>45975.66667</v>
      </c>
      <c r="B1119" s="1">
        <f>IFERROR(__xludf.DUMMYFUNCTION("""COMPUTED_VALUE"""),498.23)</f>
        <v>498.23</v>
      </c>
      <c r="C1119" s="1">
        <f>IFERROR(__xludf.DUMMYFUNCTION("""COMPUTED_VALUE"""),511.6)</f>
        <v>511.6</v>
      </c>
      <c r="D1119" s="1">
        <f>IFERROR(__xludf.DUMMYFUNCTION("""COMPUTED_VALUE"""),497.44)</f>
        <v>497.44</v>
      </c>
      <c r="E1119" s="1">
        <f>IFERROR(__xludf.DUMMYFUNCTION("""COMPUTED_VALUE"""),510.18)</f>
        <v>510.18</v>
      </c>
      <c r="F1119" s="1">
        <f>IFERROR(__xludf.DUMMYFUNCTION("""COMPUTED_VALUE"""),2.8505746E7)</f>
        <v>28505746</v>
      </c>
    </row>
    <row r="1120">
      <c r="A1120" s="2">
        <f>IFERROR(__xludf.DUMMYFUNCTION("""COMPUTED_VALUE"""),45978.66666666667)</f>
        <v>45978.66667</v>
      </c>
      <c r="B1120" s="1">
        <f>IFERROR(__xludf.DUMMYFUNCTION("""COMPUTED_VALUE"""),508.45)</f>
        <v>508.45</v>
      </c>
      <c r="C1120" s="1">
        <f>IFERROR(__xludf.DUMMYFUNCTION("""COMPUTED_VALUE"""),512.12)</f>
        <v>512.12</v>
      </c>
      <c r="D1120" s="1">
        <f>IFERROR(__xludf.DUMMYFUNCTION("""COMPUTED_VALUE"""),504.91)</f>
        <v>504.91</v>
      </c>
      <c r="E1120" s="1">
        <f>IFERROR(__xludf.DUMMYFUNCTION("""COMPUTED_VALUE"""),507.49)</f>
        <v>507.49</v>
      </c>
      <c r="F1120" s="1">
        <f>IFERROR(__xludf.DUMMYFUNCTION("""COMPUTED_VALUE"""),1.9092752E7)</f>
        <v>19092752</v>
      </c>
    </row>
    <row r="1121">
      <c r="A1121" s="2">
        <f>IFERROR(__xludf.DUMMYFUNCTION("""COMPUTED_VALUE"""),45979.66666666667)</f>
        <v>45979.66667</v>
      </c>
      <c r="B1121" s="1">
        <f>IFERROR(__xludf.DUMMYFUNCTION("""COMPUTED_VALUE"""),495.37)</f>
        <v>495.37</v>
      </c>
      <c r="C1121" s="1">
        <f>IFERROR(__xludf.DUMMYFUNCTION("""COMPUTED_VALUE"""),502.98)</f>
        <v>502.98</v>
      </c>
      <c r="D1121" s="1">
        <f>IFERROR(__xludf.DUMMYFUNCTION("""COMPUTED_VALUE"""),486.78)</f>
        <v>486.78</v>
      </c>
      <c r="E1121" s="1">
        <f>IFERROR(__xludf.DUMMYFUNCTION("""COMPUTED_VALUE"""),493.79)</f>
        <v>493.79</v>
      </c>
      <c r="F1121" s="1">
        <f>IFERROR(__xludf.DUMMYFUNCTION("""COMPUTED_VALUE"""),3.3815114E7)</f>
        <v>33815114</v>
      </c>
    </row>
    <row r="1122">
      <c r="A1122" s="2">
        <f>IFERROR(__xludf.DUMMYFUNCTION("""COMPUTED_VALUE"""),45980.66666666667)</f>
        <v>45980.66667</v>
      </c>
      <c r="B1122" s="1">
        <f>IFERROR(__xludf.DUMMYFUNCTION("""COMPUTED_VALUE"""),490.1)</f>
        <v>490.1</v>
      </c>
      <c r="C1122" s="1">
        <f>IFERROR(__xludf.DUMMYFUNCTION("""COMPUTED_VALUE"""),495.19)</f>
        <v>495.19</v>
      </c>
      <c r="D1122" s="1">
        <f>IFERROR(__xludf.DUMMYFUNCTION("""COMPUTED_VALUE"""),482.83)</f>
        <v>482.83</v>
      </c>
      <c r="E1122" s="1">
        <f>IFERROR(__xludf.DUMMYFUNCTION("""COMPUTED_VALUE"""),487.12)</f>
        <v>487.12</v>
      </c>
      <c r="F1122" s="1">
        <f>IFERROR(__xludf.DUMMYFUNCTION("""COMPUTED_VALUE"""),2.3245314E7)</f>
        <v>23245314</v>
      </c>
    </row>
    <row r="1123">
      <c r="A1123" s="2">
        <f>IFERROR(__xludf.DUMMYFUNCTION("""COMPUTED_VALUE"""),45981.66666666667)</f>
        <v>45981.66667</v>
      </c>
      <c r="B1123" s="1">
        <f>IFERROR(__xludf.DUMMYFUNCTION("""COMPUTED_VALUE"""),492.71)</f>
        <v>492.71</v>
      </c>
      <c r="C1123" s="1">
        <f>IFERROR(__xludf.DUMMYFUNCTION("""COMPUTED_VALUE"""),493.57)</f>
        <v>493.57</v>
      </c>
      <c r="D1123" s="1">
        <f>IFERROR(__xludf.DUMMYFUNCTION("""COMPUTED_VALUE"""),475.5)</f>
        <v>475.5</v>
      </c>
      <c r="E1123" s="1">
        <f>IFERROR(__xludf.DUMMYFUNCTION("""COMPUTED_VALUE"""),478.43)</f>
        <v>478.43</v>
      </c>
      <c r="F1123" s="1">
        <f>IFERROR(__xludf.DUMMYFUNCTION("""COMPUTED_VALUE"""),2.6802542E7)</f>
        <v>26802542</v>
      </c>
    </row>
    <row r="1124">
      <c r="A1124" s="2">
        <f>IFERROR(__xludf.DUMMYFUNCTION("""COMPUTED_VALUE"""),45982.66666666667)</f>
        <v>45982.66667</v>
      </c>
      <c r="B1124" s="1">
        <f>IFERROR(__xludf.DUMMYFUNCTION("""COMPUTED_VALUE"""),478.5)</f>
        <v>478.5</v>
      </c>
      <c r="C1124" s="1">
        <f>IFERROR(__xludf.DUMMYFUNCTION("""COMPUTED_VALUE"""),478.92)</f>
        <v>478.92</v>
      </c>
      <c r="D1124" s="1">
        <f>IFERROR(__xludf.DUMMYFUNCTION("""COMPUTED_VALUE"""),468.27)</f>
        <v>468.27</v>
      </c>
      <c r="E1124" s="1">
        <f>IFERROR(__xludf.DUMMYFUNCTION("""COMPUTED_VALUE"""),472.12)</f>
        <v>472.12</v>
      </c>
      <c r="F1124" s="1">
        <f>IFERROR(__xludf.DUMMYFUNCTION("""COMPUTED_VALUE"""),3.1769248E7)</f>
        <v>31769248</v>
      </c>
    </row>
    <row r="1125">
      <c r="A1125" s="2">
        <f>IFERROR(__xludf.DUMMYFUNCTION("""COMPUTED_VALUE"""),45985.66666666667)</f>
        <v>45985.66667</v>
      </c>
      <c r="B1125" s="1">
        <f>IFERROR(__xludf.DUMMYFUNCTION("""COMPUTED_VALUE"""),475.0)</f>
        <v>475</v>
      </c>
      <c r="C1125" s="1">
        <f>IFERROR(__xludf.DUMMYFUNCTION("""COMPUTED_VALUE"""),476.9)</f>
        <v>476.9</v>
      </c>
      <c r="D1125" s="1">
        <f>IFERROR(__xludf.DUMMYFUNCTION("""COMPUTED_VALUE"""),468.02)</f>
        <v>468.02</v>
      </c>
      <c r="E1125" s="1">
        <f>IFERROR(__xludf.DUMMYFUNCTION("""COMPUTED_VALUE"""),474.0)</f>
        <v>474</v>
      </c>
      <c r="F1125" s="1">
        <f>IFERROR(__xludf.DUMMYFUNCTION("""COMPUTED_VALUE"""),3.4421046E7)</f>
        <v>34421046</v>
      </c>
    </row>
    <row r="1126">
      <c r="A1126" s="2">
        <f>IFERROR(__xludf.DUMMYFUNCTION("""COMPUTED_VALUE"""),45986.66666666667)</f>
        <v>45986.66667</v>
      </c>
      <c r="B1126" s="1">
        <f>IFERROR(__xludf.DUMMYFUNCTION("""COMPUTED_VALUE"""),474.07)</f>
        <v>474.07</v>
      </c>
      <c r="C1126" s="1">
        <f>IFERROR(__xludf.DUMMYFUNCTION("""COMPUTED_VALUE"""),479.15)</f>
        <v>479.15</v>
      </c>
      <c r="D1126" s="1">
        <f>IFERROR(__xludf.DUMMYFUNCTION("""COMPUTED_VALUE"""),464.89)</f>
        <v>464.89</v>
      </c>
      <c r="E1126" s="1">
        <f>IFERROR(__xludf.DUMMYFUNCTION("""COMPUTED_VALUE"""),476.99)</f>
        <v>476.99</v>
      </c>
      <c r="F1126" s="1">
        <f>IFERROR(__xludf.DUMMYFUNCTION("""COMPUTED_VALUE"""),2.8019793E7)</f>
        <v>28019793</v>
      </c>
    </row>
    <row r="1127">
      <c r="A1127" s="2">
        <f>IFERROR(__xludf.DUMMYFUNCTION("""COMPUTED_VALUE"""),45987.66666666667)</f>
        <v>45987.66667</v>
      </c>
      <c r="B1127" s="1">
        <f>IFERROR(__xludf.DUMMYFUNCTION("""COMPUTED_VALUE"""),486.31)</f>
        <v>486.31</v>
      </c>
      <c r="C1127" s="1">
        <f>IFERROR(__xludf.DUMMYFUNCTION("""COMPUTED_VALUE"""),488.31)</f>
        <v>488.31</v>
      </c>
      <c r="D1127" s="1">
        <f>IFERROR(__xludf.DUMMYFUNCTION("""COMPUTED_VALUE"""),481.2)</f>
        <v>481.2</v>
      </c>
      <c r="E1127" s="1">
        <f>IFERROR(__xludf.DUMMYFUNCTION("""COMPUTED_VALUE"""),485.5)</f>
        <v>485.5</v>
      </c>
      <c r="F1127" s="1">
        <f>IFERROR(__xludf.DUMMYFUNCTION("""COMPUTED_VALUE"""),2.5709079E7)</f>
        <v>25709079</v>
      </c>
    </row>
    <row r="1128">
      <c r="A1128" s="2">
        <f>IFERROR(__xludf.DUMMYFUNCTION("""COMPUTED_VALUE"""),45989.54513888889)</f>
        <v>45989.54514</v>
      </c>
      <c r="B1128" s="1">
        <f>IFERROR(__xludf.DUMMYFUNCTION("""COMPUTED_VALUE"""),487.6)</f>
        <v>487.6</v>
      </c>
      <c r="C1128" s="1">
        <f>IFERROR(__xludf.DUMMYFUNCTION("""COMPUTED_VALUE"""),492.63)</f>
        <v>492.63</v>
      </c>
      <c r="D1128" s="1">
        <f>IFERROR(__xludf.DUMMYFUNCTION("""COMPUTED_VALUE"""),486.65)</f>
        <v>486.65</v>
      </c>
      <c r="E1128" s="1">
        <f>IFERROR(__xludf.DUMMYFUNCTION("""COMPUTED_VALUE"""),492.01)</f>
        <v>492.01</v>
      </c>
      <c r="F1128" s="1">
        <f>IFERROR(__xludf.DUMMYFUNCTION("""COMPUTED_VALUE"""),1.438673E7)</f>
        <v>14386730</v>
      </c>
    </row>
    <row r="1129">
      <c r="A1129" s="2">
        <f>IFERROR(__xludf.DUMMYFUNCTION("""COMPUTED_VALUE"""),45992.66666666667)</f>
        <v>45992.66667</v>
      </c>
      <c r="B1129" s="1">
        <f>IFERROR(__xludf.DUMMYFUNCTION("""COMPUTED_VALUE"""),488.44)</f>
        <v>488.44</v>
      </c>
      <c r="C1129" s="1">
        <f>IFERROR(__xludf.DUMMYFUNCTION("""COMPUTED_VALUE"""),489.86)</f>
        <v>489.86</v>
      </c>
      <c r="D1129" s="1">
        <f>IFERROR(__xludf.DUMMYFUNCTION("""COMPUTED_VALUE"""),484.65)</f>
        <v>484.65</v>
      </c>
      <c r="E1129" s="1">
        <f>IFERROR(__xludf.DUMMYFUNCTION("""COMPUTED_VALUE"""),486.74)</f>
        <v>486.74</v>
      </c>
      <c r="F1129" s="1">
        <f>IFERROR(__xludf.DUMMYFUNCTION("""COMPUTED_VALUE"""),2.3963993E7)</f>
        <v>23963993</v>
      </c>
    </row>
    <row r="1130">
      <c r="A1130" s="2">
        <f>IFERROR(__xludf.DUMMYFUNCTION("""COMPUTED_VALUE"""),45993.66666666667)</f>
        <v>45993.66667</v>
      </c>
      <c r="B1130" s="1">
        <f>IFERROR(__xludf.DUMMYFUNCTION("""COMPUTED_VALUE"""),486.72)</f>
        <v>486.72</v>
      </c>
      <c r="C1130" s="1">
        <f>IFERROR(__xludf.DUMMYFUNCTION("""COMPUTED_VALUE"""),493.5)</f>
        <v>493.5</v>
      </c>
      <c r="D1130" s="1">
        <f>IFERROR(__xludf.DUMMYFUNCTION("""COMPUTED_VALUE"""),486.32)</f>
        <v>486.32</v>
      </c>
      <c r="E1130" s="1">
        <f>IFERROR(__xludf.DUMMYFUNCTION("""COMPUTED_VALUE"""),490.0)</f>
        <v>490</v>
      </c>
      <c r="F1130" s="1">
        <f>IFERROR(__xludf.DUMMYFUNCTION("""COMPUTED_VALUE"""),1.9562722E7)</f>
        <v>19562722</v>
      </c>
    </row>
    <row r="1131">
      <c r="A1131" s="2">
        <f>IFERROR(__xludf.DUMMYFUNCTION("""COMPUTED_VALUE"""),45994.66666666667)</f>
        <v>45994.66667</v>
      </c>
      <c r="B1131" s="1">
        <f>IFERROR(__xludf.DUMMYFUNCTION("""COMPUTED_VALUE"""),476.32)</f>
        <v>476.32</v>
      </c>
      <c r="C1131" s="1">
        <f>IFERROR(__xludf.DUMMYFUNCTION("""COMPUTED_VALUE"""),484.24)</f>
        <v>484.24</v>
      </c>
      <c r="D1131" s="1">
        <f>IFERROR(__xludf.DUMMYFUNCTION("""COMPUTED_VALUE"""),475.2)</f>
        <v>475.2</v>
      </c>
      <c r="E1131" s="1">
        <f>IFERROR(__xludf.DUMMYFUNCTION("""COMPUTED_VALUE"""),477.73)</f>
        <v>477.73</v>
      </c>
      <c r="F1131" s="1">
        <f>IFERROR(__xludf.DUMMYFUNCTION("""COMPUTED_VALUE"""),3.4615102E7)</f>
        <v>34615102</v>
      </c>
    </row>
    <row r="1132">
      <c r="A1132" s="2">
        <f>IFERROR(__xludf.DUMMYFUNCTION("""COMPUTED_VALUE"""),45995.66666666667)</f>
        <v>45995.66667</v>
      </c>
      <c r="B1132" s="1">
        <f>IFERROR(__xludf.DUMMYFUNCTION("""COMPUTED_VALUE"""),479.76)</f>
        <v>479.76</v>
      </c>
      <c r="C1132" s="1">
        <f>IFERROR(__xludf.DUMMYFUNCTION("""COMPUTED_VALUE"""),481.32)</f>
        <v>481.32</v>
      </c>
      <c r="D1132" s="1">
        <f>IFERROR(__xludf.DUMMYFUNCTION("""COMPUTED_VALUE"""),476.49)</f>
        <v>476.49</v>
      </c>
      <c r="E1132" s="1">
        <f>IFERROR(__xludf.DUMMYFUNCTION("""COMPUTED_VALUE"""),480.84)</f>
        <v>480.84</v>
      </c>
      <c r="F1132" s="1">
        <f>IFERROR(__xludf.DUMMYFUNCTION("""COMPUTED_VALUE"""),2.2318155E7)</f>
        <v>22318155</v>
      </c>
    </row>
    <row r="1133">
      <c r="A1133" s="2">
        <f>IFERROR(__xludf.DUMMYFUNCTION("""COMPUTED_VALUE"""),45996.66666666667)</f>
        <v>45996.66667</v>
      </c>
      <c r="B1133" s="1">
        <f>IFERROR(__xludf.DUMMYFUNCTION("""COMPUTED_VALUE"""),482.52)</f>
        <v>482.52</v>
      </c>
      <c r="C1133" s="1">
        <f>IFERROR(__xludf.DUMMYFUNCTION("""COMPUTED_VALUE"""),483.4)</f>
        <v>483.4</v>
      </c>
      <c r="D1133" s="1">
        <f>IFERROR(__xludf.DUMMYFUNCTION("""COMPUTED_VALUE"""),478.88)</f>
        <v>478.88</v>
      </c>
      <c r="E1133" s="1">
        <f>IFERROR(__xludf.DUMMYFUNCTION("""COMPUTED_VALUE"""),483.16)</f>
        <v>483.16</v>
      </c>
      <c r="F1133" s="1">
        <f>IFERROR(__xludf.DUMMYFUNCTION("""COMPUTED_VALUE"""),2.260871E7)</f>
        <v>22608710</v>
      </c>
    </row>
    <row r="1134">
      <c r="A1134" s="2">
        <f>IFERROR(__xludf.DUMMYFUNCTION("""COMPUTED_VALUE"""),45999.66666666667)</f>
        <v>45999.66667</v>
      </c>
      <c r="B1134" s="1">
        <f>IFERROR(__xludf.DUMMYFUNCTION("""COMPUTED_VALUE"""),484.89)</f>
        <v>484.89</v>
      </c>
      <c r="C1134" s="1">
        <f>IFERROR(__xludf.DUMMYFUNCTION("""COMPUTED_VALUE"""),492.3)</f>
        <v>492.3</v>
      </c>
      <c r="D1134" s="1">
        <f>IFERROR(__xludf.DUMMYFUNCTION("""COMPUTED_VALUE"""),484.38)</f>
        <v>484.38</v>
      </c>
      <c r="E1134" s="1">
        <f>IFERROR(__xludf.DUMMYFUNCTION("""COMPUTED_VALUE"""),491.02)</f>
        <v>491.02</v>
      </c>
      <c r="F1134" s="1">
        <f>IFERROR(__xludf.DUMMYFUNCTION("""COMPUTED_VALUE"""),2.19659E7)</f>
        <v>21965900</v>
      </c>
    </row>
    <row r="1135">
      <c r="A1135" s="2">
        <f>IFERROR(__xludf.DUMMYFUNCTION("""COMPUTED_VALUE"""),46000.66666666667)</f>
        <v>46000.66667</v>
      </c>
      <c r="B1135" s="1">
        <f>IFERROR(__xludf.DUMMYFUNCTION("""COMPUTED_VALUE"""),489.1)</f>
        <v>489.1</v>
      </c>
      <c r="C1135" s="1">
        <f>IFERROR(__xludf.DUMMYFUNCTION("""COMPUTED_VALUE"""),492.12)</f>
        <v>492.12</v>
      </c>
      <c r="D1135" s="1">
        <f>IFERROR(__xludf.DUMMYFUNCTION("""COMPUTED_VALUE"""),488.5)</f>
        <v>488.5</v>
      </c>
      <c r="E1135" s="1">
        <f>IFERROR(__xludf.DUMMYFUNCTION("""COMPUTED_VALUE"""),492.02)</f>
        <v>492.02</v>
      </c>
      <c r="F1135" s="1">
        <f>IFERROR(__xludf.DUMMYFUNCTION("""COMPUTED_VALUE"""),1.4696078E7)</f>
        <v>14696078</v>
      </c>
    </row>
    <row r="1136">
      <c r="A1136" s="2">
        <f>IFERROR(__xludf.DUMMYFUNCTION("""COMPUTED_VALUE"""),46001.66666666667)</f>
        <v>46001.66667</v>
      </c>
      <c r="B1136" s="1">
        <f>IFERROR(__xludf.DUMMYFUNCTION("""COMPUTED_VALUE"""),484.03)</f>
        <v>484.03</v>
      </c>
      <c r="C1136" s="1">
        <f>IFERROR(__xludf.DUMMYFUNCTION("""COMPUTED_VALUE"""),484.25)</f>
        <v>484.25</v>
      </c>
      <c r="D1136" s="1">
        <f>IFERROR(__xludf.DUMMYFUNCTION("""COMPUTED_VALUE"""),475.08)</f>
        <v>475.08</v>
      </c>
      <c r="E1136" s="1">
        <f>IFERROR(__xludf.DUMMYFUNCTION("""COMPUTED_VALUE"""),478.56)</f>
        <v>478.56</v>
      </c>
      <c r="F1136" s="1">
        <f>IFERROR(__xludf.DUMMYFUNCTION("""COMPUTED_VALUE"""),3.5756229E7)</f>
        <v>35756229</v>
      </c>
    </row>
    <row r="1137">
      <c r="A1137" s="2">
        <f>IFERROR(__xludf.DUMMYFUNCTION("""COMPUTED_VALUE"""),46002.66666666667)</f>
        <v>46002.66667</v>
      </c>
      <c r="B1137" s="1">
        <f>IFERROR(__xludf.DUMMYFUNCTION("""COMPUTED_VALUE"""),476.63)</f>
        <v>476.63</v>
      </c>
      <c r="C1137" s="1">
        <f>IFERROR(__xludf.DUMMYFUNCTION("""COMPUTED_VALUE"""),486.03)</f>
        <v>486.03</v>
      </c>
      <c r="D1137" s="1">
        <f>IFERROR(__xludf.DUMMYFUNCTION("""COMPUTED_VALUE"""),475.86)</f>
        <v>475.86</v>
      </c>
      <c r="E1137" s="1">
        <f>IFERROR(__xludf.DUMMYFUNCTION("""COMPUTED_VALUE"""),483.47)</f>
        <v>483.47</v>
      </c>
      <c r="F1137" s="1">
        <f>IFERROR(__xludf.DUMMYFUNCTION("""COMPUTED_VALUE"""),2.466918E7)</f>
        <v>24669180</v>
      </c>
    </row>
    <row r="1138">
      <c r="A1138" s="2">
        <f>IFERROR(__xludf.DUMMYFUNCTION("""COMPUTED_VALUE"""),46003.66666666667)</f>
        <v>46003.66667</v>
      </c>
      <c r="B1138" s="1">
        <f>IFERROR(__xludf.DUMMYFUNCTION("""COMPUTED_VALUE"""),479.82)</f>
        <v>479.82</v>
      </c>
      <c r="C1138" s="1">
        <f>IFERROR(__xludf.DUMMYFUNCTION("""COMPUTED_VALUE"""),482.45)</f>
        <v>482.45</v>
      </c>
      <c r="D1138" s="1">
        <f>IFERROR(__xludf.DUMMYFUNCTION("""COMPUTED_VALUE"""),476.34)</f>
        <v>476.34</v>
      </c>
      <c r="E1138" s="1">
        <f>IFERROR(__xludf.DUMMYFUNCTION("""COMPUTED_VALUE"""),478.53)</f>
        <v>478.53</v>
      </c>
      <c r="F1138" s="1">
        <f>IFERROR(__xludf.DUMMYFUNCTION("""COMPUTED_VALUE"""),2.1248102E7)</f>
        <v>21248102</v>
      </c>
    </row>
    <row r="1139">
      <c r="A1139" s="2">
        <f>IFERROR(__xludf.DUMMYFUNCTION("""COMPUTED_VALUE"""),46006.66666666667)</f>
        <v>46006.66667</v>
      </c>
      <c r="B1139" s="1">
        <f>IFERROR(__xludf.DUMMYFUNCTION("""COMPUTED_VALUE"""),480.1)</f>
        <v>480.1</v>
      </c>
      <c r="C1139" s="1">
        <f>IFERROR(__xludf.DUMMYFUNCTION("""COMPUTED_VALUE"""),480.72)</f>
        <v>480.72</v>
      </c>
      <c r="D1139" s="1">
        <f>IFERROR(__xludf.DUMMYFUNCTION("""COMPUTED_VALUE"""),472.52)</f>
        <v>472.52</v>
      </c>
      <c r="E1139" s="1">
        <f>IFERROR(__xludf.DUMMYFUNCTION("""COMPUTED_VALUE"""),474.82)</f>
        <v>474.82</v>
      </c>
      <c r="F1139" s="1">
        <f>IFERROR(__xludf.DUMMYFUNCTION("""COMPUTED_VALUE"""),2.3727694E7)</f>
        <v>23727694</v>
      </c>
    </row>
    <row r="1140">
      <c r="A1140" s="2">
        <f>IFERROR(__xludf.DUMMYFUNCTION("""COMPUTED_VALUE"""),46007.66666666667)</f>
        <v>46007.66667</v>
      </c>
      <c r="B1140" s="1">
        <f>IFERROR(__xludf.DUMMYFUNCTION("""COMPUTED_VALUE"""),471.91)</f>
        <v>471.91</v>
      </c>
      <c r="C1140" s="1">
        <f>IFERROR(__xludf.DUMMYFUNCTION("""COMPUTED_VALUE"""),477.89)</f>
        <v>477.89</v>
      </c>
      <c r="D1140" s="1">
        <f>IFERROR(__xludf.DUMMYFUNCTION("""COMPUTED_VALUE"""),470.88)</f>
        <v>470.88</v>
      </c>
      <c r="E1140" s="1">
        <f>IFERROR(__xludf.DUMMYFUNCTION("""COMPUTED_VALUE"""),476.39)</f>
        <v>476.39</v>
      </c>
      <c r="F1140" s="1">
        <f>IFERROR(__xludf.DUMMYFUNCTION("""COMPUTED_VALUE"""),2.070556E7)</f>
        <v>20705560</v>
      </c>
    </row>
    <row r="1141">
      <c r="A1141" s="2">
        <f>IFERROR(__xludf.DUMMYFUNCTION("""COMPUTED_VALUE"""),46008.66666666667)</f>
        <v>46008.66667</v>
      </c>
      <c r="B1141" s="1">
        <f>IFERROR(__xludf.DUMMYFUNCTION("""COMPUTED_VALUE"""),476.91)</f>
        <v>476.91</v>
      </c>
      <c r="C1141" s="1">
        <f>IFERROR(__xludf.DUMMYFUNCTION("""COMPUTED_VALUE"""),480.0)</f>
        <v>480</v>
      </c>
      <c r="D1141" s="1">
        <f>IFERROR(__xludf.DUMMYFUNCTION("""COMPUTED_VALUE"""),475.0)</f>
        <v>475</v>
      </c>
      <c r="E1141" s="1">
        <f>IFERROR(__xludf.DUMMYFUNCTION("""COMPUTED_VALUE"""),476.12)</f>
        <v>476.12</v>
      </c>
      <c r="F1141" s="1">
        <f>IFERROR(__xludf.DUMMYFUNCTION("""COMPUTED_VALUE"""),2.4527176E7)</f>
        <v>24527176</v>
      </c>
    </row>
    <row r="1142">
      <c r="A1142" s="2">
        <f>IFERROR(__xludf.DUMMYFUNCTION("""COMPUTED_VALUE"""),46009.66666666667)</f>
        <v>46009.66667</v>
      </c>
      <c r="B1142" s="1">
        <f>IFERROR(__xludf.DUMMYFUNCTION("""COMPUTED_VALUE"""),478.19)</f>
        <v>478.19</v>
      </c>
      <c r="C1142" s="1">
        <f>IFERROR(__xludf.DUMMYFUNCTION("""COMPUTED_VALUE"""),489.6)</f>
        <v>489.6</v>
      </c>
      <c r="D1142" s="1">
        <f>IFERROR(__xludf.DUMMYFUNCTION("""COMPUTED_VALUE"""),477.89)</f>
        <v>477.89</v>
      </c>
      <c r="E1142" s="1">
        <f>IFERROR(__xludf.DUMMYFUNCTION("""COMPUTED_VALUE"""),483.98)</f>
        <v>483.98</v>
      </c>
      <c r="F1142" s="1">
        <f>IFERROR(__xludf.DUMMYFUNCTION("""COMPUTED_VALUE"""),2.8573545E7)</f>
        <v>28573545</v>
      </c>
    </row>
    <row r="1143">
      <c r="A1143" s="2">
        <f>IFERROR(__xludf.DUMMYFUNCTION("""COMPUTED_VALUE"""),46010.66666666667)</f>
        <v>46010.66667</v>
      </c>
      <c r="B1143" s="1">
        <f>IFERROR(__xludf.DUMMYFUNCTION("""COMPUTED_VALUE"""),487.36)</f>
        <v>487.36</v>
      </c>
      <c r="C1143" s="1">
        <f>IFERROR(__xludf.DUMMYFUNCTION("""COMPUTED_VALUE"""),487.85)</f>
        <v>487.85</v>
      </c>
      <c r="D1143" s="1">
        <f>IFERROR(__xludf.DUMMYFUNCTION("""COMPUTED_VALUE"""),482.49)</f>
        <v>482.49</v>
      </c>
      <c r="E1143" s="1">
        <f>IFERROR(__xludf.DUMMYFUNCTION("""COMPUTED_VALUE"""),485.92)</f>
        <v>485.92</v>
      </c>
      <c r="F1143" s="1">
        <f>IFERROR(__xludf.DUMMYFUNCTION("""COMPUTED_VALUE"""),7.0836105E7)</f>
        <v>70836105</v>
      </c>
    </row>
    <row r="1144">
      <c r="A1144" s="2">
        <f>IFERROR(__xludf.DUMMYFUNCTION("""COMPUTED_VALUE"""),46013.66666666667)</f>
        <v>46013.66667</v>
      </c>
      <c r="B1144" s="1">
        <f>IFERROR(__xludf.DUMMYFUNCTION("""COMPUTED_VALUE"""),486.12)</f>
        <v>486.12</v>
      </c>
      <c r="C1144" s="1">
        <f>IFERROR(__xludf.DUMMYFUNCTION("""COMPUTED_VALUE"""),488.73)</f>
        <v>488.73</v>
      </c>
      <c r="D1144" s="1">
        <f>IFERROR(__xludf.DUMMYFUNCTION("""COMPUTED_VALUE"""),482.69)</f>
        <v>482.69</v>
      </c>
      <c r="E1144" s="1">
        <f>IFERROR(__xludf.DUMMYFUNCTION("""COMPUTED_VALUE"""),484.92)</f>
        <v>484.92</v>
      </c>
      <c r="F1144" s="1">
        <f>IFERROR(__xludf.DUMMYFUNCTION("""COMPUTED_VALUE"""),1.6963019E7)</f>
        <v>16963019</v>
      </c>
    </row>
    <row r="1145">
      <c r="A1145" s="2">
        <f>IFERROR(__xludf.DUMMYFUNCTION("""COMPUTED_VALUE"""),46014.66666666667)</f>
        <v>46014.66667</v>
      </c>
      <c r="B1145" s="1">
        <f>IFERROR(__xludf.DUMMYFUNCTION("""COMPUTED_VALUE"""),484.98)</f>
        <v>484.98</v>
      </c>
      <c r="C1145" s="1">
        <f>IFERROR(__xludf.DUMMYFUNCTION("""COMPUTED_VALUE"""),487.83)</f>
        <v>487.83</v>
      </c>
      <c r="D1145" s="1">
        <f>IFERROR(__xludf.DUMMYFUNCTION("""COMPUTED_VALUE"""),484.74)</f>
        <v>484.74</v>
      </c>
      <c r="E1145" s="1">
        <f>IFERROR(__xludf.DUMMYFUNCTION("""COMPUTED_VALUE"""),486.85)</f>
        <v>486.85</v>
      </c>
      <c r="F1145" s="1">
        <f>IFERROR(__xludf.DUMMYFUNCTION("""COMPUTED_VALUE"""),1.4683582E7)</f>
        <v>14683582</v>
      </c>
    </row>
    <row r="1146">
      <c r="A1146" s="2">
        <f>IFERROR(__xludf.DUMMYFUNCTION("""COMPUTED_VALUE"""),46015.54513888889)</f>
        <v>46015.54514</v>
      </c>
      <c r="B1146" s="1">
        <f>IFERROR(__xludf.DUMMYFUNCTION("""COMPUTED_VALUE"""),485.68)</f>
        <v>485.68</v>
      </c>
      <c r="C1146" s="1">
        <f>IFERROR(__xludf.DUMMYFUNCTION("""COMPUTED_VALUE"""),489.16)</f>
        <v>489.16</v>
      </c>
      <c r="D1146" s="1">
        <f>IFERROR(__xludf.DUMMYFUNCTION("""COMPUTED_VALUE"""),484.83)</f>
        <v>484.83</v>
      </c>
      <c r="E1146" s="1">
        <f>IFERROR(__xludf.DUMMYFUNCTION("""COMPUTED_VALUE"""),488.02)</f>
        <v>488.02</v>
      </c>
      <c r="F1146" s="1">
        <f>IFERROR(__xludf.DUMMYFUNCTION("""COMPUTED_VALUE"""),5855880.0)</f>
        <v>5855880</v>
      </c>
    </row>
    <row r="1147">
      <c r="A1147" s="2">
        <f>IFERROR(__xludf.DUMMYFUNCTION("""COMPUTED_VALUE"""),46017.66666666667)</f>
        <v>46017.66667</v>
      </c>
      <c r="B1147" s="1">
        <f>IFERROR(__xludf.DUMMYFUNCTION("""COMPUTED_VALUE"""),486.71)</f>
        <v>486.71</v>
      </c>
      <c r="C1147" s="1">
        <f>IFERROR(__xludf.DUMMYFUNCTION("""COMPUTED_VALUE"""),488.12)</f>
        <v>488.12</v>
      </c>
      <c r="D1147" s="1">
        <f>IFERROR(__xludf.DUMMYFUNCTION("""COMPUTED_VALUE"""),485.96)</f>
        <v>485.96</v>
      </c>
      <c r="E1147" s="1">
        <f>IFERROR(__xludf.DUMMYFUNCTION("""COMPUTED_VALUE"""),487.71)</f>
        <v>487.71</v>
      </c>
      <c r="F1147" s="1">
        <f>IFERROR(__xludf.DUMMYFUNCTION("""COMPUTED_VALUE"""),8842175.0)</f>
        <v>8842175</v>
      </c>
    </row>
    <row r="1148">
      <c r="A1148" s="2">
        <f>IFERROR(__xludf.DUMMYFUNCTION("""COMPUTED_VALUE"""),46020.66666666667)</f>
        <v>46020.66667</v>
      </c>
      <c r="B1148" s="1">
        <f>IFERROR(__xludf.DUMMYFUNCTION("""COMPUTED_VALUE"""),484.86)</f>
        <v>484.86</v>
      </c>
      <c r="C1148" s="1">
        <f>IFERROR(__xludf.DUMMYFUNCTION("""COMPUTED_VALUE"""),488.35)</f>
        <v>488.35</v>
      </c>
      <c r="D1148" s="1">
        <f>IFERROR(__xludf.DUMMYFUNCTION("""COMPUTED_VALUE"""),484.18)</f>
        <v>484.18</v>
      </c>
      <c r="E1148" s="1">
        <f>IFERROR(__xludf.DUMMYFUNCTION("""COMPUTED_VALUE"""),487.1)</f>
        <v>487.1</v>
      </c>
      <c r="F1148" s="1">
        <f>IFERROR(__xludf.DUMMYFUNCTION("""COMPUTED_VALUE"""),1.0893408E7)</f>
        <v>10893408</v>
      </c>
    </row>
    <row r="1149">
      <c r="A1149" s="2">
        <f>IFERROR(__xludf.DUMMYFUNCTION("""COMPUTED_VALUE"""),46021.66666666667)</f>
        <v>46021.66667</v>
      </c>
      <c r="B1149" s="1">
        <f>IFERROR(__xludf.DUMMYFUNCTION("""COMPUTED_VALUE"""),485.93)</f>
        <v>485.93</v>
      </c>
      <c r="C1149" s="1">
        <f>IFERROR(__xludf.DUMMYFUNCTION("""COMPUTED_VALUE"""),489.68)</f>
        <v>489.68</v>
      </c>
      <c r="D1149" s="1">
        <f>IFERROR(__xludf.DUMMYFUNCTION("""COMPUTED_VALUE"""),485.5)</f>
        <v>485.5</v>
      </c>
      <c r="E1149" s="1">
        <f>IFERROR(__xludf.DUMMYFUNCTION("""COMPUTED_VALUE"""),487.48)</f>
        <v>487.48</v>
      </c>
      <c r="F1149" s="1">
        <f>IFERROR(__xludf.DUMMYFUNCTION("""COMPUTED_VALUE"""),1.3944512E7)</f>
        <v>13944512</v>
      </c>
    </row>
    <row r="1150">
      <c r="A1150" s="2">
        <f>IFERROR(__xludf.DUMMYFUNCTION("""COMPUTED_VALUE"""),46022.66666666667)</f>
        <v>46022.66667</v>
      </c>
      <c r="B1150" s="1">
        <f>IFERROR(__xludf.DUMMYFUNCTION("""COMPUTED_VALUE"""),487.84)</f>
        <v>487.84</v>
      </c>
      <c r="C1150" s="1">
        <f>IFERROR(__xludf.DUMMYFUNCTION("""COMPUTED_VALUE"""),488.14)</f>
        <v>488.14</v>
      </c>
      <c r="D1150" s="1">
        <f>IFERROR(__xludf.DUMMYFUNCTION("""COMPUTED_VALUE"""),483.3)</f>
        <v>483.3</v>
      </c>
      <c r="E1150" s="1">
        <f>IFERROR(__xludf.DUMMYFUNCTION("""COMPUTED_VALUE"""),483.62)</f>
        <v>483.62</v>
      </c>
      <c r="F1150" s="1">
        <f>IFERROR(__xludf.DUMMYFUNCTION("""COMPUTED_VALUE"""),1.5601554E7)</f>
        <v>15601554</v>
      </c>
    </row>
    <row r="1151">
      <c r="A1151" s="2">
        <f>IFERROR(__xludf.DUMMYFUNCTION("""COMPUTED_VALUE"""),46024.66666666667)</f>
        <v>46024.66667</v>
      </c>
      <c r="B1151" s="1">
        <f>IFERROR(__xludf.DUMMYFUNCTION("""COMPUTED_VALUE"""),484.39)</f>
        <v>484.39</v>
      </c>
      <c r="C1151" s="1">
        <f>IFERROR(__xludf.DUMMYFUNCTION("""COMPUTED_VALUE"""),484.66)</f>
        <v>484.66</v>
      </c>
      <c r="D1151" s="1">
        <f>IFERROR(__xludf.DUMMYFUNCTION("""COMPUTED_VALUE"""),470.16)</f>
        <v>470.16</v>
      </c>
      <c r="E1151" s="1">
        <f>IFERROR(__xludf.DUMMYFUNCTION("""COMPUTED_VALUE"""),472.94)</f>
        <v>472.94</v>
      </c>
      <c r="F1151" s="1">
        <f>IFERROR(__xludf.DUMMYFUNCTION("""COMPUTED_VALUE"""),2.5571567E7)</f>
        <v>25571567</v>
      </c>
    </row>
    <row r="1152">
      <c r="A1152" s="2">
        <f>IFERROR(__xludf.DUMMYFUNCTION("""COMPUTED_VALUE"""),46027.66666666667)</f>
        <v>46027.66667</v>
      </c>
      <c r="B1152" s="1">
        <f>IFERROR(__xludf.DUMMYFUNCTION("""COMPUTED_VALUE"""),474.06)</f>
        <v>474.06</v>
      </c>
      <c r="C1152" s="1">
        <f>IFERROR(__xludf.DUMMYFUNCTION("""COMPUTED_VALUE"""),476.07)</f>
        <v>476.07</v>
      </c>
      <c r="D1152" s="1">
        <f>IFERROR(__xludf.DUMMYFUNCTION("""COMPUTED_VALUE"""),469.5)</f>
        <v>469.5</v>
      </c>
      <c r="E1152" s="1">
        <f>IFERROR(__xludf.DUMMYFUNCTION("""COMPUTED_VALUE"""),472.85)</f>
        <v>472.85</v>
      </c>
      <c r="F1152" s="1">
        <f>IFERROR(__xludf.DUMMYFUNCTION("""COMPUTED_VALUE"""),2.525026E7)</f>
        <v>25250260</v>
      </c>
    </row>
    <row r="1153">
      <c r="A1153" s="2">
        <f>IFERROR(__xludf.DUMMYFUNCTION("""COMPUTED_VALUE"""),46028.66666666667)</f>
        <v>46028.66667</v>
      </c>
      <c r="B1153" s="1">
        <f>IFERROR(__xludf.DUMMYFUNCTION("""COMPUTED_VALUE"""),473.8)</f>
        <v>473.8</v>
      </c>
      <c r="C1153" s="1">
        <f>IFERROR(__xludf.DUMMYFUNCTION("""COMPUTED_VALUE"""),478.74)</f>
        <v>478.74</v>
      </c>
      <c r="D1153" s="1">
        <f>IFERROR(__xludf.DUMMYFUNCTION("""COMPUTED_VALUE"""),469.75)</f>
        <v>469.75</v>
      </c>
      <c r="E1153" s="1">
        <f>IFERROR(__xludf.DUMMYFUNCTION("""COMPUTED_VALUE"""),478.51)</f>
        <v>478.51</v>
      </c>
      <c r="F1153" s="1">
        <f>IFERROR(__xludf.DUMMYFUNCTION("""COMPUTED_VALUE"""),2.3037665E7)</f>
        <v>23037665</v>
      </c>
    </row>
    <row r="1154">
      <c r="A1154" s="2">
        <f>IFERROR(__xludf.DUMMYFUNCTION("""COMPUTED_VALUE"""),46029.66666666667)</f>
        <v>46029.66667</v>
      </c>
      <c r="B1154" s="1">
        <f>IFERROR(__xludf.DUMMYFUNCTION("""COMPUTED_VALUE"""),479.76)</f>
        <v>479.76</v>
      </c>
      <c r="C1154" s="1">
        <f>IFERROR(__xludf.DUMMYFUNCTION("""COMPUTED_VALUE"""),489.7)</f>
        <v>489.7</v>
      </c>
      <c r="D1154" s="1">
        <f>IFERROR(__xludf.DUMMYFUNCTION("""COMPUTED_VALUE"""),477.95)</f>
        <v>477.95</v>
      </c>
      <c r="E1154" s="1">
        <f>IFERROR(__xludf.DUMMYFUNCTION("""COMPUTED_VALUE"""),483.47)</f>
        <v>483.47</v>
      </c>
      <c r="F1154" s="1">
        <f>IFERROR(__xludf.DUMMYFUNCTION("""COMPUTED_VALUE"""),2.5564196E7)</f>
        <v>25564196</v>
      </c>
    </row>
    <row r="1155">
      <c r="A1155" s="2">
        <f>IFERROR(__xludf.DUMMYFUNCTION("""COMPUTED_VALUE"""),46030.66666666667)</f>
        <v>46030.66667</v>
      </c>
      <c r="B1155" s="1">
        <f>IFERROR(__xludf.DUMMYFUNCTION("""COMPUTED_VALUE"""),481.24)</f>
        <v>481.24</v>
      </c>
      <c r="C1155" s="1">
        <f>IFERROR(__xludf.DUMMYFUNCTION("""COMPUTED_VALUE"""),482.66)</f>
        <v>482.66</v>
      </c>
      <c r="D1155" s="1">
        <f>IFERROR(__xludf.DUMMYFUNCTION("""COMPUTED_VALUE"""),475.86)</f>
        <v>475.86</v>
      </c>
      <c r="E1155" s="1">
        <f>IFERROR(__xludf.DUMMYFUNCTION("""COMPUTED_VALUE"""),478.11)</f>
        <v>478.11</v>
      </c>
      <c r="F1155" s="1">
        <f>IFERROR(__xludf.DUMMYFUNCTION("""COMPUTED_VALUE"""),1.8162616E7)</f>
        <v>18162616</v>
      </c>
    </row>
    <row r="1156">
      <c r="A1156" s="2">
        <f>IFERROR(__xludf.DUMMYFUNCTION("""COMPUTED_VALUE"""),46031.66666666667)</f>
        <v>46031.66667</v>
      </c>
      <c r="B1156" s="1">
        <f>IFERROR(__xludf.DUMMYFUNCTION("""COMPUTED_VALUE"""),474.06)</f>
        <v>474.06</v>
      </c>
      <c r="C1156" s="1">
        <f>IFERROR(__xludf.DUMMYFUNCTION("""COMPUTED_VALUE"""),479.82)</f>
        <v>479.82</v>
      </c>
      <c r="D1156" s="1">
        <f>IFERROR(__xludf.DUMMYFUNCTION("""COMPUTED_VALUE"""),472.2)</f>
        <v>472.2</v>
      </c>
      <c r="E1156" s="1">
        <f>IFERROR(__xludf.DUMMYFUNCTION("""COMPUTED_VALUE"""),479.28)</f>
        <v>479.28</v>
      </c>
      <c r="F1156" s="1">
        <f>IFERROR(__xludf.DUMMYFUNCTION("""COMPUTED_VALUE"""),1.8491036E7)</f>
        <v>18491036</v>
      </c>
    </row>
    <row r="1157">
      <c r="A1157" s="2">
        <f>IFERROR(__xludf.DUMMYFUNCTION("""COMPUTED_VALUE"""),46034.66666666667)</f>
        <v>46034.66667</v>
      </c>
      <c r="B1157" s="1">
        <f>IFERROR(__xludf.DUMMYFUNCTION("""COMPUTED_VALUE"""),476.67)</f>
        <v>476.67</v>
      </c>
      <c r="C1157" s="1">
        <f>IFERROR(__xludf.DUMMYFUNCTION("""COMPUTED_VALUE"""),480.99)</f>
        <v>480.99</v>
      </c>
      <c r="D1157" s="1">
        <f>IFERROR(__xludf.DUMMYFUNCTION("""COMPUTED_VALUE"""),475.68)</f>
        <v>475.68</v>
      </c>
      <c r="E1157" s="1">
        <f>IFERROR(__xludf.DUMMYFUNCTION("""COMPUTED_VALUE"""),477.18)</f>
        <v>477.18</v>
      </c>
      <c r="F1157" s="1">
        <f>IFERROR(__xludf.DUMMYFUNCTION("""COMPUTED_VALUE"""),2.3519895E7)</f>
        <v>23519895</v>
      </c>
    </row>
    <row r="1158">
      <c r="A1158" s="2">
        <f>IFERROR(__xludf.DUMMYFUNCTION("""COMPUTED_VALUE"""),46035.66666666667)</f>
        <v>46035.66667</v>
      </c>
      <c r="B1158" s="1">
        <f>IFERROR(__xludf.DUMMYFUNCTION("""COMPUTED_VALUE"""),474.68)</f>
        <v>474.68</v>
      </c>
      <c r="C1158" s="1">
        <f>IFERROR(__xludf.DUMMYFUNCTION("""COMPUTED_VALUE"""),475.78)</f>
        <v>475.78</v>
      </c>
      <c r="D1158" s="1">
        <f>IFERROR(__xludf.DUMMYFUNCTION("""COMPUTED_VALUE"""),465.95)</f>
        <v>465.95</v>
      </c>
      <c r="E1158" s="1">
        <f>IFERROR(__xludf.DUMMYFUNCTION("""COMPUTED_VALUE"""),470.67)</f>
        <v>470.67</v>
      </c>
      <c r="F1158" s="1">
        <f>IFERROR(__xludf.DUMMYFUNCTION("""COMPUTED_VALUE"""),2.85458E7)</f>
        <v>28545800</v>
      </c>
    </row>
    <row r="1159">
      <c r="A1159" s="2">
        <f>IFERROR(__xludf.DUMMYFUNCTION("""COMPUTED_VALUE"""),46036.66666666667)</f>
        <v>46036.66667</v>
      </c>
      <c r="B1159" s="1">
        <f>IFERROR(__xludf.DUMMYFUNCTION("""COMPUTED_VALUE"""),466.46)</f>
        <v>466.46</v>
      </c>
      <c r="C1159" s="1">
        <f>IFERROR(__xludf.DUMMYFUNCTION("""COMPUTED_VALUE"""),468.2)</f>
        <v>468.2</v>
      </c>
      <c r="D1159" s="1">
        <f>IFERROR(__xludf.DUMMYFUNCTION("""COMPUTED_VALUE"""),457.17)</f>
        <v>457.17</v>
      </c>
      <c r="E1159" s="1">
        <f>IFERROR(__xludf.DUMMYFUNCTION("""COMPUTED_VALUE"""),459.38)</f>
        <v>459.38</v>
      </c>
      <c r="F1159" s="1">
        <f>IFERROR(__xludf.DUMMYFUNCTION("""COMPUTED_VALUE"""),2.8184302E7)</f>
        <v>28184302</v>
      </c>
    </row>
    <row r="1160">
      <c r="A1160" s="2">
        <f>IFERROR(__xludf.DUMMYFUNCTION("""COMPUTED_VALUE"""),46037.66666666667)</f>
        <v>46037.66667</v>
      </c>
      <c r="B1160" s="1">
        <f>IFERROR(__xludf.DUMMYFUNCTION("""COMPUTED_VALUE"""),464.12)</f>
        <v>464.12</v>
      </c>
      <c r="C1160" s="1">
        <f>IFERROR(__xludf.DUMMYFUNCTION("""COMPUTED_VALUE"""),464.25)</f>
        <v>464.25</v>
      </c>
      <c r="D1160" s="1">
        <f>IFERROR(__xludf.DUMMYFUNCTION("""COMPUTED_VALUE"""),455.9)</f>
        <v>455.9</v>
      </c>
      <c r="E1160" s="1">
        <f>IFERROR(__xludf.DUMMYFUNCTION("""COMPUTED_VALUE"""),456.66)</f>
        <v>456.66</v>
      </c>
      <c r="F1160" s="1">
        <f>IFERROR(__xludf.DUMMYFUNCTION("""COMPUTED_VALUE"""),2.3225839E7)</f>
        <v>23225839</v>
      </c>
    </row>
    <row r="1161">
      <c r="A1161" s="2">
        <f>IFERROR(__xludf.DUMMYFUNCTION("""COMPUTED_VALUE"""),46038.66666666667)</f>
        <v>46038.66667</v>
      </c>
      <c r="B1161" s="1">
        <f>IFERROR(__xludf.DUMMYFUNCTION("""COMPUTED_VALUE"""),457.83)</f>
        <v>457.83</v>
      </c>
      <c r="C1161" s="1">
        <f>IFERROR(__xludf.DUMMYFUNCTION("""COMPUTED_VALUE"""),463.19)</f>
        <v>463.19</v>
      </c>
      <c r="D1161" s="1">
        <f>IFERROR(__xludf.DUMMYFUNCTION("""COMPUTED_VALUE"""),456.48)</f>
        <v>456.48</v>
      </c>
      <c r="E1161" s="1">
        <f>IFERROR(__xludf.DUMMYFUNCTION("""COMPUTED_VALUE"""),459.86)</f>
        <v>459.86</v>
      </c>
      <c r="F1161" s="1">
        <f>IFERROR(__xludf.DUMMYFUNCTION("""COMPUTED_VALUE"""),3.424665E7)</f>
        <v>34246650</v>
      </c>
    </row>
    <row r="1162">
      <c r="A1162" s="2">
        <f>IFERROR(__xludf.DUMMYFUNCTION("""COMPUTED_VALUE"""),46042.66666666667)</f>
        <v>46042.66667</v>
      </c>
      <c r="B1162" s="1">
        <f>IFERROR(__xludf.DUMMYFUNCTION("""COMPUTED_VALUE"""),451.22)</f>
        <v>451.22</v>
      </c>
      <c r="C1162" s="1">
        <f>IFERROR(__xludf.DUMMYFUNCTION("""COMPUTED_VALUE"""),456.8)</f>
        <v>456.8</v>
      </c>
      <c r="D1162" s="1">
        <f>IFERROR(__xludf.DUMMYFUNCTION("""COMPUTED_VALUE"""),449.28)</f>
        <v>449.28</v>
      </c>
      <c r="E1162" s="1">
        <f>IFERROR(__xludf.DUMMYFUNCTION("""COMPUTED_VALUE"""),454.52)</f>
        <v>454.52</v>
      </c>
      <c r="F1162" s="1">
        <f>IFERROR(__xludf.DUMMYFUNCTION("""COMPUTED_VALUE"""),2.6129992E7)</f>
        <v>26129992</v>
      </c>
    </row>
    <row r="1163">
      <c r="A1163" s="2">
        <f>IFERROR(__xludf.DUMMYFUNCTION("""COMPUTED_VALUE"""),46043.66666666667)</f>
        <v>46043.66667</v>
      </c>
      <c r="B1163" s="1">
        <f>IFERROR(__xludf.DUMMYFUNCTION("""COMPUTED_VALUE"""),452.6)</f>
        <v>452.6</v>
      </c>
      <c r="C1163" s="1">
        <f>IFERROR(__xludf.DUMMYFUNCTION("""COMPUTED_VALUE"""),452.69)</f>
        <v>452.69</v>
      </c>
      <c r="D1163" s="1">
        <f>IFERROR(__xludf.DUMMYFUNCTION("""COMPUTED_VALUE"""),438.68)</f>
        <v>438.68</v>
      </c>
      <c r="E1163" s="1">
        <f>IFERROR(__xludf.DUMMYFUNCTION("""COMPUTED_VALUE"""),444.11)</f>
        <v>444.11</v>
      </c>
      <c r="F1163" s="1">
        <f>IFERROR(__xludf.DUMMYFUNCTION("""COMPUTED_VALUE"""),3.798051E7)</f>
        <v>37980510</v>
      </c>
    </row>
    <row r="1164">
      <c r="A1164" s="2">
        <f>IFERROR(__xludf.DUMMYFUNCTION("""COMPUTED_VALUE"""),46044.66666666667)</f>
        <v>46044.66667</v>
      </c>
      <c r="B1164" s="1">
        <f>IFERROR(__xludf.DUMMYFUNCTION("""COMPUTED_VALUE"""),447.62)</f>
        <v>447.62</v>
      </c>
      <c r="C1164" s="1">
        <f>IFERROR(__xludf.DUMMYFUNCTION("""COMPUTED_VALUE"""),452.84)</f>
        <v>452.84</v>
      </c>
      <c r="D1164" s="1">
        <f>IFERROR(__xludf.DUMMYFUNCTION("""COMPUTED_VALUE"""),444.7)</f>
        <v>444.7</v>
      </c>
      <c r="E1164" s="1">
        <f>IFERROR(__xludf.DUMMYFUNCTION("""COMPUTED_VALUE"""),451.14)</f>
        <v>451.14</v>
      </c>
      <c r="F1164" s="1">
        <f>IFERROR(__xludf.DUMMYFUNCTION("""COMPUTED_VALUE"""),2.5349378E7)</f>
        <v>25349378</v>
      </c>
    </row>
    <row r="1165">
      <c r="A1165" s="2">
        <f>IFERROR(__xludf.DUMMYFUNCTION("""COMPUTED_VALUE"""),46045.66666666667)</f>
        <v>46045.66667</v>
      </c>
      <c r="B1165" s="1">
        <f>IFERROR(__xludf.DUMMYFUNCTION("""COMPUTED_VALUE"""),451.87)</f>
        <v>451.87</v>
      </c>
      <c r="C1165" s="1">
        <f>IFERROR(__xludf.DUMMYFUNCTION("""COMPUTED_VALUE"""),471.1)</f>
        <v>471.1</v>
      </c>
      <c r="D1165" s="1">
        <f>IFERROR(__xludf.DUMMYFUNCTION("""COMPUTED_VALUE"""),450.53)</f>
        <v>450.53</v>
      </c>
      <c r="E1165" s="1">
        <f>IFERROR(__xludf.DUMMYFUNCTION("""COMPUTED_VALUE"""),465.95)</f>
        <v>465.95</v>
      </c>
      <c r="F1165" s="1">
        <f>IFERROR(__xludf.DUMMYFUNCTION("""COMPUTED_VALUE"""),3.8000159E7)</f>
        <v>38000159</v>
      </c>
    </row>
    <row r="1166">
      <c r="A1166" s="2">
        <f>IFERROR(__xludf.DUMMYFUNCTION("""COMPUTED_VALUE"""),46048.66666666667)</f>
        <v>46048.66667</v>
      </c>
      <c r="B1166" s="1">
        <f>IFERROR(__xludf.DUMMYFUNCTION("""COMPUTED_VALUE"""),465.31)</f>
        <v>465.31</v>
      </c>
      <c r="C1166" s="1">
        <f>IFERROR(__xludf.DUMMYFUNCTION("""COMPUTED_VALUE"""),474.25)</f>
        <v>474.25</v>
      </c>
      <c r="D1166" s="1">
        <f>IFERROR(__xludf.DUMMYFUNCTION("""COMPUTED_VALUE"""),462.0)</f>
        <v>462</v>
      </c>
      <c r="E1166" s="1">
        <f>IFERROR(__xludf.DUMMYFUNCTION("""COMPUTED_VALUE"""),470.28)</f>
        <v>470.28</v>
      </c>
      <c r="F1166" s="1">
        <f>IFERROR(__xludf.DUMMYFUNCTION("""COMPUTED_VALUE"""),2.9291235E7)</f>
        <v>29291235</v>
      </c>
    </row>
    <row r="1167">
      <c r="A1167" s="2">
        <f>IFERROR(__xludf.DUMMYFUNCTION("""COMPUTED_VALUE"""),46049.66666666667)</f>
        <v>46049.66667</v>
      </c>
      <c r="B1167" s="1">
        <f>IFERROR(__xludf.DUMMYFUNCTION("""COMPUTED_VALUE"""),473.7)</f>
        <v>473.7</v>
      </c>
      <c r="C1167" s="1">
        <f>IFERROR(__xludf.DUMMYFUNCTION("""COMPUTED_VALUE"""),482.87)</f>
        <v>482.87</v>
      </c>
      <c r="D1167" s="1">
        <f>IFERROR(__xludf.DUMMYFUNCTION("""COMPUTED_VALUE"""),473.16)</f>
        <v>473.16</v>
      </c>
      <c r="E1167" s="1">
        <f>IFERROR(__xludf.DUMMYFUNCTION("""COMPUTED_VALUE"""),480.58)</f>
        <v>480.58</v>
      </c>
      <c r="F1167" s="1">
        <f>IFERROR(__xludf.DUMMYFUNCTION("""COMPUTED_VALUE"""),2.9213923E7)</f>
        <v>29213923</v>
      </c>
    </row>
    <row r="1168">
      <c r="A1168" s="2">
        <f>IFERROR(__xludf.DUMMYFUNCTION("""COMPUTED_VALUE"""),46050.66666666667)</f>
        <v>46050.66667</v>
      </c>
      <c r="B1168" s="1">
        <f>IFERROR(__xludf.DUMMYFUNCTION("""COMPUTED_VALUE"""),483.21)</f>
        <v>483.21</v>
      </c>
      <c r="C1168" s="1">
        <f>IFERROR(__xludf.DUMMYFUNCTION("""COMPUTED_VALUE"""),483.74)</f>
        <v>483.74</v>
      </c>
      <c r="D1168" s="1">
        <f>IFERROR(__xludf.DUMMYFUNCTION("""COMPUTED_VALUE"""),478.0)</f>
        <v>478</v>
      </c>
      <c r="E1168" s="1">
        <f>IFERROR(__xludf.DUMMYFUNCTION("""COMPUTED_VALUE"""),481.63)</f>
        <v>481.63</v>
      </c>
      <c r="F1168" s="1">
        <f>IFERROR(__xludf.DUMMYFUNCTION("""COMPUTED_VALUE"""),3.6875403E7)</f>
        <v>36875403</v>
      </c>
    </row>
    <row r="1169">
      <c r="A1169" s="2">
        <f>IFERROR(__xludf.DUMMYFUNCTION("""COMPUTED_VALUE"""),46051.66666666667)</f>
        <v>46051.66667</v>
      </c>
      <c r="B1169" s="1">
        <f>IFERROR(__xludf.DUMMYFUNCTION("""COMPUTED_VALUE"""),439.99)</f>
        <v>439.99</v>
      </c>
      <c r="C1169" s="1">
        <f>IFERROR(__xludf.DUMMYFUNCTION("""COMPUTED_VALUE"""),442.5)</f>
        <v>442.5</v>
      </c>
      <c r="D1169" s="1">
        <f>IFERROR(__xludf.DUMMYFUNCTION("""COMPUTED_VALUE"""),421.02)</f>
        <v>421.02</v>
      </c>
      <c r="E1169" s="1">
        <f>IFERROR(__xludf.DUMMYFUNCTION("""COMPUTED_VALUE"""),433.5)</f>
        <v>433.5</v>
      </c>
      <c r="F1169" s="1">
        <f>IFERROR(__xludf.DUMMYFUNCTION("""COMPUTED_VALUE"""),1.28855323E8)</f>
        <v>128855323</v>
      </c>
    </row>
    <row r="1170">
      <c r="A1170" s="2">
        <f>IFERROR(__xludf.DUMMYFUNCTION("""COMPUTED_VALUE"""),46052.66666666667)</f>
        <v>46052.66667</v>
      </c>
      <c r="B1170" s="1">
        <f>IFERROR(__xludf.DUMMYFUNCTION("""COMPUTED_VALUE"""),439.17)</f>
        <v>439.17</v>
      </c>
      <c r="C1170" s="1">
        <f>IFERROR(__xludf.DUMMYFUNCTION("""COMPUTED_VALUE"""),439.6)</f>
        <v>439.6</v>
      </c>
      <c r="D1170" s="1">
        <f>IFERROR(__xludf.DUMMYFUNCTION("""COMPUTED_VALUE"""),426.45)</f>
        <v>426.45</v>
      </c>
      <c r="E1170" s="1">
        <f>IFERROR(__xludf.DUMMYFUNCTION("""COMPUTED_VALUE"""),430.29)</f>
        <v>430.29</v>
      </c>
      <c r="F1170" s="1">
        <f>IFERROR(__xludf.DUMMYFUNCTION("""COMPUTED_VALUE"""),5.8566819E7)</f>
        <v>58566819</v>
      </c>
    </row>
    <row r="1171">
      <c r="A1171" s="2">
        <f>IFERROR(__xludf.DUMMYFUNCTION("""COMPUTED_VALUE"""),46055.66666666667)</f>
        <v>46055.66667</v>
      </c>
      <c r="B1171" s="1">
        <f>IFERROR(__xludf.DUMMYFUNCTION("""COMPUTED_VALUE"""),430.24)</f>
        <v>430.24</v>
      </c>
      <c r="C1171" s="1">
        <f>IFERROR(__xludf.DUMMYFUNCTION("""COMPUTED_VALUE"""),430.74)</f>
        <v>430.74</v>
      </c>
      <c r="D1171" s="1">
        <f>IFERROR(__xludf.DUMMYFUNCTION("""COMPUTED_VALUE"""),422.25)</f>
        <v>422.25</v>
      </c>
      <c r="E1171" s="1">
        <f>IFERROR(__xludf.DUMMYFUNCTION("""COMPUTED_VALUE"""),423.37)</f>
        <v>423.37</v>
      </c>
      <c r="F1171" s="1">
        <f>IFERROR(__xludf.DUMMYFUNCTION("""COMPUTED_VALUE"""),4.2219858E7)</f>
        <v>42219858</v>
      </c>
    </row>
    <row r="1172">
      <c r="A1172" s="2">
        <f>IFERROR(__xludf.DUMMYFUNCTION("""COMPUTED_VALUE"""),46056.66666666667)</f>
        <v>46056.66667</v>
      </c>
      <c r="B1172" s="1">
        <f>IFERROR(__xludf.DUMMYFUNCTION("""COMPUTED_VALUE"""),422.01)</f>
        <v>422.01</v>
      </c>
      <c r="C1172" s="1">
        <f>IFERROR(__xludf.DUMMYFUNCTION("""COMPUTED_VALUE"""),422.05)</f>
        <v>422.05</v>
      </c>
      <c r="D1172" s="1">
        <f>IFERROR(__xludf.DUMMYFUNCTION("""COMPUTED_VALUE"""),408.56)</f>
        <v>408.56</v>
      </c>
      <c r="E1172" s="1">
        <f>IFERROR(__xludf.DUMMYFUNCTION("""COMPUTED_VALUE"""),411.21)</f>
        <v>411.21</v>
      </c>
      <c r="F1172" s="1">
        <f>IFERROR(__xludf.DUMMYFUNCTION("""COMPUTED_VALUE"""),6.1424123E7)</f>
        <v>61424123</v>
      </c>
    </row>
    <row r="1173">
      <c r="A1173" s="2">
        <f>IFERROR(__xludf.DUMMYFUNCTION("""COMPUTED_VALUE"""),46057.66666666667)</f>
        <v>46057.66667</v>
      </c>
      <c r="B1173" s="1">
        <f>IFERROR(__xludf.DUMMYFUNCTION("""COMPUTED_VALUE"""),411.0)</f>
        <v>411</v>
      </c>
      <c r="C1173" s="1">
        <f>IFERROR(__xludf.DUMMYFUNCTION("""COMPUTED_VALUE"""),419.8)</f>
        <v>419.8</v>
      </c>
      <c r="D1173" s="1">
        <f>IFERROR(__xludf.DUMMYFUNCTION("""COMPUTED_VALUE"""),409.24)</f>
        <v>409.24</v>
      </c>
      <c r="E1173" s="1">
        <f>IFERROR(__xludf.DUMMYFUNCTION("""COMPUTED_VALUE"""),414.19)</f>
        <v>414.19</v>
      </c>
      <c r="F1173" s="1">
        <f>IFERROR(__xludf.DUMMYFUNCTION("""COMPUTED_VALUE"""),4.5012374E7)</f>
        <v>45012374</v>
      </c>
    </row>
    <row r="1174">
      <c r="A1174" s="2">
        <f>IFERROR(__xludf.DUMMYFUNCTION("""COMPUTED_VALUE"""),46058.66666666667)</f>
        <v>46058.66667</v>
      </c>
      <c r="B1174" s="1">
        <f>IFERROR(__xludf.DUMMYFUNCTION("""COMPUTED_VALUE"""),407.44)</f>
        <v>407.44</v>
      </c>
      <c r="C1174" s="1">
        <f>IFERROR(__xludf.DUMMYFUNCTION("""COMPUTED_VALUE"""),408.3)</f>
        <v>408.3</v>
      </c>
      <c r="D1174" s="1">
        <f>IFERROR(__xludf.DUMMYFUNCTION("""COMPUTED_VALUE"""),392.32)</f>
        <v>392.32</v>
      </c>
      <c r="E1174" s="1">
        <f>IFERROR(__xludf.DUMMYFUNCTION("""COMPUTED_VALUE"""),393.67)</f>
        <v>393.67</v>
      </c>
      <c r="F1174" s="1">
        <f>IFERROR(__xludf.DUMMYFUNCTION("""COMPUTED_VALUE"""),6.6289247E7)</f>
        <v>66289247</v>
      </c>
    </row>
    <row r="1175">
      <c r="A1175" s="2">
        <f>IFERROR(__xludf.DUMMYFUNCTION("""COMPUTED_VALUE"""),46059.66666666667)</f>
        <v>46059.66667</v>
      </c>
      <c r="B1175" s="1">
        <f>IFERROR(__xludf.DUMMYFUNCTION("""COMPUTED_VALUE"""),399.17)</f>
        <v>399.17</v>
      </c>
      <c r="C1175" s="1">
        <f>IFERROR(__xludf.DUMMYFUNCTION("""COMPUTED_VALUE"""),401.79)</f>
        <v>401.79</v>
      </c>
      <c r="D1175" s="1">
        <f>IFERROR(__xludf.DUMMYFUNCTION("""COMPUTED_VALUE"""),392.92)</f>
        <v>392.92</v>
      </c>
      <c r="E1175" s="1">
        <f>IFERROR(__xludf.DUMMYFUNCTION("""COMPUTED_VALUE"""),401.14)</f>
        <v>401.14</v>
      </c>
      <c r="F1175" s="1">
        <f>IFERROR(__xludf.DUMMYFUNCTION("""COMPUTED_VALUE"""),5.3515311E7)</f>
        <v>53515311</v>
      </c>
    </row>
    <row r="1176">
      <c r="A1176" s="2">
        <f>IFERROR(__xludf.DUMMYFUNCTION("""COMPUTED_VALUE"""),46062.66666666667)</f>
        <v>46062.66667</v>
      </c>
      <c r="B1176" s="1">
        <f>IFERROR(__xludf.DUMMYFUNCTION("""COMPUTED_VALUE"""),404.85)</f>
        <v>404.85</v>
      </c>
      <c r="C1176" s="1">
        <f>IFERROR(__xludf.DUMMYFUNCTION("""COMPUTED_VALUE"""),414.89)</f>
        <v>414.89</v>
      </c>
      <c r="D1176" s="1">
        <f>IFERROR(__xludf.DUMMYFUNCTION("""COMPUTED_VALUE"""),400.87)</f>
        <v>400.87</v>
      </c>
      <c r="E1176" s="1">
        <f>IFERROR(__xludf.DUMMYFUNCTION("""COMPUTED_VALUE"""),413.6)</f>
        <v>413.6</v>
      </c>
      <c r="F1176" s="1">
        <f>IFERROR(__xludf.DUMMYFUNCTION("""COMPUTED_VALUE"""),4.5480526E7)</f>
        <v>45480526</v>
      </c>
    </row>
    <row r="1177">
      <c r="A1177" s="2">
        <f>IFERROR(__xludf.DUMMYFUNCTION("""COMPUTED_VALUE"""),46063.66666666667)</f>
        <v>46063.66667</v>
      </c>
      <c r="B1177" s="1">
        <f>IFERROR(__xludf.DUMMYFUNCTION("""COMPUTED_VALUE"""),419.62)</f>
        <v>419.62</v>
      </c>
      <c r="C1177" s="1">
        <f>IFERROR(__xludf.DUMMYFUNCTION("""COMPUTED_VALUE"""),423.68)</f>
        <v>423.68</v>
      </c>
      <c r="D1177" s="1">
        <f>IFERROR(__xludf.DUMMYFUNCTION("""COMPUTED_VALUE"""),412.7)</f>
        <v>412.7</v>
      </c>
      <c r="E1177" s="1">
        <f>IFERROR(__xludf.DUMMYFUNCTION("""COMPUTED_VALUE"""),413.27)</f>
        <v>413.27</v>
      </c>
      <c r="F1177" s="1">
        <f>IFERROR(__xludf.DUMMYFUNCTION("""COMPUTED_VALUE"""),4.485785E7)</f>
        <v>44857850</v>
      </c>
    </row>
    <row r="1178">
      <c r="A1178" s="2">
        <f>IFERROR(__xludf.DUMMYFUNCTION("""COMPUTED_VALUE"""),46064.66666666667)</f>
        <v>46064.66667</v>
      </c>
      <c r="B1178" s="1">
        <f>IFERROR(__xludf.DUMMYFUNCTION("""COMPUTED_VALUE"""),416.18)</f>
        <v>416.18</v>
      </c>
      <c r="C1178" s="1">
        <f>IFERROR(__xludf.DUMMYFUNCTION("""COMPUTED_VALUE"""),416.46)</f>
        <v>416.46</v>
      </c>
      <c r="D1178" s="1">
        <f>IFERROR(__xludf.DUMMYFUNCTION("""COMPUTED_VALUE"""),401.01)</f>
        <v>401.01</v>
      </c>
      <c r="E1178" s="1">
        <f>IFERROR(__xludf.DUMMYFUNCTION("""COMPUTED_VALUE"""),404.37)</f>
        <v>404.37</v>
      </c>
      <c r="F1178" s="1">
        <f>IFERROR(__xludf.DUMMYFUNCTION("""COMPUTED_VALUE"""),4.2491012E7)</f>
        <v>42491012</v>
      </c>
    </row>
    <row r="1179">
      <c r="A1179" s="2">
        <f>IFERROR(__xludf.DUMMYFUNCTION("""COMPUTED_VALUE"""),46065.66666666667)</f>
        <v>46065.66667</v>
      </c>
      <c r="B1179" s="1">
        <f>IFERROR(__xludf.DUMMYFUNCTION("""COMPUTED_VALUE"""),405.0)</f>
        <v>405</v>
      </c>
      <c r="C1179" s="1">
        <f>IFERROR(__xludf.DUMMYFUNCTION("""COMPUTED_VALUE"""),406.2)</f>
        <v>406.2</v>
      </c>
      <c r="D1179" s="1">
        <f>IFERROR(__xludf.DUMMYFUNCTION("""COMPUTED_VALUE"""),398.01)</f>
        <v>398.01</v>
      </c>
      <c r="E1179" s="1">
        <f>IFERROR(__xludf.DUMMYFUNCTION("""COMPUTED_VALUE"""),401.84)</f>
        <v>401.84</v>
      </c>
      <c r="F1179" s="1">
        <f>IFERROR(__xludf.DUMMYFUNCTION("""COMPUTED_VALUE"""),4.0802362E7)</f>
        <v>40802362</v>
      </c>
    </row>
    <row r="1180">
      <c r="A1180" s="2">
        <f>IFERROR(__xludf.DUMMYFUNCTION("""COMPUTED_VALUE"""),46066.66666666667)</f>
        <v>46066.66667</v>
      </c>
      <c r="B1180" s="1">
        <f>IFERROR(__xludf.DUMMYFUNCTION("""COMPUTED_VALUE"""),404.45)</f>
        <v>404.45</v>
      </c>
      <c r="C1180" s="1">
        <f>IFERROR(__xludf.DUMMYFUNCTION("""COMPUTED_VALUE"""),405.54)</f>
        <v>405.54</v>
      </c>
      <c r="D1180" s="1">
        <f>IFERROR(__xludf.DUMMYFUNCTION("""COMPUTED_VALUE"""),398.05)</f>
        <v>398.05</v>
      </c>
      <c r="E1180" s="1">
        <f>IFERROR(__xludf.DUMMYFUNCTION("""COMPUTED_VALUE"""),401.32)</f>
        <v>401.32</v>
      </c>
      <c r="F1180" s="1">
        <f>IFERROR(__xludf.DUMMYFUNCTION("""COMPUTED_VALUE"""),3.4091553E7)</f>
        <v>34091553</v>
      </c>
    </row>
    <row r="1181">
      <c r="A1181" s="2">
        <f>IFERROR(__xludf.DUMMYFUNCTION("""COMPUTED_VALUE"""),46070.66666666667)</f>
        <v>46070.66667</v>
      </c>
      <c r="B1181" s="1">
        <f>IFERROR(__xludf.DUMMYFUNCTION("""COMPUTED_VALUE"""),399.22)</f>
        <v>399.22</v>
      </c>
      <c r="C1181" s="1">
        <f>IFERROR(__xludf.DUMMYFUNCTION("""COMPUTED_VALUE"""),400.52)</f>
        <v>400.52</v>
      </c>
      <c r="D1181" s="1">
        <f>IFERROR(__xludf.DUMMYFUNCTION("""COMPUTED_VALUE"""),394.53)</f>
        <v>394.53</v>
      </c>
      <c r="E1181" s="1">
        <f>IFERROR(__xludf.DUMMYFUNCTION("""COMPUTED_VALUE"""),396.86)</f>
        <v>396.86</v>
      </c>
      <c r="F1181" s="1">
        <f>IFERROR(__xludf.DUMMYFUNCTION("""COMPUTED_VALUE"""),3.2078794E7)</f>
        <v>32078794</v>
      </c>
    </row>
    <row r="1182">
      <c r="A1182" s="2">
        <f>IFERROR(__xludf.DUMMYFUNCTION("""COMPUTED_VALUE"""),46071.66666666667)</f>
        <v>46071.66667</v>
      </c>
      <c r="B1182" s="1">
        <f>IFERROR(__xludf.DUMMYFUNCTION("""COMPUTED_VALUE"""),398.13)</f>
        <v>398.13</v>
      </c>
      <c r="C1182" s="1">
        <f>IFERROR(__xludf.DUMMYFUNCTION("""COMPUTED_VALUE"""),402.56)</f>
        <v>402.56</v>
      </c>
      <c r="D1182" s="1">
        <f>IFERROR(__xludf.DUMMYFUNCTION("""COMPUTED_VALUE"""),396.32)</f>
        <v>396.32</v>
      </c>
      <c r="E1182" s="1">
        <f>IFERROR(__xludf.DUMMYFUNCTION("""COMPUTED_VALUE"""),399.6)</f>
        <v>399.6</v>
      </c>
      <c r="F1182" s="1">
        <f>IFERROR(__xludf.DUMMYFUNCTION("""COMPUTED_VALUE"""),2.3223417E7)</f>
        <v>23223417</v>
      </c>
    </row>
    <row r="1183">
      <c r="A1183" s="2">
        <f>IFERROR(__xludf.DUMMYFUNCTION("""COMPUTED_VALUE"""),46072.66666666667)</f>
        <v>46072.66667</v>
      </c>
      <c r="B1183" s="1">
        <f>IFERROR(__xludf.DUMMYFUNCTION("""COMPUTED_VALUE"""),400.69)</f>
        <v>400.69</v>
      </c>
      <c r="C1183" s="1">
        <f>IFERROR(__xludf.DUMMYFUNCTION("""COMPUTED_VALUE"""),404.43)</f>
        <v>404.43</v>
      </c>
      <c r="D1183" s="1">
        <f>IFERROR(__xludf.DUMMYFUNCTION("""COMPUTED_VALUE"""),396.67)</f>
        <v>396.67</v>
      </c>
      <c r="E1183" s="1">
        <f>IFERROR(__xludf.DUMMYFUNCTION("""COMPUTED_VALUE"""),398.46)</f>
        <v>398.46</v>
      </c>
      <c r="F1183" s="1">
        <f>IFERROR(__xludf.DUMMYFUNCTION("""COMPUTED_VALUE"""),2.8234001E7)</f>
        <v>28234001</v>
      </c>
    </row>
    <row r="1184">
      <c r="A1184" s="2">
        <f>IFERROR(__xludf.DUMMYFUNCTION("""COMPUTED_VALUE"""),46073.66666666667)</f>
        <v>46073.66667</v>
      </c>
      <c r="B1184" s="1">
        <f>IFERROR(__xludf.DUMMYFUNCTION("""COMPUTED_VALUE"""),396.11)</f>
        <v>396.11</v>
      </c>
      <c r="C1184" s="1">
        <f>IFERROR(__xludf.DUMMYFUNCTION("""COMPUTED_VALUE"""),400.12)</f>
        <v>400.12</v>
      </c>
      <c r="D1184" s="1">
        <f>IFERROR(__xludf.DUMMYFUNCTION("""COMPUTED_VALUE"""),395.16)</f>
        <v>395.16</v>
      </c>
      <c r="E1184" s="1">
        <f>IFERROR(__xludf.DUMMYFUNCTION("""COMPUTED_VALUE"""),397.23)</f>
        <v>397.23</v>
      </c>
      <c r="F1184" s="1">
        <f>IFERROR(__xludf.DUMMYFUNCTION("""COMPUTED_VALUE"""),3.4015249E7)</f>
        <v>34015249</v>
      </c>
    </row>
    <row r="1185">
      <c r="A1185" s="2">
        <f>IFERROR(__xludf.DUMMYFUNCTION("""COMPUTED_VALUE"""),46076.66666666667)</f>
        <v>46076.66667</v>
      </c>
      <c r="B1185" s="1">
        <f>IFERROR(__xludf.DUMMYFUNCTION("""COMPUTED_VALUE"""),395.0)</f>
        <v>395</v>
      </c>
      <c r="C1185" s="1">
        <f>IFERROR(__xludf.DUMMYFUNCTION("""COMPUTED_VALUE"""),395.36)</f>
        <v>395.36</v>
      </c>
      <c r="D1185" s="1">
        <f>IFERROR(__xludf.DUMMYFUNCTION("""COMPUTED_VALUE"""),383.1)</f>
        <v>383.1</v>
      </c>
      <c r="E1185" s="1">
        <f>IFERROR(__xludf.DUMMYFUNCTION("""COMPUTED_VALUE"""),384.47)</f>
        <v>384.47</v>
      </c>
      <c r="F1185" s="1">
        <f>IFERROR(__xludf.DUMMYFUNCTION("""COMPUTED_VALUE"""),4.2948469E7)</f>
        <v>42948469</v>
      </c>
    </row>
    <row r="1186">
      <c r="A1186" s="2">
        <f>IFERROR(__xludf.DUMMYFUNCTION("""COMPUTED_VALUE"""),46077.66666666667)</f>
        <v>46077.66667</v>
      </c>
      <c r="B1186" s="1">
        <f>IFERROR(__xludf.DUMMYFUNCTION("""COMPUTED_VALUE"""),384.14)</f>
        <v>384.14</v>
      </c>
      <c r="C1186" s="1">
        <f>IFERROR(__xludf.DUMMYFUNCTION("""COMPUTED_VALUE"""),389.36)</f>
        <v>389.36</v>
      </c>
      <c r="D1186" s="1">
        <f>IFERROR(__xludf.DUMMYFUNCTION("""COMPUTED_VALUE"""),381.71)</f>
        <v>381.71</v>
      </c>
      <c r="E1186" s="1">
        <f>IFERROR(__xludf.DUMMYFUNCTION("""COMPUTED_VALUE"""),389.0)</f>
        <v>389</v>
      </c>
      <c r="F1186" s="1">
        <f>IFERROR(__xludf.DUMMYFUNCTION("""COMPUTED_VALUE"""),3.276096E7)</f>
        <v>32760960</v>
      </c>
    </row>
    <row r="1187">
      <c r="A1187" s="2">
        <f>IFERROR(__xludf.DUMMYFUNCTION("""COMPUTED_VALUE"""),46078.66666666667)</f>
        <v>46078.66667</v>
      </c>
      <c r="B1187" s="1">
        <f>IFERROR(__xludf.DUMMYFUNCTION("""COMPUTED_VALUE"""),390.53)</f>
        <v>390.53</v>
      </c>
      <c r="C1187" s="1">
        <f>IFERROR(__xludf.DUMMYFUNCTION("""COMPUTED_VALUE"""),401.47)</f>
        <v>401.47</v>
      </c>
      <c r="D1187" s="1">
        <f>IFERROR(__xludf.DUMMYFUNCTION("""COMPUTED_VALUE"""),390.16)</f>
        <v>390.16</v>
      </c>
      <c r="E1187" s="1">
        <f>IFERROR(__xludf.DUMMYFUNCTION("""COMPUTED_VALUE"""),400.6)</f>
        <v>400.6</v>
      </c>
      <c r="F1187" s="1">
        <f>IFERROR(__xludf.DUMMYFUNCTION("""COMPUTED_VALUE"""),4.2463802E7)</f>
        <v>42463802</v>
      </c>
    </row>
    <row r="1188">
      <c r="A1188" s="2">
        <f>IFERROR(__xludf.DUMMYFUNCTION("""COMPUTED_VALUE"""),46079.66666666667)</f>
        <v>46079.66667</v>
      </c>
      <c r="B1188" s="1">
        <f>IFERROR(__xludf.DUMMYFUNCTION("""COMPUTED_VALUE"""),404.71)</f>
        <v>404.71</v>
      </c>
      <c r="C1188" s="1">
        <f>IFERROR(__xludf.DUMMYFUNCTION("""COMPUTED_VALUE"""),407.49)</f>
        <v>407.49</v>
      </c>
      <c r="D1188" s="1">
        <f>IFERROR(__xludf.DUMMYFUNCTION("""COMPUTED_VALUE"""),398.74)</f>
        <v>398.74</v>
      </c>
      <c r="E1188" s="1">
        <f>IFERROR(__xludf.DUMMYFUNCTION("""COMPUTED_VALUE"""),401.72)</f>
        <v>401.72</v>
      </c>
      <c r="F1188" s="1">
        <f>IFERROR(__xludf.DUMMYFUNCTION("""COMPUTED_VALUE"""),3.3560207E7)</f>
        <v>33560207</v>
      </c>
    </row>
    <row r="1189">
      <c r="A1189" s="2">
        <f>IFERROR(__xludf.DUMMYFUNCTION("""COMPUTED_VALUE"""),46080.66666666667)</f>
        <v>46080.66667</v>
      </c>
      <c r="B1189" s="1">
        <f>IFERROR(__xludf.DUMMYFUNCTION("""COMPUTED_VALUE"""),390.88)</f>
        <v>390.88</v>
      </c>
      <c r="C1189" s="1">
        <f>IFERROR(__xludf.DUMMYFUNCTION("""COMPUTED_VALUE"""),396.82)</f>
        <v>396.82</v>
      </c>
      <c r="D1189" s="1">
        <f>IFERROR(__xludf.DUMMYFUNCTION("""COMPUTED_VALUE"""),389.88)</f>
        <v>389.88</v>
      </c>
      <c r="E1189" s="1">
        <f>IFERROR(__xludf.DUMMYFUNCTION("""COMPUTED_VALUE"""),392.74)</f>
        <v>392.74</v>
      </c>
      <c r="F1189" s="1">
        <f>IFERROR(__xludf.DUMMYFUNCTION("""COMPUTED_VALUE"""),5.0644411E7)</f>
        <v>50644411</v>
      </c>
    </row>
    <row r="1190">
      <c r="A1190" s="2">
        <f>IFERROR(__xludf.DUMMYFUNCTION("""COMPUTED_VALUE"""),46083.66666666667)</f>
        <v>46083.66667</v>
      </c>
      <c r="B1190" s="1">
        <f>IFERROR(__xludf.DUMMYFUNCTION("""COMPUTED_VALUE"""),392.86)</f>
        <v>392.86</v>
      </c>
      <c r="C1190" s="1">
        <f>IFERROR(__xludf.DUMMYFUNCTION("""COMPUTED_VALUE"""),401.19)</f>
        <v>401.19</v>
      </c>
      <c r="D1190" s="1">
        <f>IFERROR(__xludf.DUMMYFUNCTION("""COMPUTED_VALUE"""),390.63)</f>
        <v>390.63</v>
      </c>
      <c r="E1190" s="1">
        <f>IFERROR(__xludf.DUMMYFUNCTION("""COMPUTED_VALUE"""),398.55)</f>
        <v>398.55</v>
      </c>
      <c r="F1190" s="1">
        <f>IFERROR(__xludf.DUMMYFUNCTION("""COMPUTED_VALUE"""),3.2511002E7)</f>
        <v>32511002</v>
      </c>
    </row>
    <row r="1191">
      <c r="A1191" s="2">
        <f>IFERROR(__xludf.DUMMYFUNCTION("""COMPUTED_VALUE"""),46084.66666666667)</f>
        <v>46084.66667</v>
      </c>
      <c r="B1191" s="1">
        <f>IFERROR(__xludf.DUMMYFUNCTION("""COMPUTED_VALUE"""),393.14)</f>
        <v>393.14</v>
      </c>
      <c r="C1191" s="1">
        <f>IFERROR(__xludf.DUMMYFUNCTION("""COMPUTED_VALUE"""),406.7)</f>
        <v>406.7</v>
      </c>
      <c r="D1191" s="1">
        <f>IFERROR(__xludf.DUMMYFUNCTION("""COMPUTED_VALUE"""),392.67)</f>
        <v>392.67</v>
      </c>
      <c r="E1191" s="1">
        <f>IFERROR(__xludf.DUMMYFUNCTION("""COMPUTED_VALUE"""),403.93)</f>
        <v>403.93</v>
      </c>
      <c r="F1191" s="1">
        <f>IFERROR(__xludf.DUMMYFUNCTION("""COMPUTED_VALUE"""),3.7261606E7)</f>
        <v>37261606</v>
      </c>
    </row>
    <row r="1192">
      <c r="A1192" s="2">
        <f>IFERROR(__xludf.DUMMYFUNCTION("""COMPUTED_VALUE"""),46085.66666666667)</f>
        <v>46085.66667</v>
      </c>
      <c r="B1192" s="1">
        <f>IFERROR(__xludf.DUMMYFUNCTION("""COMPUTED_VALUE"""),401.27)</f>
        <v>401.27</v>
      </c>
      <c r="C1192" s="1">
        <f>IFERROR(__xludf.DUMMYFUNCTION("""COMPUTED_VALUE"""),411.03)</f>
        <v>411.03</v>
      </c>
      <c r="D1192" s="1">
        <f>IFERROR(__xludf.DUMMYFUNCTION("""COMPUTED_VALUE"""),400.31)</f>
        <v>400.31</v>
      </c>
      <c r="E1192" s="1">
        <f>IFERROR(__xludf.DUMMYFUNCTION("""COMPUTED_VALUE"""),405.2)</f>
        <v>405.2</v>
      </c>
      <c r="F1192" s="1">
        <f>IFERROR(__xludf.DUMMYFUNCTION("""COMPUTED_VALUE"""),3.4939188E7)</f>
        <v>34939188</v>
      </c>
    </row>
    <row r="1193">
      <c r="A1193" s="2">
        <f>IFERROR(__xludf.DUMMYFUNCTION("""COMPUTED_VALUE"""),46086.66666666667)</f>
        <v>46086.66667</v>
      </c>
      <c r="B1193" s="1">
        <f>IFERROR(__xludf.DUMMYFUNCTION("""COMPUTED_VALUE"""),404.42)</f>
        <v>404.42</v>
      </c>
      <c r="C1193" s="1">
        <f>IFERROR(__xludf.DUMMYFUNCTION("""COMPUTED_VALUE"""),411.61)</f>
        <v>411.61</v>
      </c>
      <c r="D1193" s="1">
        <f>IFERROR(__xludf.DUMMYFUNCTION("""COMPUTED_VALUE"""),404.4)</f>
        <v>404.4</v>
      </c>
      <c r="E1193" s="1">
        <f>IFERROR(__xludf.DUMMYFUNCTION("""COMPUTED_VALUE"""),410.68)</f>
        <v>410.68</v>
      </c>
      <c r="F1193" s="1">
        <f>IFERROR(__xludf.DUMMYFUNCTION("""COMPUTED_VALUE"""),3.8392469E7)</f>
        <v>38392469</v>
      </c>
    </row>
    <row r="1194">
      <c r="A1194" s="2">
        <f>IFERROR(__xludf.DUMMYFUNCTION("""COMPUTED_VALUE"""),46087.66666666667)</f>
        <v>46087.66667</v>
      </c>
      <c r="B1194" s="1">
        <f>IFERROR(__xludf.DUMMYFUNCTION("""COMPUTED_VALUE"""),409.2)</f>
        <v>409.2</v>
      </c>
      <c r="C1194" s="1">
        <f>IFERROR(__xludf.DUMMYFUNCTION("""COMPUTED_VALUE"""),413.05)</f>
        <v>413.05</v>
      </c>
      <c r="D1194" s="1">
        <f>IFERROR(__xludf.DUMMYFUNCTION("""COMPUTED_VALUE"""),408.51)</f>
        <v>408.51</v>
      </c>
      <c r="E1194" s="1">
        <f>IFERROR(__xludf.DUMMYFUNCTION("""COMPUTED_VALUE"""),408.96)</f>
        <v>408.96</v>
      </c>
      <c r="F1194" s="1">
        <f>IFERROR(__xludf.DUMMYFUNCTION("""COMPUTED_VALUE"""),3.0798251E7)</f>
        <v>30798251</v>
      </c>
    </row>
    <row r="1195">
      <c r="A1195" s="2">
        <f>IFERROR(__xludf.DUMMYFUNCTION("""COMPUTED_VALUE"""),46090.66666666667)</f>
        <v>46090.66667</v>
      </c>
      <c r="B1195" s="1">
        <f>IFERROR(__xludf.DUMMYFUNCTION("""COMPUTED_VALUE"""),404.92)</f>
        <v>404.92</v>
      </c>
      <c r="C1195" s="1">
        <f>IFERROR(__xludf.DUMMYFUNCTION("""COMPUTED_VALUE"""),410.21)</f>
        <v>410.21</v>
      </c>
      <c r="D1195" s="1">
        <f>IFERROR(__xludf.DUMMYFUNCTION("""COMPUTED_VALUE"""),403.5)</f>
        <v>403.5</v>
      </c>
      <c r="E1195" s="1">
        <f>IFERROR(__xludf.DUMMYFUNCTION("""COMPUTED_VALUE"""),409.41)</f>
        <v>409.41</v>
      </c>
      <c r="F1195" s="1">
        <f>IFERROR(__xludf.DUMMYFUNCTION("""COMPUTED_VALUE"""),2.9645486E7)</f>
        <v>29645486</v>
      </c>
    </row>
    <row r="1196">
      <c r="A1196" s="2">
        <f>IFERROR(__xludf.DUMMYFUNCTION("""COMPUTED_VALUE"""),46091.66666666667)</f>
        <v>46091.66667</v>
      </c>
      <c r="B1196" s="1">
        <f>IFERROR(__xludf.DUMMYFUNCTION("""COMPUTED_VALUE"""),410.03)</f>
        <v>410.03</v>
      </c>
      <c r="C1196" s="1">
        <f>IFERROR(__xludf.DUMMYFUNCTION("""COMPUTED_VALUE"""),410.2)</f>
        <v>410.2</v>
      </c>
      <c r="D1196" s="1">
        <f>IFERROR(__xludf.DUMMYFUNCTION("""COMPUTED_VALUE"""),402.93)</f>
        <v>402.93</v>
      </c>
      <c r="E1196" s="1">
        <f>IFERROR(__xludf.DUMMYFUNCTION("""COMPUTED_VALUE"""),405.76)</f>
        <v>405.76</v>
      </c>
      <c r="F1196" s="1">
        <f>IFERROR(__xludf.DUMMYFUNCTION("""COMPUTED_VALUE"""),3.1414643E7)</f>
        <v>31414643</v>
      </c>
    </row>
    <row r="1197">
      <c r="A1197" s="2">
        <f>IFERROR(__xludf.DUMMYFUNCTION("""COMPUTED_VALUE"""),46092.66666666667)</f>
        <v>46092.66667</v>
      </c>
      <c r="B1197" s="1">
        <f>IFERROR(__xludf.DUMMYFUNCTION("""COMPUTED_VALUE"""),405.57)</f>
        <v>405.57</v>
      </c>
      <c r="C1197" s="1">
        <f>IFERROR(__xludf.DUMMYFUNCTION("""COMPUTED_VALUE"""),409.01)</f>
        <v>409.01</v>
      </c>
      <c r="D1197" s="1">
        <f>IFERROR(__xludf.DUMMYFUNCTION("""COMPUTED_VALUE"""),401.59)</f>
        <v>401.59</v>
      </c>
      <c r="E1197" s="1">
        <f>IFERROR(__xludf.DUMMYFUNCTION("""COMPUTED_VALUE"""),404.88)</f>
        <v>404.88</v>
      </c>
      <c r="F1197" s="1">
        <f>IFERROR(__xludf.DUMMYFUNCTION("""COMPUTED_VALUE"""),2.5512139E7)</f>
        <v>25512139</v>
      </c>
    </row>
    <row r="1198">
      <c r="A1198" s="2">
        <f>IFERROR(__xludf.DUMMYFUNCTION("""COMPUTED_VALUE"""),46093.66666666667)</f>
        <v>46093.66667</v>
      </c>
      <c r="B1198" s="1">
        <f>IFERROR(__xludf.DUMMYFUNCTION("""COMPUTED_VALUE"""),404.63)</f>
        <v>404.63</v>
      </c>
      <c r="C1198" s="1">
        <f>IFERROR(__xludf.DUMMYFUNCTION("""COMPUTED_VALUE"""),406.12)</f>
        <v>406.12</v>
      </c>
      <c r="D1198" s="1">
        <f>IFERROR(__xludf.DUMMYFUNCTION("""COMPUTED_VALUE"""),401.71)</f>
        <v>401.71</v>
      </c>
      <c r="E1198" s="1">
        <f>IFERROR(__xludf.DUMMYFUNCTION("""COMPUTED_VALUE"""),401.86)</f>
        <v>401.86</v>
      </c>
      <c r="F1198" s="1">
        <f>IFERROR(__xludf.DUMMYFUNCTION("""COMPUTED_VALUE"""),2.7263887E7)</f>
        <v>27263887</v>
      </c>
    </row>
    <row r="1199">
      <c r="A1199" s="2">
        <f>IFERROR(__xludf.DUMMYFUNCTION("""COMPUTED_VALUE"""),46094.66666666667)</f>
        <v>46094.66667</v>
      </c>
      <c r="B1199" s="1">
        <f>IFERROR(__xludf.DUMMYFUNCTION("""COMPUTED_VALUE"""),401.0)</f>
        <v>401</v>
      </c>
      <c r="C1199" s="1">
        <f>IFERROR(__xludf.DUMMYFUNCTION("""COMPUTED_VALUE"""),404.8)</f>
        <v>404.8</v>
      </c>
      <c r="D1199" s="1">
        <f>IFERROR(__xludf.DUMMYFUNCTION("""COMPUTED_VALUE"""),394.25)</f>
        <v>394.25</v>
      </c>
      <c r="E1199" s="1">
        <f>IFERROR(__xludf.DUMMYFUNCTION("""COMPUTED_VALUE"""),395.55)</f>
        <v>395.55</v>
      </c>
      <c r="F1199" s="1">
        <f>IFERROR(__xludf.DUMMYFUNCTION("""COMPUTED_VALUE"""),2.6848001E7)</f>
        <v>26848001</v>
      </c>
    </row>
    <row r="1200">
      <c r="A1200" s="2">
        <f>IFERROR(__xludf.DUMMYFUNCTION("""COMPUTED_VALUE"""),46097.66666666667)</f>
        <v>46097.66667</v>
      </c>
      <c r="B1200" s="1">
        <f>IFERROR(__xludf.DUMMYFUNCTION("""COMPUTED_VALUE"""),398.07)</f>
        <v>398.07</v>
      </c>
      <c r="C1200" s="1">
        <f>IFERROR(__xludf.DUMMYFUNCTION("""COMPUTED_VALUE"""),400.63)</f>
        <v>400.63</v>
      </c>
      <c r="D1200" s="1">
        <f>IFERROR(__xludf.DUMMYFUNCTION("""COMPUTED_VALUE"""),394.79)</f>
        <v>394.79</v>
      </c>
      <c r="E1200" s="1">
        <f>IFERROR(__xludf.DUMMYFUNCTION("""COMPUTED_VALUE"""),399.95)</f>
        <v>399.95</v>
      </c>
      <c r="F1200" s="1">
        <f>IFERROR(__xludf.DUMMYFUNCTION("""COMPUTED_VALUE"""),2.7733721E7)</f>
        <v>27733721</v>
      </c>
    </row>
    <row r="1201">
      <c r="A1201" s="2">
        <f>IFERROR(__xludf.DUMMYFUNCTION("""COMPUTED_VALUE"""),46098.66666666667)</f>
        <v>46098.66667</v>
      </c>
      <c r="B1201" s="1">
        <f>IFERROR(__xludf.DUMMYFUNCTION("""COMPUTED_VALUE"""),400.27)</f>
        <v>400.27</v>
      </c>
      <c r="C1201" s="1">
        <f>IFERROR(__xludf.DUMMYFUNCTION("""COMPUTED_VALUE"""),404.4)</f>
        <v>404.4</v>
      </c>
      <c r="D1201" s="1">
        <f>IFERROR(__xludf.DUMMYFUNCTION("""COMPUTED_VALUE"""),397.75)</f>
        <v>397.75</v>
      </c>
      <c r="E1201" s="1">
        <f>IFERROR(__xludf.DUMMYFUNCTION("""COMPUTED_VALUE"""),399.41)</f>
        <v>399.41</v>
      </c>
      <c r="F1201" s="1">
        <f>IFERROR(__xludf.DUMMYFUNCTION("""COMPUTED_VALUE"""),2.6228279E7)</f>
        <v>26228279</v>
      </c>
    </row>
    <row r="1202">
      <c r="A1202" s="2">
        <f>IFERROR(__xludf.DUMMYFUNCTION("""COMPUTED_VALUE"""),46099.66666666667)</f>
        <v>46099.66667</v>
      </c>
      <c r="B1202" s="1">
        <f>IFERROR(__xludf.DUMMYFUNCTION("""COMPUTED_VALUE"""),397.13)</f>
        <v>397.13</v>
      </c>
      <c r="C1202" s="1">
        <f>IFERROR(__xludf.DUMMYFUNCTION("""COMPUTED_VALUE"""),398.0)</f>
        <v>398</v>
      </c>
      <c r="D1202" s="1">
        <f>IFERROR(__xludf.DUMMYFUNCTION("""COMPUTED_VALUE"""),391.0)</f>
        <v>391</v>
      </c>
      <c r="E1202" s="1">
        <f>IFERROR(__xludf.DUMMYFUNCTION("""COMPUTED_VALUE"""),391.79)</f>
        <v>391.79</v>
      </c>
      <c r="F1202" s="1">
        <f>IFERROR(__xludf.DUMMYFUNCTION("""COMPUTED_VALUE"""),2.5908485E7)</f>
        <v>25908485</v>
      </c>
    </row>
    <row r="1203">
      <c r="A1203" s="2">
        <f>IFERROR(__xludf.DUMMYFUNCTION("""COMPUTED_VALUE"""),46100.66666666667)</f>
        <v>46100.66667</v>
      </c>
      <c r="B1203" s="1">
        <f>IFERROR(__xludf.DUMMYFUNCTION("""COMPUTED_VALUE"""),390.1)</f>
        <v>390.1</v>
      </c>
      <c r="C1203" s="1">
        <f>IFERROR(__xludf.DUMMYFUNCTION("""COMPUTED_VALUE"""),392.49)</f>
        <v>392.49</v>
      </c>
      <c r="D1203" s="1">
        <f>IFERROR(__xludf.DUMMYFUNCTION("""COMPUTED_VALUE"""),387.06)</f>
        <v>387.06</v>
      </c>
      <c r="E1203" s="1">
        <f>IFERROR(__xludf.DUMMYFUNCTION("""COMPUTED_VALUE"""),389.02)</f>
        <v>389.02</v>
      </c>
      <c r="F1203" s="1">
        <f>IFERROR(__xludf.DUMMYFUNCTION("""COMPUTED_VALUE"""),2.5138772E7)</f>
        <v>25138772</v>
      </c>
    </row>
    <row r="1204">
      <c r="A1204" s="2">
        <f>IFERROR(__xludf.DUMMYFUNCTION("""COMPUTED_VALUE"""),46101.66666666667)</f>
        <v>46101.66667</v>
      </c>
      <c r="B1204" s="1">
        <f>IFERROR(__xludf.DUMMYFUNCTION("""COMPUTED_VALUE"""),386.79)</f>
        <v>386.79</v>
      </c>
      <c r="C1204" s="1">
        <f>IFERROR(__xludf.DUMMYFUNCTION("""COMPUTED_VALUE"""),387.0)</f>
        <v>387</v>
      </c>
      <c r="D1204" s="1">
        <f>IFERROR(__xludf.DUMMYFUNCTION("""COMPUTED_VALUE"""),380.12)</f>
        <v>380.12</v>
      </c>
      <c r="E1204" s="1">
        <f>IFERROR(__xludf.DUMMYFUNCTION("""COMPUTED_VALUE"""),381.87)</f>
        <v>381.87</v>
      </c>
      <c r="F1204" s="1">
        <f>IFERROR(__xludf.DUMMYFUNCTION("""COMPUTED_VALUE"""),5.0853154E7)</f>
        <v>50853154</v>
      </c>
    </row>
    <row r="1205">
      <c r="A1205" s="2">
        <f>IFERROR(__xludf.DUMMYFUNCTION("""COMPUTED_VALUE"""),46104.66666666667)</f>
        <v>46104.66667</v>
      </c>
      <c r="B1205" s="1">
        <f>IFERROR(__xludf.DUMMYFUNCTION("""COMPUTED_VALUE"""),383.9)</f>
        <v>383.9</v>
      </c>
      <c r="C1205" s="1">
        <f>IFERROR(__xludf.DUMMYFUNCTION("""COMPUTED_VALUE"""),387.21)</f>
        <v>387.21</v>
      </c>
      <c r="D1205" s="1">
        <f>IFERROR(__xludf.DUMMYFUNCTION("""COMPUTED_VALUE"""),381.68)</f>
        <v>381.68</v>
      </c>
      <c r="E1205" s="1">
        <f>IFERROR(__xludf.DUMMYFUNCTION("""COMPUTED_VALUE"""),383.0)</f>
        <v>383</v>
      </c>
      <c r="F1205" s="1">
        <f>IFERROR(__xludf.DUMMYFUNCTION("""COMPUTED_VALUE"""),2.9680059E7)</f>
        <v>29680059</v>
      </c>
    </row>
    <row r="1206">
      <c r="A1206" s="2">
        <f>IFERROR(__xludf.DUMMYFUNCTION("""COMPUTED_VALUE"""),46105.66666666667)</f>
        <v>46105.66667</v>
      </c>
      <c r="B1206" s="1">
        <f>IFERROR(__xludf.DUMMYFUNCTION("""COMPUTED_VALUE"""),382.36)</f>
        <v>382.36</v>
      </c>
      <c r="C1206" s="1">
        <f>IFERROR(__xludf.DUMMYFUNCTION("""COMPUTED_VALUE"""),382.47)</f>
        <v>382.47</v>
      </c>
      <c r="D1206" s="1">
        <f>IFERROR(__xludf.DUMMYFUNCTION("""COMPUTED_VALUE"""),371.85)</f>
        <v>371.85</v>
      </c>
      <c r="E1206" s="1">
        <f>IFERROR(__xludf.DUMMYFUNCTION("""COMPUTED_VALUE"""),372.74)</f>
        <v>372.74</v>
      </c>
      <c r="F1206" s="1">
        <f>IFERROR(__xludf.DUMMYFUNCTION("""COMPUTED_VALUE"""),4.2733625E7)</f>
        <v>42733625</v>
      </c>
    </row>
    <row r="1207">
      <c r="A1207" s="2">
        <f>IFERROR(__xludf.DUMMYFUNCTION("""COMPUTED_VALUE"""),46106.66666666667)</f>
        <v>46106.66667</v>
      </c>
      <c r="B1207" s="1">
        <f>IFERROR(__xludf.DUMMYFUNCTION("""COMPUTED_VALUE"""),376.92)</f>
        <v>376.92</v>
      </c>
      <c r="C1207" s="1">
        <f>IFERROR(__xludf.DUMMYFUNCTION("""COMPUTED_VALUE"""),377.06)</f>
        <v>377.06</v>
      </c>
      <c r="D1207" s="1">
        <f>IFERROR(__xludf.DUMMYFUNCTION("""COMPUTED_VALUE"""),369.63)</f>
        <v>369.63</v>
      </c>
      <c r="E1207" s="1">
        <f>IFERROR(__xludf.DUMMYFUNCTION("""COMPUTED_VALUE"""),371.04)</f>
        <v>371.04</v>
      </c>
      <c r="F1207" s="1">
        <f>IFERROR(__xludf.DUMMYFUNCTION("""COMPUTED_VALUE"""),3.1181164E7)</f>
        <v>31181164</v>
      </c>
    </row>
    <row r="1208">
      <c r="A1208" s="2">
        <f>IFERROR(__xludf.DUMMYFUNCTION("""COMPUTED_VALUE"""),46107.66666666667)</f>
        <v>46107.66667</v>
      </c>
      <c r="B1208" s="1">
        <f>IFERROR(__xludf.DUMMYFUNCTION("""COMPUTED_VALUE"""),370.82)</f>
        <v>370.82</v>
      </c>
      <c r="C1208" s="1">
        <f>IFERROR(__xludf.DUMMYFUNCTION("""COMPUTED_VALUE"""),374.72)</f>
        <v>374.72</v>
      </c>
      <c r="D1208" s="1">
        <f>IFERROR(__xludf.DUMMYFUNCTION("""COMPUTED_VALUE"""),365.19)</f>
        <v>365.19</v>
      </c>
      <c r="E1208" s="1">
        <f>IFERROR(__xludf.DUMMYFUNCTION("""COMPUTED_VALUE"""),365.97)</f>
        <v>365.97</v>
      </c>
      <c r="F1208" s="1">
        <f>IFERROR(__xludf.DUMMYFUNCTION("""COMPUTED_VALUE"""),3.6836575E7)</f>
        <v>36836575</v>
      </c>
    </row>
    <row r="1209">
      <c r="A1209" s="2">
        <f>IFERROR(__xludf.DUMMYFUNCTION("""COMPUTED_VALUE"""),46108.66666666667)</f>
        <v>46108.66667</v>
      </c>
      <c r="B1209" s="1">
        <f>IFERROR(__xludf.DUMMYFUNCTION("""COMPUTED_VALUE"""),361.9)</f>
        <v>361.9</v>
      </c>
      <c r="C1209" s="1">
        <f>IFERROR(__xludf.DUMMYFUNCTION("""COMPUTED_VALUE"""),362.45)</f>
        <v>362.45</v>
      </c>
      <c r="D1209" s="1">
        <f>IFERROR(__xludf.DUMMYFUNCTION("""COMPUTED_VALUE"""),356.51)</f>
        <v>356.51</v>
      </c>
      <c r="E1209" s="1">
        <f>IFERROR(__xludf.DUMMYFUNCTION("""COMPUTED_VALUE"""),356.77)</f>
        <v>356.77</v>
      </c>
      <c r="F1209" s="1">
        <f>IFERROR(__xludf.DUMMYFUNCTION("""COMPUTED_VALUE"""),3.7883401E7)</f>
        <v>37883401</v>
      </c>
    </row>
    <row r="1210">
      <c r="A1210" s="2">
        <f>IFERROR(__xludf.DUMMYFUNCTION("""COMPUTED_VALUE"""),46111.66666666667)</f>
        <v>46111.66667</v>
      </c>
      <c r="B1210" s="1">
        <f>IFERROR(__xludf.DUMMYFUNCTION("""COMPUTED_VALUE"""),361.9)</f>
        <v>361.9</v>
      </c>
      <c r="C1210" s="1">
        <f>IFERROR(__xludf.DUMMYFUNCTION("""COMPUTED_VALUE"""),365.36)</f>
        <v>365.36</v>
      </c>
      <c r="D1210" s="1">
        <f>IFERROR(__xludf.DUMMYFUNCTION("""COMPUTED_VALUE"""),356.28)</f>
        <v>356.28</v>
      </c>
      <c r="E1210" s="1">
        <f>IFERROR(__xludf.DUMMYFUNCTION("""COMPUTED_VALUE"""),358.96)</f>
        <v>358.96</v>
      </c>
      <c r="F1210" s="1">
        <f>IFERROR(__xludf.DUMMYFUNCTION("""COMPUTED_VALUE"""),4.4797003E7)</f>
        <v>44797003</v>
      </c>
    </row>
    <row r="1211">
      <c r="A1211" s="2">
        <f>IFERROR(__xludf.DUMMYFUNCTION("""COMPUTED_VALUE"""),46112.66666666667)</f>
        <v>46112.66667</v>
      </c>
      <c r="B1211" s="1">
        <f>IFERROR(__xludf.DUMMYFUNCTION("""COMPUTED_VALUE"""),364.55)</f>
        <v>364.55</v>
      </c>
      <c r="C1211" s="1">
        <f>IFERROR(__xludf.DUMMYFUNCTION("""COMPUTED_VALUE"""),372.9)</f>
        <v>372.9</v>
      </c>
      <c r="D1211" s="1">
        <f>IFERROR(__xludf.DUMMYFUNCTION("""COMPUTED_VALUE"""),363.07)</f>
        <v>363.07</v>
      </c>
      <c r="E1211" s="1">
        <f>IFERROR(__xludf.DUMMYFUNCTION("""COMPUTED_VALUE"""),370.17)</f>
        <v>370.17</v>
      </c>
      <c r="F1211" s="1">
        <f>IFERROR(__xludf.DUMMYFUNCTION("""COMPUTED_VALUE"""),4.5244366E7)</f>
        <v>45244366</v>
      </c>
    </row>
    <row r="1212">
      <c r="A1212" s="2">
        <f>IFERROR(__xludf.DUMMYFUNCTION("""COMPUTED_VALUE"""),46113.66666666667)</f>
        <v>46113.66667</v>
      </c>
      <c r="B1212" s="1">
        <f>IFERROR(__xludf.DUMMYFUNCTION("""COMPUTED_VALUE"""),373.49)</f>
        <v>373.49</v>
      </c>
      <c r="C1212" s="1">
        <f>IFERROR(__xludf.DUMMYFUNCTION("""COMPUTED_VALUE"""),373.99)</f>
        <v>373.99</v>
      </c>
      <c r="D1212" s="1">
        <f>IFERROR(__xludf.DUMMYFUNCTION("""COMPUTED_VALUE"""),368.2)</f>
        <v>368.2</v>
      </c>
      <c r="E1212" s="1">
        <f>IFERROR(__xludf.DUMMYFUNCTION("""COMPUTED_VALUE"""),369.37)</f>
        <v>369.37</v>
      </c>
      <c r="F1212" s="1">
        <f>IFERROR(__xludf.DUMMYFUNCTION("""COMPUTED_VALUE"""),2.9417207E7)</f>
        <v>29417207</v>
      </c>
    </row>
    <row r="1213">
      <c r="A1213" s="2">
        <f>IFERROR(__xludf.DUMMYFUNCTION("""COMPUTED_VALUE"""),46114.66666666667)</f>
        <v>46114.66667</v>
      </c>
      <c r="B1213" s="1">
        <f>IFERROR(__xludf.DUMMYFUNCTION("""COMPUTED_VALUE"""),367.21)</f>
        <v>367.21</v>
      </c>
      <c r="C1213" s="1">
        <f>IFERROR(__xludf.DUMMYFUNCTION("""COMPUTED_VALUE"""),373.64)</f>
        <v>373.64</v>
      </c>
      <c r="D1213" s="1">
        <f>IFERROR(__xludf.DUMMYFUNCTION("""COMPUTED_VALUE"""),364.15)</f>
        <v>364.15</v>
      </c>
      <c r="E1213" s="1">
        <f>IFERROR(__xludf.DUMMYFUNCTION("""COMPUTED_VALUE"""),373.46)</f>
        <v>373.46</v>
      </c>
      <c r="F1213" s="1">
        <f>IFERROR(__xludf.DUMMYFUNCTION("""COMPUTED_VALUE"""),2.4099067E7)</f>
        <v>24099067</v>
      </c>
    </row>
    <row r="1214">
      <c r="A1214" s="2">
        <f>IFERROR(__xludf.DUMMYFUNCTION("""COMPUTED_VALUE"""),46118.66666666667)</f>
        <v>46118.66667</v>
      </c>
      <c r="B1214" s="1">
        <f>IFERROR(__xludf.DUMMYFUNCTION("""COMPUTED_VALUE"""),373.49)</f>
        <v>373.49</v>
      </c>
      <c r="C1214" s="1">
        <f>IFERROR(__xludf.DUMMYFUNCTION("""COMPUTED_VALUE"""),373.73)</f>
        <v>373.73</v>
      </c>
      <c r="D1214" s="1">
        <f>IFERROR(__xludf.DUMMYFUNCTION("""COMPUTED_VALUE"""),369.5)</f>
        <v>369.5</v>
      </c>
      <c r="E1214" s="1">
        <f>IFERROR(__xludf.DUMMYFUNCTION("""COMPUTED_VALUE"""),372.88)</f>
        <v>372.88</v>
      </c>
      <c r="F1214" s="1">
        <f>IFERROR(__xludf.DUMMYFUNCTION("""COMPUTED_VALUE"""),1.6146572E7)</f>
        <v>16146572</v>
      </c>
    </row>
    <row r="1215">
      <c r="A1215" s="2">
        <f>IFERROR(__xludf.DUMMYFUNCTION("""COMPUTED_VALUE"""),46119.66666666667)</f>
        <v>46119.66667</v>
      </c>
      <c r="B1215" s="1">
        <f>IFERROR(__xludf.DUMMYFUNCTION("""COMPUTED_VALUE"""),370.34)</f>
        <v>370.34</v>
      </c>
      <c r="C1215" s="1">
        <f>IFERROR(__xludf.DUMMYFUNCTION("""COMPUTED_VALUE"""),372.45)</f>
        <v>372.45</v>
      </c>
      <c r="D1215" s="1">
        <f>IFERROR(__xludf.DUMMYFUNCTION("""COMPUTED_VALUE"""),366.56)</f>
        <v>366.56</v>
      </c>
      <c r="E1215" s="1">
        <f>IFERROR(__xludf.DUMMYFUNCTION("""COMPUTED_VALUE"""),372.29)</f>
        <v>372.29</v>
      </c>
      <c r="F1215" s="1">
        <f>IFERROR(__xludf.DUMMYFUNCTION("""COMPUTED_VALUE"""),2.1443349E7)</f>
        <v>21443349</v>
      </c>
    </row>
    <row r="1216">
      <c r="A1216" s="2">
        <f>IFERROR(__xludf.DUMMYFUNCTION("""COMPUTED_VALUE"""),46120.66666666667)</f>
        <v>46120.66667</v>
      </c>
      <c r="B1216" s="1">
        <f>IFERROR(__xludf.DUMMYFUNCTION("""COMPUTED_VALUE"""),384.98)</f>
        <v>384.98</v>
      </c>
      <c r="C1216" s="1">
        <f>IFERROR(__xludf.DUMMYFUNCTION("""COMPUTED_VALUE"""),385.0)</f>
        <v>385</v>
      </c>
      <c r="D1216" s="1">
        <f>IFERROR(__xludf.DUMMYFUNCTION("""COMPUTED_VALUE"""),371.41)</f>
        <v>371.41</v>
      </c>
      <c r="E1216" s="1">
        <f>IFERROR(__xludf.DUMMYFUNCTION("""COMPUTED_VALUE"""),374.33)</f>
        <v>374.33</v>
      </c>
      <c r="F1216" s="1">
        <f>IFERROR(__xludf.DUMMYFUNCTION("""COMPUTED_VALUE"""),3.3064819E7)</f>
        <v>33064819</v>
      </c>
    </row>
    <row r="1217">
      <c r="A1217" s="2">
        <f>IFERROR(__xludf.DUMMYFUNCTION("""COMPUTED_VALUE"""),46121.66666666667)</f>
        <v>46121.66667</v>
      </c>
      <c r="B1217" s="1">
        <f>IFERROR(__xludf.DUMMYFUNCTION("""COMPUTED_VALUE"""),372.5)</f>
        <v>372.5</v>
      </c>
      <c r="C1217" s="1">
        <f>IFERROR(__xludf.DUMMYFUNCTION("""COMPUTED_VALUE"""),373.5)</f>
        <v>373.5</v>
      </c>
      <c r="D1217" s="1">
        <f>IFERROR(__xludf.DUMMYFUNCTION("""COMPUTED_VALUE"""),367.05)</f>
        <v>367.05</v>
      </c>
      <c r="E1217" s="1">
        <f>IFERROR(__xludf.DUMMYFUNCTION("""COMPUTED_VALUE"""),373.07)</f>
        <v>373.07</v>
      </c>
      <c r="F1217" s="1">
        <f>IFERROR(__xludf.DUMMYFUNCTION("""COMPUTED_VALUE"""),3.0435297E7)</f>
        <v>30435297</v>
      </c>
    </row>
    <row r="1218">
      <c r="A1218" s="2">
        <f>IFERROR(__xludf.DUMMYFUNCTION("""COMPUTED_VALUE"""),46122.66666666667)</f>
        <v>46122.66667</v>
      </c>
      <c r="B1218" s="1">
        <f>IFERROR(__xludf.DUMMYFUNCTION("""COMPUTED_VALUE"""),372.98)</f>
        <v>372.98</v>
      </c>
      <c r="C1218" s="1">
        <f>IFERROR(__xludf.DUMMYFUNCTION("""COMPUTED_VALUE"""),375.64)</f>
        <v>375.64</v>
      </c>
      <c r="D1218" s="1">
        <f>IFERROR(__xludf.DUMMYFUNCTION("""COMPUTED_VALUE"""),370.03)</f>
        <v>370.03</v>
      </c>
      <c r="E1218" s="1">
        <f>IFERROR(__xludf.DUMMYFUNCTION("""COMPUTED_VALUE"""),370.87)</f>
        <v>370.87</v>
      </c>
      <c r="F1218" s="1">
        <f>IFERROR(__xludf.DUMMYFUNCTION("""COMPUTED_VALUE"""),2.8111128E7)</f>
        <v>28111128</v>
      </c>
    </row>
    <row r="1219">
      <c r="A1219" s="2">
        <f>IFERROR(__xludf.DUMMYFUNCTION("""COMPUTED_VALUE"""),46125.66666666667)</f>
        <v>46125.66667</v>
      </c>
      <c r="B1219" s="1">
        <f>IFERROR(__xludf.DUMMYFUNCTION("""COMPUTED_VALUE"""),373.61)</f>
        <v>373.61</v>
      </c>
      <c r="C1219" s="1">
        <f>IFERROR(__xludf.DUMMYFUNCTION("""COMPUTED_VALUE"""),384.54)</f>
        <v>384.54</v>
      </c>
      <c r="D1219" s="1">
        <f>IFERROR(__xludf.DUMMYFUNCTION("""COMPUTED_VALUE"""),371.02)</f>
        <v>371.02</v>
      </c>
      <c r="E1219" s="1">
        <f>IFERROR(__xludf.DUMMYFUNCTION("""COMPUTED_VALUE"""),384.37)</f>
        <v>384.37</v>
      </c>
      <c r="F1219" s="1">
        <f>IFERROR(__xludf.DUMMYFUNCTION("""COMPUTED_VALUE"""),3.5745781E7)</f>
        <v>35745781</v>
      </c>
    </row>
    <row r="1220">
      <c r="A1220" s="2">
        <f>IFERROR(__xludf.DUMMYFUNCTION("""COMPUTED_VALUE"""),46126.66666666667)</f>
        <v>46126.66667</v>
      </c>
      <c r="B1220" s="1">
        <f>IFERROR(__xludf.DUMMYFUNCTION("""COMPUTED_VALUE"""),387.92)</f>
        <v>387.92</v>
      </c>
      <c r="C1220" s="1">
        <f>IFERROR(__xludf.DUMMYFUNCTION("""COMPUTED_VALUE"""),394.69)</f>
        <v>394.69</v>
      </c>
      <c r="D1220" s="1">
        <f>IFERROR(__xludf.DUMMYFUNCTION("""COMPUTED_VALUE"""),386.52)</f>
        <v>386.52</v>
      </c>
      <c r="E1220" s="1">
        <f>IFERROR(__xludf.DUMMYFUNCTION("""COMPUTED_VALUE"""),393.11)</f>
        <v>393.11</v>
      </c>
      <c r="F1220" s="1">
        <f>IFERROR(__xludf.DUMMYFUNCTION("""COMPUTED_VALUE"""),3.7504486E7)</f>
        <v>37504486</v>
      </c>
    </row>
    <row r="1221">
      <c r="A1221" s="2">
        <f>IFERROR(__xludf.DUMMYFUNCTION("""COMPUTED_VALUE"""),46127.66666666667)</f>
        <v>46127.66667</v>
      </c>
      <c r="B1221" s="1">
        <f>IFERROR(__xludf.DUMMYFUNCTION("""COMPUTED_VALUE"""),398.0)</f>
        <v>398</v>
      </c>
      <c r="C1221" s="1">
        <f>IFERROR(__xludf.DUMMYFUNCTION("""COMPUTED_VALUE"""),414.37)</f>
        <v>414.37</v>
      </c>
      <c r="D1221" s="1">
        <f>IFERROR(__xludf.DUMMYFUNCTION("""COMPUTED_VALUE"""),396.73)</f>
        <v>396.73</v>
      </c>
      <c r="E1221" s="1">
        <f>IFERROR(__xludf.DUMMYFUNCTION("""COMPUTED_VALUE"""),411.22)</f>
        <v>411.22</v>
      </c>
      <c r="F1221" s="1">
        <f>IFERROR(__xludf.DUMMYFUNCTION("""COMPUTED_VALUE"""),4.5063389E7)</f>
        <v>45063389</v>
      </c>
    </row>
    <row r="1222">
      <c r="A1222" s="2">
        <f>IFERROR(__xludf.DUMMYFUNCTION("""COMPUTED_VALUE"""),46128.66666666667)</f>
        <v>46128.66667</v>
      </c>
      <c r="B1222" s="1">
        <f>IFERROR(__xludf.DUMMYFUNCTION("""COMPUTED_VALUE"""),419.86)</f>
        <v>419.86</v>
      </c>
      <c r="C1222" s="1">
        <f>IFERROR(__xludf.DUMMYFUNCTION("""COMPUTED_VALUE"""),420.82)</f>
        <v>420.82</v>
      </c>
      <c r="D1222" s="1">
        <f>IFERROR(__xludf.DUMMYFUNCTION("""COMPUTED_VALUE"""),412.14)</f>
        <v>412.14</v>
      </c>
      <c r="E1222" s="1">
        <f>IFERROR(__xludf.DUMMYFUNCTION("""COMPUTED_VALUE"""),420.26)</f>
        <v>420.26</v>
      </c>
      <c r="F1222" s="1">
        <f>IFERROR(__xludf.DUMMYFUNCTION("""COMPUTED_VALUE"""),4.1642361E7)</f>
        <v>41642361</v>
      </c>
    </row>
    <row r="1223">
      <c r="A1223" s="2">
        <f>IFERROR(__xludf.DUMMYFUNCTION("""COMPUTED_VALUE"""),46129.66666666667)</f>
        <v>46129.66667</v>
      </c>
      <c r="B1223" s="1">
        <f>IFERROR(__xludf.DUMMYFUNCTION("""COMPUTED_VALUE"""),424.82)</f>
        <v>424.82</v>
      </c>
      <c r="C1223" s="1">
        <f>IFERROR(__xludf.DUMMYFUNCTION("""COMPUTED_VALUE"""),431.58)</f>
        <v>431.58</v>
      </c>
      <c r="D1223" s="1">
        <f>IFERROR(__xludf.DUMMYFUNCTION("""COMPUTED_VALUE"""),420.69)</f>
        <v>420.69</v>
      </c>
      <c r="E1223" s="1">
        <f>IFERROR(__xludf.DUMMYFUNCTION("""COMPUTED_VALUE"""),422.79)</f>
        <v>422.79</v>
      </c>
      <c r="F1223" s="1">
        <f>IFERROR(__xludf.DUMMYFUNCTION("""COMPUTED_VALUE"""),4.856819E7)</f>
        <v>48568190</v>
      </c>
    </row>
    <row r="1224">
      <c r="A1224" s="2">
        <f>IFERROR(__xludf.DUMMYFUNCTION("""COMPUTED_VALUE"""),46132.66666666667)</f>
        <v>46132.66667</v>
      </c>
      <c r="B1224" s="1">
        <f>IFERROR(__xludf.DUMMYFUNCTION("""COMPUTED_VALUE"""),421.15)</f>
        <v>421.15</v>
      </c>
      <c r="C1224" s="1">
        <f>IFERROR(__xludf.DUMMYFUNCTION("""COMPUTED_VALUE"""),423.33)</f>
        <v>423.33</v>
      </c>
      <c r="D1224" s="1">
        <f>IFERROR(__xludf.DUMMYFUNCTION("""COMPUTED_VALUE"""),416.3)</f>
        <v>416.3</v>
      </c>
      <c r="E1224" s="1">
        <f>IFERROR(__xludf.DUMMYFUNCTION("""COMPUTED_VALUE"""),418.07)</f>
        <v>418.07</v>
      </c>
      <c r="F1224" s="1">
        <f>IFERROR(__xludf.DUMMYFUNCTION("""COMPUTED_VALUE"""),2.7582237E7)</f>
        <v>27582237</v>
      </c>
    </row>
    <row r="1225">
      <c r="A1225" s="2">
        <f>IFERROR(__xludf.DUMMYFUNCTION("""COMPUTED_VALUE"""),46133.66666666667)</f>
        <v>46133.66667</v>
      </c>
      <c r="B1225" s="1">
        <f>IFERROR(__xludf.DUMMYFUNCTION("""COMPUTED_VALUE"""),420.24)</f>
        <v>420.24</v>
      </c>
      <c r="C1225" s="1">
        <f>IFERROR(__xludf.DUMMYFUNCTION("""COMPUTED_VALUE"""),427.18)</f>
        <v>427.18</v>
      </c>
      <c r="D1225" s="1">
        <f>IFERROR(__xludf.DUMMYFUNCTION("""COMPUTED_VALUE"""),417.2)</f>
        <v>417.2</v>
      </c>
      <c r="E1225" s="1">
        <f>IFERROR(__xludf.DUMMYFUNCTION("""COMPUTED_VALUE"""),424.16)</f>
        <v>424.16</v>
      </c>
      <c r="F1225" s="1">
        <f>IFERROR(__xludf.DUMMYFUNCTION("""COMPUTED_VALUE"""),3.2048496E7)</f>
        <v>32048496</v>
      </c>
    </row>
    <row r="1226">
      <c r="A1226" s="2">
        <f>IFERROR(__xludf.DUMMYFUNCTION("""COMPUTED_VALUE"""),46134.66666666667)</f>
        <v>46134.66667</v>
      </c>
      <c r="B1226" s="1">
        <f>IFERROR(__xludf.DUMMYFUNCTION("""COMPUTED_VALUE"""),426.19)</f>
        <v>426.19</v>
      </c>
      <c r="C1226" s="1">
        <f>IFERROR(__xludf.DUMMYFUNCTION("""COMPUTED_VALUE"""),433.7)</f>
        <v>433.7</v>
      </c>
      <c r="D1226" s="1">
        <f>IFERROR(__xludf.DUMMYFUNCTION("""COMPUTED_VALUE"""),423.67)</f>
        <v>423.67</v>
      </c>
      <c r="E1226" s="1">
        <f>IFERROR(__xludf.DUMMYFUNCTION("""COMPUTED_VALUE"""),432.92)</f>
        <v>432.92</v>
      </c>
      <c r="F1226" s="1">
        <f>IFERROR(__xludf.DUMMYFUNCTION("""COMPUTED_VALUE"""),2.9378173E7)</f>
        <v>29378173</v>
      </c>
    </row>
    <row r="1227">
      <c r="A1227" s="2">
        <f>IFERROR(__xludf.DUMMYFUNCTION("""COMPUTED_VALUE"""),46135.66666666667)</f>
        <v>46135.66667</v>
      </c>
      <c r="B1227" s="1">
        <f>IFERROR(__xludf.DUMMYFUNCTION("""COMPUTED_VALUE"""),419.89)</f>
        <v>419.89</v>
      </c>
      <c r="C1227" s="1">
        <f>IFERROR(__xludf.DUMMYFUNCTION("""COMPUTED_VALUE"""),423.66)</f>
        <v>423.66</v>
      </c>
      <c r="D1227" s="1">
        <f>IFERROR(__xludf.DUMMYFUNCTION("""COMPUTED_VALUE"""),411.41)</f>
        <v>411.41</v>
      </c>
      <c r="E1227" s="1">
        <f>IFERROR(__xludf.DUMMYFUNCTION("""COMPUTED_VALUE"""),415.75)</f>
        <v>415.75</v>
      </c>
      <c r="F1227" s="1">
        <f>IFERROR(__xludf.DUMMYFUNCTION("""COMPUTED_VALUE"""),3.830796E7)</f>
        <v>38307960</v>
      </c>
    </row>
    <row r="1228">
      <c r="A1228" s="2">
        <f>IFERROR(__xludf.DUMMYFUNCTION("""COMPUTED_VALUE"""),46136.66666666667)</f>
        <v>46136.66667</v>
      </c>
      <c r="B1228" s="1">
        <f>IFERROR(__xludf.DUMMYFUNCTION("""COMPUTED_VALUE"""),416.97)</f>
        <v>416.97</v>
      </c>
      <c r="C1228" s="1">
        <f>IFERROR(__xludf.DUMMYFUNCTION("""COMPUTED_VALUE"""),424.95)</f>
        <v>424.95</v>
      </c>
      <c r="D1228" s="1">
        <f>IFERROR(__xludf.DUMMYFUNCTION("""COMPUTED_VALUE"""),415.8)</f>
        <v>415.8</v>
      </c>
      <c r="E1228" s="1">
        <f>IFERROR(__xludf.DUMMYFUNCTION("""COMPUTED_VALUE"""),424.62)</f>
        <v>424.62</v>
      </c>
      <c r="F1228" s="1">
        <f>IFERROR(__xludf.DUMMYFUNCTION("""COMPUTED_VALUE"""),2.7457405E7)</f>
        <v>27457405</v>
      </c>
    </row>
    <row r="1229">
      <c r="A1229" s="2">
        <f>IFERROR(__xludf.DUMMYFUNCTION("""COMPUTED_VALUE"""),46139.66666666667)</f>
        <v>46139.66667</v>
      </c>
      <c r="B1229" s="1">
        <f>IFERROR(__xludf.DUMMYFUNCTION("""COMPUTED_VALUE"""),422.38)</f>
        <v>422.38</v>
      </c>
      <c r="C1229" s="1">
        <f>IFERROR(__xludf.DUMMYFUNCTION("""COMPUTED_VALUE"""),427.11)</f>
        <v>427.11</v>
      </c>
      <c r="D1229" s="1">
        <f>IFERROR(__xludf.DUMMYFUNCTION("""COMPUTED_VALUE"""),417.07)</f>
        <v>417.07</v>
      </c>
      <c r="E1229" s="1">
        <f>IFERROR(__xludf.DUMMYFUNCTION("""COMPUTED_VALUE"""),424.82)</f>
        <v>424.82</v>
      </c>
      <c r="F1229" s="1">
        <f>IFERROR(__xludf.DUMMYFUNCTION("""COMPUTED_VALUE"""),3.0867303E7)</f>
        <v>30867303</v>
      </c>
    </row>
    <row r="1230">
      <c r="A1230" s="2">
        <f>IFERROR(__xludf.DUMMYFUNCTION("""COMPUTED_VALUE"""),46140.66666666667)</f>
        <v>46140.66667</v>
      </c>
      <c r="B1230" s="1">
        <f>IFERROR(__xludf.DUMMYFUNCTION("""COMPUTED_VALUE"""),424.57)</f>
        <v>424.57</v>
      </c>
      <c r="C1230" s="1">
        <f>IFERROR(__xludf.DUMMYFUNCTION("""COMPUTED_VALUE"""),429.92)</f>
        <v>429.92</v>
      </c>
      <c r="D1230" s="1">
        <f>IFERROR(__xludf.DUMMYFUNCTION("""COMPUTED_VALUE"""),421.9)</f>
        <v>421.9</v>
      </c>
      <c r="E1230" s="1">
        <f>IFERROR(__xludf.DUMMYFUNCTION("""COMPUTED_VALUE"""),429.25)</f>
        <v>429.25</v>
      </c>
      <c r="F1230" s="1">
        <f>IFERROR(__xludf.DUMMYFUNCTION("""COMPUTED_VALUE"""),3.0438088E7)</f>
        <v>30438088</v>
      </c>
    </row>
    <row r="1231">
      <c r="A1231" s="2">
        <f>IFERROR(__xludf.DUMMYFUNCTION("""COMPUTED_VALUE"""),46141.66666666667)</f>
        <v>46141.66667</v>
      </c>
      <c r="B1231" s="1">
        <f>IFERROR(__xludf.DUMMYFUNCTION("""COMPUTED_VALUE"""),424.58)</f>
        <v>424.58</v>
      </c>
      <c r="C1231" s="1">
        <f>IFERROR(__xludf.DUMMYFUNCTION("""COMPUTED_VALUE"""),426.82)</f>
        <v>426.82</v>
      </c>
      <c r="D1231" s="1">
        <f>IFERROR(__xludf.DUMMYFUNCTION("""COMPUTED_VALUE"""),420.29)</f>
        <v>420.29</v>
      </c>
      <c r="E1231" s="1">
        <f>IFERROR(__xludf.DUMMYFUNCTION("""COMPUTED_VALUE"""),424.46)</f>
        <v>424.46</v>
      </c>
      <c r="F1231" s="1">
        <f>IFERROR(__xludf.DUMMYFUNCTION("""COMPUTED_VALUE"""),3.8288317E7)</f>
        <v>38288317</v>
      </c>
    </row>
    <row r="1232">
      <c r="A1232" s="2">
        <f>IFERROR(__xludf.DUMMYFUNCTION("""COMPUTED_VALUE"""),46142.66666666667)</f>
        <v>46142.66667</v>
      </c>
      <c r="B1232" s="1">
        <f>IFERROR(__xludf.DUMMYFUNCTION("""COMPUTED_VALUE"""),410.81)</f>
        <v>410.81</v>
      </c>
      <c r="C1232" s="1">
        <f>IFERROR(__xludf.DUMMYFUNCTION("""COMPUTED_VALUE"""),414.42)</f>
        <v>414.42</v>
      </c>
      <c r="D1232" s="1">
        <f>IFERROR(__xludf.DUMMYFUNCTION("""COMPUTED_VALUE"""),398.01)</f>
        <v>398.01</v>
      </c>
      <c r="E1232" s="1">
        <f>IFERROR(__xludf.DUMMYFUNCTION("""COMPUTED_VALUE"""),407.78)</f>
        <v>407.78</v>
      </c>
      <c r="F1232" s="1">
        <f>IFERROR(__xludf.DUMMYFUNCTION("""COMPUTED_VALUE"""),7.0909408E7)</f>
        <v>70909408</v>
      </c>
    </row>
    <row r="1233">
      <c r="A1233" s="2">
        <f>IFERROR(__xludf.DUMMYFUNCTION("""COMPUTED_VALUE"""),46143.66666666667)</f>
        <v>46143.66667</v>
      </c>
      <c r="B1233" s="1">
        <f>IFERROR(__xludf.DUMMYFUNCTION("""COMPUTED_VALUE"""),412.8)</f>
        <v>412.8</v>
      </c>
      <c r="C1233" s="1">
        <f>IFERROR(__xludf.DUMMYFUNCTION("""COMPUTED_VALUE"""),417.11)</f>
        <v>417.11</v>
      </c>
      <c r="D1233" s="1">
        <f>IFERROR(__xludf.DUMMYFUNCTION("""COMPUTED_VALUE"""),410.44)</f>
        <v>410.44</v>
      </c>
      <c r="E1233" s="1">
        <f>IFERROR(__xludf.DUMMYFUNCTION("""COMPUTED_VALUE"""),414.44)</f>
        <v>414.44</v>
      </c>
      <c r="F1233" s="1">
        <f>IFERROR(__xludf.DUMMYFUNCTION("""COMPUTED_VALUE"""),3.1372362E7)</f>
        <v>31372362</v>
      </c>
    </row>
    <row r="1234">
      <c r="A1234" s="2">
        <f>IFERROR(__xludf.DUMMYFUNCTION("""COMPUTED_VALUE"""),46146.66666666667)</f>
        <v>46146.66667</v>
      </c>
      <c r="B1234" s="1">
        <f>IFERROR(__xludf.DUMMYFUNCTION("""COMPUTED_VALUE"""),411.54)</f>
        <v>411.54</v>
      </c>
      <c r="C1234" s="1">
        <f>IFERROR(__xludf.DUMMYFUNCTION("""COMPUTED_VALUE"""),420.78)</f>
        <v>420.78</v>
      </c>
      <c r="D1234" s="1">
        <f>IFERROR(__xludf.DUMMYFUNCTION("""COMPUTED_VALUE"""),410.8)</f>
        <v>410.8</v>
      </c>
      <c r="E1234" s="1">
        <f>IFERROR(__xludf.DUMMYFUNCTION("""COMPUTED_VALUE"""),413.62)</f>
        <v>413.62</v>
      </c>
      <c r="F1234" s="1">
        <f>IFERROR(__xludf.DUMMYFUNCTION("""COMPUTED_VALUE"""),2.8066528E7)</f>
        <v>28066528</v>
      </c>
    </row>
    <row r="1235">
      <c r="A1235" s="2">
        <f>IFERROR(__xludf.DUMMYFUNCTION("""COMPUTED_VALUE"""),46147.66666666667)</f>
        <v>46147.66667</v>
      </c>
      <c r="B1235" s="1">
        <f>IFERROR(__xludf.DUMMYFUNCTION("""COMPUTED_VALUE"""),415.32)</f>
        <v>415.32</v>
      </c>
      <c r="C1235" s="1">
        <f>IFERROR(__xludf.DUMMYFUNCTION("""COMPUTED_VALUE"""),416.78)</f>
        <v>416.78</v>
      </c>
      <c r="D1235" s="1">
        <f>IFERROR(__xludf.DUMMYFUNCTION("""COMPUTED_VALUE"""),408.8)</f>
        <v>408.8</v>
      </c>
      <c r="E1235" s="1">
        <f>IFERROR(__xludf.DUMMYFUNCTION("""COMPUTED_VALUE"""),411.38)</f>
        <v>411.38</v>
      </c>
      <c r="F1235" s="1">
        <f>IFERROR(__xludf.DUMMYFUNCTION("""COMPUTED_VALUE"""),2.5700891E7)</f>
        <v>25700891</v>
      </c>
    </row>
    <row r="1236">
      <c r="A1236" s="2">
        <f>IFERROR(__xludf.DUMMYFUNCTION("""COMPUTED_VALUE"""),46148.66666666667)</f>
        <v>46148.66667</v>
      </c>
      <c r="B1236" s="1">
        <f>IFERROR(__xludf.DUMMYFUNCTION("""COMPUTED_VALUE"""),408.0)</f>
        <v>408</v>
      </c>
      <c r="C1236" s="1">
        <f>IFERROR(__xludf.DUMMYFUNCTION("""COMPUTED_VALUE"""),418.42)</f>
        <v>418.42</v>
      </c>
      <c r="D1236" s="1">
        <f>IFERROR(__xludf.DUMMYFUNCTION("""COMPUTED_VALUE"""),405.11)</f>
        <v>405.11</v>
      </c>
      <c r="E1236" s="1">
        <f>IFERROR(__xludf.DUMMYFUNCTION("""COMPUTED_VALUE"""),413.96)</f>
        <v>413.96</v>
      </c>
      <c r="F1236" s="1">
        <f>IFERROR(__xludf.DUMMYFUNCTION("""COMPUTED_VALUE"""),3.0285898E7)</f>
        <v>30285898</v>
      </c>
    </row>
    <row r="1237">
      <c r="A1237" s="2">
        <f>IFERROR(__xludf.DUMMYFUNCTION("""COMPUTED_VALUE"""),46149.66666666667)</f>
        <v>46149.66667</v>
      </c>
      <c r="B1237" s="1">
        <f>IFERROR(__xludf.DUMMYFUNCTION("""COMPUTED_VALUE"""),420.11)</f>
        <v>420.11</v>
      </c>
      <c r="C1237" s="1">
        <f>IFERROR(__xludf.DUMMYFUNCTION("""COMPUTED_VALUE"""),427.98)</f>
        <v>427.98</v>
      </c>
      <c r="D1237" s="1">
        <f>IFERROR(__xludf.DUMMYFUNCTION("""COMPUTED_VALUE"""),418.76)</f>
        <v>418.76</v>
      </c>
      <c r="E1237" s="1">
        <f>IFERROR(__xludf.DUMMYFUNCTION("""COMPUTED_VALUE"""),420.77)</f>
        <v>420.77</v>
      </c>
      <c r="F1237" s="1">
        <f>IFERROR(__xludf.DUMMYFUNCTION("""COMPUTED_VALUE"""),3.4942445E7)</f>
        <v>34942445</v>
      </c>
    </row>
    <row r="1238">
      <c r="A1238" s="2">
        <f>IFERROR(__xludf.DUMMYFUNCTION("""COMPUTED_VALUE"""),46150.66666666667)</f>
        <v>46150.66667</v>
      </c>
      <c r="B1238" s="1">
        <f>IFERROR(__xludf.DUMMYFUNCTION("""COMPUTED_VALUE"""),417.39)</f>
        <v>417.39</v>
      </c>
      <c r="C1238" s="1">
        <f>IFERROR(__xludf.DUMMYFUNCTION("""COMPUTED_VALUE"""),418.63)</f>
        <v>418.63</v>
      </c>
      <c r="D1238" s="1">
        <f>IFERROR(__xludf.DUMMYFUNCTION("""COMPUTED_VALUE"""),414.0)</f>
        <v>414</v>
      </c>
      <c r="E1238" s="1">
        <f>IFERROR(__xludf.DUMMYFUNCTION("""COMPUTED_VALUE"""),415.12)</f>
        <v>415.12</v>
      </c>
      <c r="F1238" s="1">
        <f>IFERROR(__xludf.DUMMYFUNCTION("""COMPUTED_VALUE"""),3.3383791E7)</f>
        <v>33383791</v>
      </c>
    </row>
    <row r="1239">
      <c r="A1239" s="2">
        <f>IFERROR(__xludf.DUMMYFUNCTION("""COMPUTED_VALUE"""),46153.66666666667)</f>
        <v>46153.66667</v>
      </c>
      <c r="B1239" s="1">
        <f>IFERROR(__xludf.DUMMYFUNCTION("""COMPUTED_VALUE"""),407.87)</f>
        <v>407.87</v>
      </c>
      <c r="C1239" s="1">
        <f>IFERROR(__xludf.DUMMYFUNCTION("""COMPUTED_VALUE"""),412.69)</f>
        <v>412.69</v>
      </c>
      <c r="D1239" s="1">
        <f>IFERROR(__xludf.DUMMYFUNCTION("""COMPUTED_VALUE"""),405.5)</f>
        <v>405.5</v>
      </c>
      <c r="E1239" s="1">
        <f>IFERROR(__xludf.DUMMYFUNCTION("""COMPUTED_VALUE"""),412.66)</f>
        <v>412.66</v>
      </c>
      <c r="F1239" s="1">
        <f>IFERROR(__xludf.DUMMYFUNCTION("""COMPUTED_VALUE"""),3.5657943E7)</f>
        <v>35657943</v>
      </c>
    </row>
    <row r="1240">
      <c r="A1240" s="2">
        <f>IFERROR(__xludf.DUMMYFUNCTION("""COMPUTED_VALUE"""),46154.66666666667)</f>
        <v>46154.66667</v>
      </c>
      <c r="B1240" s="1">
        <f>IFERROR(__xludf.DUMMYFUNCTION("""COMPUTED_VALUE"""),414.48)</f>
        <v>414.48</v>
      </c>
      <c r="C1240" s="1">
        <f>IFERROR(__xludf.DUMMYFUNCTION("""COMPUTED_VALUE"""),415.5)</f>
        <v>415.5</v>
      </c>
      <c r="D1240" s="1">
        <f>IFERROR(__xludf.DUMMYFUNCTION("""COMPUTED_VALUE"""),406.64)</f>
        <v>406.64</v>
      </c>
      <c r="E1240" s="1">
        <f>IFERROR(__xludf.DUMMYFUNCTION("""COMPUTED_VALUE"""),407.77)</f>
        <v>407.77</v>
      </c>
      <c r="F1240" s="1">
        <f>IFERROR(__xludf.DUMMYFUNCTION("""COMPUTED_VALUE"""),3.8594221E7)</f>
        <v>38594221</v>
      </c>
    </row>
    <row r="1241">
      <c r="A1241" s="2">
        <f>IFERROR(__xludf.DUMMYFUNCTION("""COMPUTED_VALUE"""),46155.66666666667)</f>
        <v>46155.66667</v>
      </c>
      <c r="B1241" s="1">
        <f>IFERROR(__xludf.DUMMYFUNCTION("""COMPUTED_VALUE"""),403.2)</f>
        <v>403.2</v>
      </c>
      <c r="C1241" s="1">
        <f>IFERROR(__xludf.DUMMYFUNCTION("""COMPUTED_VALUE"""),406.31)</f>
        <v>406.31</v>
      </c>
      <c r="D1241" s="1">
        <f>IFERROR(__xludf.DUMMYFUNCTION("""COMPUTED_VALUE"""),401.03)</f>
        <v>401.03</v>
      </c>
      <c r="E1241" s="1">
        <f>IFERROR(__xludf.DUMMYFUNCTION("""COMPUTED_VALUE"""),405.21)</f>
        <v>405.21</v>
      </c>
      <c r="F1241" s="1">
        <f>IFERROR(__xludf.DUMMYFUNCTION("""COMPUTED_VALUE"""),2.9667073E7)</f>
        <v>29667073</v>
      </c>
    </row>
    <row r="1242">
      <c r="A1242" s="2">
        <f>IFERROR(__xludf.DUMMYFUNCTION("""COMPUTED_VALUE"""),46156.66666666667)</f>
        <v>46156.66667</v>
      </c>
      <c r="B1242" s="1">
        <f>IFERROR(__xludf.DUMMYFUNCTION("""COMPUTED_VALUE"""),404.48)</f>
        <v>404.48</v>
      </c>
      <c r="C1242" s="1">
        <f>IFERROR(__xludf.DUMMYFUNCTION("""COMPUTED_VALUE"""),411.84)</f>
        <v>411.84</v>
      </c>
      <c r="D1242" s="1">
        <f>IFERROR(__xludf.DUMMYFUNCTION("""COMPUTED_VALUE"""),400.88)</f>
        <v>400.88</v>
      </c>
      <c r="E1242" s="1">
        <f>IFERROR(__xludf.DUMMYFUNCTION("""COMPUTED_VALUE"""),409.43)</f>
        <v>409.43</v>
      </c>
      <c r="F1242" s="1">
        <f>IFERROR(__xludf.DUMMYFUNCTION("""COMPUTED_VALUE"""),2.7077543E7)</f>
        <v>27077543</v>
      </c>
    </row>
    <row r="1243">
      <c r="A1243" s="2">
        <f>IFERROR(__xludf.DUMMYFUNCTION("""COMPUTED_VALUE"""),46157.66666666667)</f>
        <v>46157.66667</v>
      </c>
      <c r="B1243" s="1">
        <f>IFERROR(__xludf.DUMMYFUNCTION("""COMPUTED_VALUE"""),414.27)</f>
        <v>414.27</v>
      </c>
      <c r="C1243" s="1">
        <f>IFERROR(__xludf.DUMMYFUNCTION("""COMPUTED_VALUE"""),428.17)</f>
        <v>428.17</v>
      </c>
      <c r="D1243" s="1">
        <f>IFERROR(__xludf.DUMMYFUNCTION("""COMPUTED_VALUE"""),412.91)</f>
        <v>412.91</v>
      </c>
      <c r="E1243" s="1">
        <f>IFERROR(__xludf.DUMMYFUNCTION("""COMPUTED_VALUE"""),421.92)</f>
        <v>421.92</v>
      </c>
      <c r="F1243" s="1">
        <f>IFERROR(__xludf.DUMMYFUNCTION("""COMPUTED_VALUE"""),5.077116E7)</f>
        <v>50771160</v>
      </c>
    </row>
    <row r="1244">
      <c r="A1244" s="2">
        <f>IFERROR(__xludf.DUMMYFUNCTION("""COMPUTED_VALUE"""),46160.66666666667)</f>
        <v>46160.66667</v>
      </c>
      <c r="B1244" s="1">
        <f>IFERROR(__xludf.DUMMYFUNCTION("""COMPUTED_VALUE"""),416.62)</f>
        <v>416.62</v>
      </c>
      <c r="C1244" s="1">
        <f>IFERROR(__xludf.DUMMYFUNCTION("""COMPUTED_VALUE"""),425.12)</f>
        <v>425.12</v>
      </c>
      <c r="D1244" s="1">
        <f>IFERROR(__xludf.DUMMYFUNCTION("""COMPUTED_VALUE"""),415.61)</f>
        <v>415.61</v>
      </c>
      <c r="E1244" s="1">
        <f>IFERROR(__xludf.DUMMYFUNCTION("""COMPUTED_VALUE"""),423.54)</f>
        <v>423.54</v>
      </c>
      <c r="F1244" s="1">
        <f>IFERROR(__xludf.DUMMYFUNCTION("""COMPUTED_VALUE"""),3.256413E7)</f>
        <v>32564130</v>
      </c>
    </row>
    <row r="1245">
      <c r="A1245" s="2">
        <f>IFERROR(__xludf.DUMMYFUNCTION("""COMPUTED_VALUE"""),46161.66666666667)</f>
        <v>46161.66667</v>
      </c>
      <c r="B1245" s="1">
        <f>IFERROR(__xludf.DUMMYFUNCTION("""COMPUTED_VALUE"""),429.9)</f>
        <v>429.9</v>
      </c>
      <c r="C1245" s="1">
        <f>IFERROR(__xludf.DUMMYFUNCTION("""COMPUTED_VALUE"""),432.7)</f>
        <v>432.7</v>
      </c>
      <c r="D1245" s="1">
        <f>IFERROR(__xludf.DUMMYFUNCTION("""COMPUTED_VALUE"""),416.49)</f>
        <v>416.49</v>
      </c>
      <c r="E1245" s="1">
        <f>IFERROR(__xludf.DUMMYFUNCTION("""COMPUTED_VALUE"""),417.42)</f>
        <v>417.42</v>
      </c>
      <c r="F1245" s="1">
        <f>IFERROR(__xludf.DUMMYFUNCTION("""COMPUTED_VALUE"""),3.3018679E7)</f>
        <v>33018679</v>
      </c>
    </row>
    <row r="1246">
      <c r="A1246" s="2">
        <f>IFERROR(__xludf.DUMMYFUNCTION("""COMPUTED_VALUE"""),46162.66666666667)</f>
        <v>46162.66667</v>
      </c>
      <c r="B1246" s="1">
        <f>IFERROR(__xludf.DUMMYFUNCTION("""COMPUTED_VALUE"""),414.17)</f>
        <v>414.17</v>
      </c>
      <c r="C1246" s="1">
        <f>IFERROR(__xludf.DUMMYFUNCTION("""COMPUTED_VALUE"""),422.1)</f>
        <v>422.1</v>
      </c>
      <c r="D1246" s="1">
        <f>IFERROR(__xludf.DUMMYFUNCTION("""COMPUTED_VALUE"""),411.3)</f>
        <v>411.3</v>
      </c>
      <c r="E1246" s="1">
        <f>IFERROR(__xludf.DUMMYFUNCTION("""COMPUTED_VALUE"""),421.06)</f>
        <v>421.06</v>
      </c>
      <c r="F1246" s="1">
        <f>IFERROR(__xludf.DUMMYFUNCTION("""COMPUTED_VALUE"""),2.7864016E7)</f>
        <v>27864016</v>
      </c>
    </row>
    <row r="1247">
      <c r="A1247" s="2">
        <f>IFERROR(__xludf.DUMMYFUNCTION("""COMPUTED_VALUE"""),46163.66666666667)</f>
        <v>46163.66667</v>
      </c>
      <c r="B1247" s="1">
        <f>IFERROR(__xludf.DUMMYFUNCTION("""COMPUTED_VALUE"""),424.75)</f>
        <v>424.75</v>
      </c>
      <c r="C1247" s="1">
        <f>IFERROR(__xludf.DUMMYFUNCTION("""COMPUTED_VALUE"""),426.34)</f>
        <v>426.34</v>
      </c>
      <c r="D1247" s="1">
        <f>IFERROR(__xludf.DUMMYFUNCTION("""COMPUTED_VALUE"""),415.71)</f>
        <v>415.71</v>
      </c>
      <c r="E1247" s="1">
        <f>IFERROR(__xludf.DUMMYFUNCTION("""COMPUTED_VALUE"""),419.09)</f>
        <v>419.09</v>
      </c>
      <c r="F1247" s="1">
        <f>IFERROR(__xludf.DUMMYFUNCTION("""COMPUTED_VALUE"""),3.1393469E7)</f>
        <v>31393469</v>
      </c>
    </row>
    <row r="1248">
      <c r="A1248" s="2">
        <f>IFERROR(__xludf.DUMMYFUNCTION("""COMPUTED_VALUE"""),46164.66666666667)</f>
        <v>46164.66667</v>
      </c>
      <c r="B1248" s="1">
        <f>IFERROR(__xludf.DUMMYFUNCTION("""COMPUTED_VALUE"""),419.54)</f>
        <v>419.54</v>
      </c>
      <c r="C1248" s="1">
        <f>IFERROR(__xludf.DUMMYFUNCTION("""COMPUTED_VALUE"""),424.4)</f>
        <v>424.4</v>
      </c>
      <c r="D1248" s="1">
        <f>IFERROR(__xludf.DUMMYFUNCTION("""COMPUTED_VALUE"""),416.33)</f>
        <v>416.33</v>
      </c>
      <c r="E1248" s="1">
        <f>IFERROR(__xludf.DUMMYFUNCTION("""COMPUTED_VALUE"""),418.57)</f>
        <v>418.57</v>
      </c>
      <c r="F1248" s="1">
        <f>IFERROR(__xludf.DUMMYFUNCTION("""COMPUTED_VALUE"""),2.2390344E7)</f>
        <v>22390344</v>
      </c>
    </row>
    <row r="1249">
      <c r="A1249" s="2">
        <f>IFERROR(__xludf.DUMMYFUNCTION("""COMPUTED_VALUE"""),46168.66666666667)</f>
        <v>46168.66667</v>
      </c>
      <c r="B1249" s="1">
        <f>IFERROR(__xludf.DUMMYFUNCTION("""COMPUTED_VALUE"""),416.43)</f>
        <v>416.43</v>
      </c>
      <c r="C1249" s="1">
        <f>IFERROR(__xludf.DUMMYFUNCTION("""COMPUTED_VALUE"""),419.77)</f>
        <v>419.77</v>
      </c>
      <c r="D1249" s="1">
        <f>IFERROR(__xludf.DUMMYFUNCTION("""COMPUTED_VALUE"""),413.02)</f>
        <v>413.02</v>
      </c>
      <c r="E1249" s="1">
        <f>IFERROR(__xludf.DUMMYFUNCTION("""COMPUTED_VALUE"""),416.03)</f>
        <v>416.03</v>
      </c>
      <c r="F1249" s="1">
        <f>IFERROR(__xludf.DUMMYFUNCTION("""COMPUTED_VALUE"""),3.039805E7)</f>
        <v>30398050</v>
      </c>
    </row>
    <row r="1250">
      <c r="A1250" s="2">
        <f>IFERROR(__xludf.DUMMYFUNCTION("""COMPUTED_VALUE"""),46169.66666666667)</f>
        <v>46169.66667</v>
      </c>
      <c r="B1250" s="1">
        <f>IFERROR(__xludf.DUMMYFUNCTION("""COMPUTED_VALUE"""),411.01)</f>
        <v>411.01</v>
      </c>
      <c r="C1250" s="1">
        <f>IFERROR(__xludf.DUMMYFUNCTION("""COMPUTED_VALUE"""),415.94)</f>
        <v>415.94</v>
      </c>
      <c r="D1250" s="1">
        <f>IFERROR(__xludf.DUMMYFUNCTION("""COMPUTED_VALUE"""),409.58)</f>
        <v>409.58</v>
      </c>
      <c r="E1250" s="1">
        <f>IFERROR(__xludf.DUMMYFUNCTION("""COMPUTED_VALUE"""),412.67)</f>
        <v>412.67</v>
      </c>
      <c r="F1250" s="1">
        <f>IFERROR(__xludf.DUMMYFUNCTION("""COMPUTED_VALUE"""),2.890148E7)</f>
        <v>28901480</v>
      </c>
    </row>
    <row r="1251">
      <c r="A1251" s="2">
        <f>IFERROR(__xludf.DUMMYFUNCTION("""COMPUTED_VALUE"""),46170.66666666667)</f>
        <v>46170.66667</v>
      </c>
      <c r="B1251" s="1">
        <f>IFERROR(__xludf.DUMMYFUNCTION("""COMPUTED_VALUE"""),412.98)</f>
        <v>412.98</v>
      </c>
      <c r="C1251" s="1">
        <f>IFERROR(__xludf.DUMMYFUNCTION("""COMPUTED_VALUE"""),429.49)</f>
        <v>429.49</v>
      </c>
      <c r="D1251" s="1">
        <f>IFERROR(__xludf.DUMMYFUNCTION("""COMPUTED_VALUE"""),412.67)</f>
        <v>412.67</v>
      </c>
      <c r="E1251" s="1">
        <f>IFERROR(__xludf.DUMMYFUNCTION("""COMPUTED_VALUE"""),426.99)</f>
        <v>426.99</v>
      </c>
      <c r="F1251" s="1">
        <f>IFERROR(__xludf.DUMMYFUNCTION("""COMPUTED_VALUE"""),4.7250541E7)</f>
        <v>47250541</v>
      </c>
    </row>
    <row r="1252">
      <c r="A1252" s="2">
        <f>IFERROR(__xludf.DUMMYFUNCTION("""COMPUTED_VALUE"""),46171.66666666667)</f>
        <v>46171.66667</v>
      </c>
      <c r="B1252" s="1">
        <f>IFERROR(__xludf.DUMMYFUNCTION("""COMPUTED_VALUE"""),432.55)</f>
        <v>432.55</v>
      </c>
      <c r="C1252" s="1">
        <f>IFERROR(__xludf.DUMMYFUNCTION("""COMPUTED_VALUE"""),450.33)</f>
        <v>450.33</v>
      </c>
      <c r="D1252" s="1">
        <f>IFERROR(__xludf.DUMMYFUNCTION("""COMPUTED_VALUE"""),432.36)</f>
        <v>432.36</v>
      </c>
      <c r="E1252" s="1">
        <f>IFERROR(__xludf.DUMMYFUNCTION("""COMPUTED_VALUE"""),450.24)</f>
        <v>450.24</v>
      </c>
      <c r="F1252" s="1">
        <f>IFERROR(__xludf.DUMMYFUNCTION("""COMPUTED_VALUE"""),7.9654376E7)</f>
        <v>79654376</v>
      </c>
    </row>
    <row r="1253">
      <c r="A1253" s="2">
        <f>IFERROR(__xludf.DUMMYFUNCTION("""COMPUTED_VALUE"""),46174.66666666667)</f>
        <v>46174.66667</v>
      </c>
      <c r="B1253" s="1">
        <f>IFERROR(__xludf.DUMMYFUNCTION("""COMPUTED_VALUE"""),464.84)</f>
        <v>464.84</v>
      </c>
      <c r="C1253" s="1">
        <f>IFERROR(__xludf.DUMMYFUNCTION("""COMPUTED_VALUE"""),466.32)</f>
        <v>466.32</v>
      </c>
      <c r="D1253" s="1">
        <f>IFERROR(__xludf.DUMMYFUNCTION("""COMPUTED_VALUE"""),458.27)</f>
        <v>458.27</v>
      </c>
      <c r="E1253" s="1">
        <f>IFERROR(__xludf.DUMMYFUNCTION("""COMPUTED_VALUE"""),460.52)</f>
        <v>460.52</v>
      </c>
      <c r="F1253" s="1">
        <f>IFERROR(__xludf.DUMMYFUNCTION("""COMPUTED_VALUE"""),5.362891E7)</f>
        <v>53628910</v>
      </c>
    </row>
    <row r="1254">
      <c r="A1254" s="2">
        <f>IFERROR(__xludf.DUMMYFUNCTION("""COMPUTED_VALUE"""),46175.66666666667)</f>
        <v>46175.66667</v>
      </c>
      <c r="B1254" s="1">
        <f>IFERROR(__xludf.DUMMYFUNCTION("""COMPUTED_VALUE"""),446.88)</f>
        <v>446.88</v>
      </c>
      <c r="C1254" s="1">
        <f>IFERROR(__xludf.DUMMYFUNCTION("""COMPUTED_VALUE"""),453.5)</f>
        <v>453.5</v>
      </c>
      <c r="D1254" s="1">
        <f>IFERROR(__xludf.DUMMYFUNCTION("""COMPUTED_VALUE"""),440.43)</f>
        <v>440.43</v>
      </c>
      <c r="E1254" s="1">
        <f>IFERROR(__xludf.DUMMYFUNCTION("""COMPUTED_VALUE"""),441.31)</f>
        <v>441.31</v>
      </c>
      <c r="F1254" s="1">
        <f>IFERROR(__xludf.DUMMYFUNCTION("""COMPUTED_VALUE"""),3.7036802E7)</f>
        <v>37036802</v>
      </c>
    </row>
    <row r="1255">
      <c r="A1255" s="2">
        <f>IFERROR(__xludf.DUMMYFUNCTION("""COMPUTED_VALUE"""),46176.66666666667)</f>
        <v>46176.66667</v>
      </c>
      <c r="B1255" s="1">
        <f>IFERROR(__xludf.DUMMYFUNCTION("""COMPUTED_VALUE"""),438.45)</f>
        <v>438.45</v>
      </c>
      <c r="C1255" s="1">
        <f>IFERROR(__xludf.DUMMYFUNCTION("""COMPUTED_VALUE"""),440.39)</f>
        <v>440.39</v>
      </c>
      <c r="D1255" s="1">
        <f>IFERROR(__xludf.DUMMYFUNCTION("""COMPUTED_VALUE"""),424.25)</f>
        <v>424.25</v>
      </c>
      <c r="E1255" s="1">
        <f>IFERROR(__xludf.DUMMYFUNCTION("""COMPUTED_VALUE"""),427.34)</f>
        <v>427.34</v>
      </c>
      <c r="F1255" s="1">
        <f>IFERROR(__xludf.DUMMYFUNCTION("""COMPUTED_VALUE"""),3.9037007E7)</f>
        <v>39037007</v>
      </c>
    </row>
    <row r="1256">
      <c r="A1256" s="2">
        <f>IFERROR(__xludf.DUMMYFUNCTION("""COMPUTED_VALUE"""),46177.66666666667)</f>
        <v>46177.66667</v>
      </c>
      <c r="B1256" s="1">
        <f>IFERROR(__xludf.DUMMYFUNCTION("""COMPUTED_VALUE"""),435.81)</f>
        <v>435.81</v>
      </c>
      <c r="C1256" s="1">
        <f>IFERROR(__xludf.DUMMYFUNCTION("""COMPUTED_VALUE"""),436.15)</f>
        <v>436.15</v>
      </c>
      <c r="D1256" s="1">
        <f>IFERROR(__xludf.DUMMYFUNCTION("""COMPUTED_VALUE"""),426.41)</f>
        <v>426.41</v>
      </c>
      <c r="E1256" s="1">
        <f>IFERROR(__xludf.DUMMYFUNCTION("""COMPUTED_VALUE"""),428.05)</f>
        <v>428.05</v>
      </c>
      <c r="F1256" s="1">
        <f>IFERROR(__xludf.DUMMYFUNCTION("""COMPUTED_VALUE"""),2.6899512E7)</f>
        <v>26899512</v>
      </c>
    </row>
    <row r="1257">
      <c r="A1257" s="2">
        <f>IFERROR(__xludf.DUMMYFUNCTION("""COMPUTED_VALUE"""),46178.66666666667)</f>
        <v>46178.66667</v>
      </c>
      <c r="B1257" s="1">
        <f>IFERROR(__xludf.DUMMYFUNCTION("""COMPUTED_VALUE"""),428.34)</f>
        <v>428.34</v>
      </c>
      <c r="C1257" s="1">
        <f>IFERROR(__xludf.DUMMYFUNCTION("""COMPUTED_VALUE"""),429.47)</f>
        <v>429.47</v>
      </c>
      <c r="D1257" s="1">
        <f>IFERROR(__xludf.DUMMYFUNCTION("""COMPUTED_VALUE"""),414.4)</f>
        <v>414.4</v>
      </c>
      <c r="E1257" s="1">
        <f>IFERROR(__xludf.DUMMYFUNCTION("""COMPUTED_VALUE"""),416.67)</f>
        <v>416.67</v>
      </c>
      <c r="F1257" s="1">
        <f>IFERROR(__xludf.DUMMYFUNCTION("""COMPUTED_VALUE"""),3.4782165E7)</f>
        <v>34782165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tr">
        <f>IFERROR(__xludf.DUMMYFUNCTION("GOOGLEFINANCE(""AAPL"", ""all"", ""2021-06-07"", ""2026-06-07"",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IFERROR(__xludf.DUMMYFUNCTION("""COMPUTED_VALUE"""),44354.66666666667)</f>
        <v>44354.66667</v>
      </c>
      <c r="B2" s="1">
        <f>IFERROR(__xludf.DUMMYFUNCTION("""COMPUTED_VALUE"""),126.17)</f>
        <v>126.17</v>
      </c>
      <c r="C2" s="1">
        <f>IFERROR(__xludf.DUMMYFUNCTION("""COMPUTED_VALUE"""),126.32)</f>
        <v>126.32</v>
      </c>
      <c r="D2" s="1">
        <f>IFERROR(__xludf.DUMMYFUNCTION("""COMPUTED_VALUE"""),124.83)</f>
        <v>124.83</v>
      </c>
      <c r="E2" s="1">
        <f>IFERROR(__xludf.DUMMYFUNCTION("""COMPUTED_VALUE"""),125.9)</f>
        <v>125.9</v>
      </c>
      <c r="F2" s="1">
        <f>IFERROR(__xludf.DUMMYFUNCTION("""COMPUTED_VALUE"""),7.105755E7)</f>
        <v>71057550</v>
      </c>
    </row>
    <row r="3">
      <c r="A3" s="2">
        <f>IFERROR(__xludf.DUMMYFUNCTION("""COMPUTED_VALUE"""),44355.66666666667)</f>
        <v>44355.66667</v>
      </c>
      <c r="B3" s="1">
        <f>IFERROR(__xludf.DUMMYFUNCTION("""COMPUTED_VALUE"""),126.6)</f>
        <v>126.6</v>
      </c>
      <c r="C3" s="1">
        <f>IFERROR(__xludf.DUMMYFUNCTION("""COMPUTED_VALUE"""),128.46)</f>
        <v>128.46</v>
      </c>
      <c r="D3" s="1">
        <f>IFERROR(__xludf.DUMMYFUNCTION("""COMPUTED_VALUE"""),126.21)</f>
        <v>126.21</v>
      </c>
      <c r="E3" s="1">
        <f>IFERROR(__xludf.DUMMYFUNCTION("""COMPUTED_VALUE"""),126.74)</f>
        <v>126.74</v>
      </c>
      <c r="F3" s="1">
        <f>IFERROR(__xludf.DUMMYFUNCTION("""COMPUTED_VALUE"""),7.4403774E7)</f>
        <v>74403774</v>
      </c>
    </row>
    <row r="4">
      <c r="A4" s="2">
        <f>IFERROR(__xludf.DUMMYFUNCTION("""COMPUTED_VALUE"""),44356.66666666667)</f>
        <v>44356.66667</v>
      </c>
      <c r="B4" s="1">
        <f>IFERROR(__xludf.DUMMYFUNCTION("""COMPUTED_VALUE"""),127.21)</f>
        <v>127.21</v>
      </c>
      <c r="C4" s="1">
        <f>IFERROR(__xludf.DUMMYFUNCTION("""COMPUTED_VALUE"""),127.75)</f>
        <v>127.75</v>
      </c>
      <c r="D4" s="1">
        <f>IFERROR(__xludf.DUMMYFUNCTION("""COMPUTED_VALUE"""),126.52)</f>
        <v>126.52</v>
      </c>
      <c r="E4" s="1">
        <f>IFERROR(__xludf.DUMMYFUNCTION("""COMPUTED_VALUE"""),127.13)</f>
        <v>127.13</v>
      </c>
      <c r="F4" s="1">
        <f>IFERROR(__xludf.DUMMYFUNCTION("""COMPUTED_VALUE"""),5.6877937E7)</f>
        <v>56877937</v>
      </c>
    </row>
    <row r="5">
      <c r="A5" s="2">
        <f>IFERROR(__xludf.DUMMYFUNCTION("""COMPUTED_VALUE"""),44357.66666666667)</f>
        <v>44357.66667</v>
      </c>
      <c r="B5" s="1">
        <f>IFERROR(__xludf.DUMMYFUNCTION("""COMPUTED_VALUE"""),127.02)</f>
        <v>127.02</v>
      </c>
      <c r="C5" s="1">
        <f>IFERROR(__xludf.DUMMYFUNCTION("""COMPUTED_VALUE"""),128.19)</f>
        <v>128.19</v>
      </c>
      <c r="D5" s="1">
        <f>IFERROR(__xludf.DUMMYFUNCTION("""COMPUTED_VALUE"""),125.94)</f>
        <v>125.94</v>
      </c>
      <c r="E5" s="1">
        <f>IFERROR(__xludf.DUMMYFUNCTION("""COMPUTED_VALUE"""),126.11)</f>
        <v>126.11</v>
      </c>
      <c r="F5" s="1">
        <f>IFERROR(__xludf.DUMMYFUNCTION("""COMPUTED_VALUE"""),7.1186421E7)</f>
        <v>71186421</v>
      </c>
    </row>
    <row r="6">
      <c r="A6" s="2">
        <f>IFERROR(__xludf.DUMMYFUNCTION("""COMPUTED_VALUE"""),44358.66666666667)</f>
        <v>44358.66667</v>
      </c>
      <c r="B6" s="1">
        <f>IFERROR(__xludf.DUMMYFUNCTION("""COMPUTED_VALUE"""),126.53)</f>
        <v>126.53</v>
      </c>
      <c r="C6" s="1">
        <f>IFERROR(__xludf.DUMMYFUNCTION("""COMPUTED_VALUE"""),127.44)</f>
        <v>127.44</v>
      </c>
      <c r="D6" s="1">
        <f>IFERROR(__xludf.DUMMYFUNCTION("""COMPUTED_VALUE"""),126.1)</f>
        <v>126.1</v>
      </c>
      <c r="E6" s="1">
        <f>IFERROR(__xludf.DUMMYFUNCTION("""COMPUTED_VALUE"""),127.35)</f>
        <v>127.35</v>
      </c>
      <c r="F6" s="1">
        <f>IFERROR(__xludf.DUMMYFUNCTION("""COMPUTED_VALUE"""),5.3522373E7)</f>
        <v>53522373</v>
      </c>
    </row>
    <row r="7">
      <c r="A7" s="2">
        <f>IFERROR(__xludf.DUMMYFUNCTION("""COMPUTED_VALUE"""),44361.66666666667)</f>
        <v>44361.66667</v>
      </c>
      <c r="B7" s="1">
        <f>IFERROR(__xludf.DUMMYFUNCTION("""COMPUTED_VALUE"""),127.82)</f>
        <v>127.82</v>
      </c>
      <c r="C7" s="1">
        <f>IFERROR(__xludf.DUMMYFUNCTION("""COMPUTED_VALUE"""),130.54)</f>
        <v>130.54</v>
      </c>
      <c r="D7" s="1">
        <f>IFERROR(__xludf.DUMMYFUNCTION("""COMPUTED_VALUE"""),127.07)</f>
        <v>127.07</v>
      </c>
      <c r="E7" s="1">
        <f>IFERROR(__xludf.DUMMYFUNCTION("""COMPUTED_VALUE"""),130.48)</f>
        <v>130.48</v>
      </c>
      <c r="F7" s="1">
        <f>IFERROR(__xludf.DUMMYFUNCTION("""COMPUTED_VALUE"""),9.690649E7)</f>
        <v>96906490</v>
      </c>
    </row>
    <row r="8">
      <c r="A8" s="2">
        <f>IFERROR(__xludf.DUMMYFUNCTION("""COMPUTED_VALUE"""),44362.66666666667)</f>
        <v>44362.66667</v>
      </c>
      <c r="B8" s="1">
        <f>IFERROR(__xludf.DUMMYFUNCTION("""COMPUTED_VALUE"""),129.94)</f>
        <v>129.94</v>
      </c>
      <c r="C8" s="1">
        <f>IFERROR(__xludf.DUMMYFUNCTION("""COMPUTED_VALUE"""),130.6)</f>
        <v>130.6</v>
      </c>
      <c r="D8" s="1">
        <f>IFERROR(__xludf.DUMMYFUNCTION("""COMPUTED_VALUE"""),129.39)</f>
        <v>129.39</v>
      </c>
      <c r="E8" s="1">
        <f>IFERROR(__xludf.DUMMYFUNCTION("""COMPUTED_VALUE"""),129.64)</f>
        <v>129.64</v>
      </c>
      <c r="F8" s="1">
        <f>IFERROR(__xludf.DUMMYFUNCTION("""COMPUTED_VALUE"""),6.2746332E7)</f>
        <v>62746332</v>
      </c>
    </row>
    <row r="9">
      <c r="A9" s="2">
        <f>IFERROR(__xludf.DUMMYFUNCTION("""COMPUTED_VALUE"""),44363.66666666667)</f>
        <v>44363.66667</v>
      </c>
      <c r="B9" s="1">
        <f>IFERROR(__xludf.DUMMYFUNCTION("""COMPUTED_VALUE"""),130.37)</f>
        <v>130.37</v>
      </c>
      <c r="C9" s="1">
        <f>IFERROR(__xludf.DUMMYFUNCTION("""COMPUTED_VALUE"""),130.89)</f>
        <v>130.89</v>
      </c>
      <c r="D9" s="1">
        <f>IFERROR(__xludf.DUMMYFUNCTION("""COMPUTED_VALUE"""),128.46)</f>
        <v>128.46</v>
      </c>
      <c r="E9" s="1">
        <f>IFERROR(__xludf.DUMMYFUNCTION("""COMPUTED_VALUE"""),130.15)</f>
        <v>130.15</v>
      </c>
      <c r="F9" s="1">
        <f>IFERROR(__xludf.DUMMYFUNCTION("""COMPUTED_VALUE"""),9.1815026E7)</f>
        <v>91815026</v>
      </c>
    </row>
    <row r="10">
      <c r="A10" s="2">
        <f>IFERROR(__xludf.DUMMYFUNCTION("""COMPUTED_VALUE"""),44364.66666666667)</f>
        <v>44364.66667</v>
      </c>
      <c r="B10" s="1">
        <f>IFERROR(__xludf.DUMMYFUNCTION("""COMPUTED_VALUE"""),129.8)</f>
        <v>129.8</v>
      </c>
      <c r="C10" s="1">
        <f>IFERROR(__xludf.DUMMYFUNCTION("""COMPUTED_VALUE"""),132.55)</f>
        <v>132.55</v>
      </c>
      <c r="D10" s="1">
        <f>IFERROR(__xludf.DUMMYFUNCTION("""COMPUTED_VALUE"""),129.65)</f>
        <v>129.65</v>
      </c>
      <c r="E10" s="1">
        <f>IFERROR(__xludf.DUMMYFUNCTION("""COMPUTED_VALUE"""),131.79)</f>
        <v>131.79</v>
      </c>
      <c r="F10" s="1">
        <f>IFERROR(__xludf.DUMMYFUNCTION("""COMPUTED_VALUE"""),9.6721669E7)</f>
        <v>96721669</v>
      </c>
    </row>
    <row r="11">
      <c r="A11" s="2">
        <f>IFERROR(__xludf.DUMMYFUNCTION("""COMPUTED_VALUE"""),44365.66666666667)</f>
        <v>44365.66667</v>
      </c>
      <c r="B11" s="1">
        <f>IFERROR(__xludf.DUMMYFUNCTION("""COMPUTED_VALUE"""),130.71)</f>
        <v>130.71</v>
      </c>
      <c r="C11" s="1">
        <f>IFERROR(__xludf.DUMMYFUNCTION("""COMPUTED_VALUE"""),131.51)</f>
        <v>131.51</v>
      </c>
      <c r="D11" s="1">
        <f>IFERROR(__xludf.DUMMYFUNCTION("""COMPUTED_VALUE"""),130.24)</f>
        <v>130.24</v>
      </c>
      <c r="E11" s="1">
        <f>IFERROR(__xludf.DUMMYFUNCTION("""COMPUTED_VALUE"""),130.46)</f>
        <v>130.46</v>
      </c>
      <c r="F11" s="1">
        <f>IFERROR(__xludf.DUMMYFUNCTION("""COMPUTED_VALUE"""),1.08953309E8)</f>
        <v>108953309</v>
      </c>
    </row>
    <row r="12">
      <c r="A12" s="2">
        <f>IFERROR(__xludf.DUMMYFUNCTION("""COMPUTED_VALUE"""),44368.66666666667)</f>
        <v>44368.66667</v>
      </c>
      <c r="B12" s="1">
        <f>IFERROR(__xludf.DUMMYFUNCTION("""COMPUTED_VALUE"""),130.3)</f>
        <v>130.3</v>
      </c>
      <c r="C12" s="1">
        <f>IFERROR(__xludf.DUMMYFUNCTION("""COMPUTED_VALUE"""),132.41)</f>
        <v>132.41</v>
      </c>
      <c r="D12" s="1">
        <f>IFERROR(__xludf.DUMMYFUNCTION("""COMPUTED_VALUE"""),129.21)</f>
        <v>129.21</v>
      </c>
      <c r="E12" s="1">
        <f>IFERROR(__xludf.DUMMYFUNCTION("""COMPUTED_VALUE"""),132.3)</f>
        <v>132.3</v>
      </c>
      <c r="F12" s="1">
        <f>IFERROR(__xludf.DUMMYFUNCTION("""COMPUTED_VALUE"""),7.9663316E7)</f>
        <v>79663316</v>
      </c>
    </row>
    <row r="13">
      <c r="A13" s="2">
        <f>IFERROR(__xludf.DUMMYFUNCTION("""COMPUTED_VALUE"""),44369.66666666667)</f>
        <v>44369.66667</v>
      </c>
      <c r="B13" s="1">
        <f>IFERROR(__xludf.DUMMYFUNCTION("""COMPUTED_VALUE"""),132.13)</f>
        <v>132.13</v>
      </c>
      <c r="C13" s="1">
        <f>IFERROR(__xludf.DUMMYFUNCTION("""COMPUTED_VALUE"""),134.08)</f>
        <v>134.08</v>
      </c>
      <c r="D13" s="1">
        <f>IFERROR(__xludf.DUMMYFUNCTION("""COMPUTED_VALUE"""),131.62)</f>
        <v>131.62</v>
      </c>
      <c r="E13" s="1">
        <f>IFERROR(__xludf.DUMMYFUNCTION("""COMPUTED_VALUE"""),133.98)</f>
        <v>133.98</v>
      </c>
      <c r="F13" s="1">
        <f>IFERROR(__xludf.DUMMYFUNCTION("""COMPUTED_VALUE"""),7.4783618E7)</f>
        <v>74783618</v>
      </c>
    </row>
    <row r="14">
      <c r="A14" s="2">
        <f>IFERROR(__xludf.DUMMYFUNCTION("""COMPUTED_VALUE"""),44370.66666666667)</f>
        <v>44370.66667</v>
      </c>
      <c r="B14" s="1">
        <f>IFERROR(__xludf.DUMMYFUNCTION("""COMPUTED_VALUE"""),133.77)</f>
        <v>133.77</v>
      </c>
      <c r="C14" s="1">
        <f>IFERROR(__xludf.DUMMYFUNCTION("""COMPUTED_VALUE"""),134.32)</f>
        <v>134.32</v>
      </c>
      <c r="D14" s="1">
        <f>IFERROR(__xludf.DUMMYFUNCTION("""COMPUTED_VALUE"""),133.23)</f>
        <v>133.23</v>
      </c>
      <c r="E14" s="1">
        <f>IFERROR(__xludf.DUMMYFUNCTION("""COMPUTED_VALUE"""),133.7)</f>
        <v>133.7</v>
      </c>
      <c r="F14" s="1">
        <f>IFERROR(__xludf.DUMMYFUNCTION("""COMPUTED_VALUE"""),6.02142E7)</f>
        <v>60214200</v>
      </c>
    </row>
    <row r="15">
      <c r="A15" s="2">
        <f>IFERROR(__xludf.DUMMYFUNCTION("""COMPUTED_VALUE"""),44371.66666666667)</f>
        <v>44371.66667</v>
      </c>
      <c r="B15" s="1">
        <f>IFERROR(__xludf.DUMMYFUNCTION("""COMPUTED_VALUE"""),134.45)</f>
        <v>134.45</v>
      </c>
      <c r="C15" s="1">
        <f>IFERROR(__xludf.DUMMYFUNCTION("""COMPUTED_VALUE"""),134.64)</f>
        <v>134.64</v>
      </c>
      <c r="D15" s="1">
        <f>IFERROR(__xludf.DUMMYFUNCTION("""COMPUTED_VALUE"""),132.93)</f>
        <v>132.93</v>
      </c>
      <c r="E15" s="1">
        <f>IFERROR(__xludf.DUMMYFUNCTION("""COMPUTED_VALUE"""),133.41)</f>
        <v>133.41</v>
      </c>
      <c r="F15" s="1">
        <f>IFERROR(__xludf.DUMMYFUNCTION("""COMPUTED_VALUE"""),6.8710998E7)</f>
        <v>68710998</v>
      </c>
    </row>
    <row r="16">
      <c r="A16" s="2">
        <f>IFERROR(__xludf.DUMMYFUNCTION("""COMPUTED_VALUE"""),44372.66666666667)</f>
        <v>44372.66667</v>
      </c>
      <c r="B16" s="1">
        <f>IFERROR(__xludf.DUMMYFUNCTION("""COMPUTED_VALUE"""),133.46)</f>
        <v>133.46</v>
      </c>
      <c r="C16" s="1">
        <f>IFERROR(__xludf.DUMMYFUNCTION("""COMPUTED_VALUE"""),133.89)</f>
        <v>133.89</v>
      </c>
      <c r="D16" s="1">
        <f>IFERROR(__xludf.DUMMYFUNCTION("""COMPUTED_VALUE"""),132.81)</f>
        <v>132.81</v>
      </c>
      <c r="E16" s="1">
        <f>IFERROR(__xludf.DUMMYFUNCTION("""COMPUTED_VALUE"""),133.11)</f>
        <v>133.11</v>
      </c>
      <c r="F16" s="1">
        <f>IFERROR(__xludf.DUMMYFUNCTION("""COMPUTED_VALUE"""),7.0783746E7)</f>
        <v>70783746</v>
      </c>
    </row>
    <row r="17">
      <c r="A17" s="2">
        <f>IFERROR(__xludf.DUMMYFUNCTION("""COMPUTED_VALUE"""),44375.66666666667)</f>
        <v>44375.66667</v>
      </c>
      <c r="B17" s="1">
        <f>IFERROR(__xludf.DUMMYFUNCTION("""COMPUTED_VALUE"""),133.41)</f>
        <v>133.41</v>
      </c>
      <c r="C17" s="1">
        <f>IFERROR(__xludf.DUMMYFUNCTION("""COMPUTED_VALUE"""),135.25)</f>
        <v>135.25</v>
      </c>
      <c r="D17" s="1">
        <f>IFERROR(__xludf.DUMMYFUNCTION("""COMPUTED_VALUE"""),133.35)</f>
        <v>133.35</v>
      </c>
      <c r="E17" s="1">
        <f>IFERROR(__xludf.DUMMYFUNCTION("""COMPUTED_VALUE"""),134.78)</f>
        <v>134.78</v>
      </c>
      <c r="F17" s="1">
        <f>IFERROR(__xludf.DUMMYFUNCTION("""COMPUTED_VALUE"""),6.2111303E7)</f>
        <v>62111303</v>
      </c>
    </row>
    <row r="18">
      <c r="A18" s="2">
        <f>IFERROR(__xludf.DUMMYFUNCTION("""COMPUTED_VALUE"""),44376.66666666667)</f>
        <v>44376.66667</v>
      </c>
      <c r="B18" s="1">
        <f>IFERROR(__xludf.DUMMYFUNCTION("""COMPUTED_VALUE"""),134.8)</f>
        <v>134.8</v>
      </c>
      <c r="C18" s="1">
        <f>IFERROR(__xludf.DUMMYFUNCTION("""COMPUTED_VALUE"""),136.49)</f>
        <v>136.49</v>
      </c>
      <c r="D18" s="1">
        <f>IFERROR(__xludf.DUMMYFUNCTION("""COMPUTED_VALUE"""),134.35)</f>
        <v>134.35</v>
      </c>
      <c r="E18" s="1">
        <f>IFERROR(__xludf.DUMMYFUNCTION("""COMPUTED_VALUE"""),136.33)</f>
        <v>136.33</v>
      </c>
      <c r="F18" s="1">
        <f>IFERROR(__xludf.DUMMYFUNCTION("""COMPUTED_VALUE"""),6.4556081E7)</f>
        <v>64556081</v>
      </c>
    </row>
    <row r="19">
      <c r="A19" s="2">
        <f>IFERROR(__xludf.DUMMYFUNCTION("""COMPUTED_VALUE"""),44377.66666666667)</f>
        <v>44377.66667</v>
      </c>
      <c r="B19" s="1">
        <f>IFERROR(__xludf.DUMMYFUNCTION("""COMPUTED_VALUE"""),136.17)</f>
        <v>136.17</v>
      </c>
      <c r="C19" s="1">
        <f>IFERROR(__xludf.DUMMYFUNCTION("""COMPUTED_VALUE"""),137.41)</f>
        <v>137.41</v>
      </c>
      <c r="D19" s="1">
        <f>IFERROR(__xludf.DUMMYFUNCTION("""COMPUTED_VALUE"""),135.87)</f>
        <v>135.87</v>
      </c>
      <c r="E19" s="1">
        <f>IFERROR(__xludf.DUMMYFUNCTION("""COMPUTED_VALUE"""),136.96)</f>
        <v>136.96</v>
      </c>
      <c r="F19" s="1">
        <f>IFERROR(__xludf.DUMMYFUNCTION("""COMPUTED_VALUE"""),6.3261393E7)</f>
        <v>63261393</v>
      </c>
    </row>
    <row r="20">
      <c r="A20" s="2">
        <f>IFERROR(__xludf.DUMMYFUNCTION("""COMPUTED_VALUE"""),44378.66666666667)</f>
        <v>44378.66667</v>
      </c>
      <c r="B20" s="1">
        <f>IFERROR(__xludf.DUMMYFUNCTION("""COMPUTED_VALUE"""),136.6)</f>
        <v>136.6</v>
      </c>
      <c r="C20" s="1">
        <f>IFERROR(__xludf.DUMMYFUNCTION("""COMPUTED_VALUE"""),137.33)</f>
        <v>137.33</v>
      </c>
      <c r="D20" s="1">
        <f>IFERROR(__xludf.DUMMYFUNCTION("""COMPUTED_VALUE"""),135.76)</f>
        <v>135.76</v>
      </c>
      <c r="E20" s="1">
        <f>IFERROR(__xludf.DUMMYFUNCTION("""COMPUTED_VALUE"""),137.27)</f>
        <v>137.27</v>
      </c>
      <c r="F20" s="1">
        <f>IFERROR(__xludf.DUMMYFUNCTION("""COMPUTED_VALUE"""),5.2485781E7)</f>
        <v>52485781</v>
      </c>
    </row>
    <row r="21">
      <c r="A21" s="2">
        <f>IFERROR(__xludf.DUMMYFUNCTION("""COMPUTED_VALUE"""),44379.66666666667)</f>
        <v>44379.66667</v>
      </c>
      <c r="B21" s="1">
        <f>IFERROR(__xludf.DUMMYFUNCTION("""COMPUTED_VALUE"""),137.9)</f>
        <v>137.9</v>
      </c>
      <c r="C21" s="1">
        <f>IFERROR(__xludf.DUMMYFUNCTION("""COMPUTED_VALUE"""),140.0)</f>
        <v>140</v>
      </c>
      <c r="D21" s="1">
        <f>IFERROR(__xludf.DUMMYFUNCTION("""COMPUTED_VALUE"""),137.75)</f>
        <v>137.75</v>
      </c>
      <c r="E21" s="1">
        <f>IFERROR(__xludf.DUMMYFUNCTION("""COMPUTED_VALUE"""),139.96)</f>
        <v>139.96</v>
      </c>
      <c r="F21" s="1">
        <f>IFERROR(__xludf.DUMMYFUNCTION("""COMPUTED_VALUE"""),7.8945572E7)</f>
        <v>78945572</v>
      </c>
    </row>
    <row r="22">
      <c r="A22" s="2">
        <f>IFERROR(__xludf.DUMMYFUNCTION("""COMPUTED_VALUE"""),44383.66666666667)</f>
        <v>44383.66667</v>
      </c>
      <c r="B22" s="1">
        <f>IFERROR(__xludf.DUMMYFUNCTION("""COMPUTED_VALUE"""),140.07)</f>
        <v>140.07</v>
      </c>
      <c r="C22" s="1">
        <f>IFERROR(__xludf.DUMMYFUNCTION("""COMPUTED_VALUE"""),143.15)</f>
        <v>143.15</v>
      </c>
      <c r="D22" s="1">
        <f>IFERROR(__xludf.DUMMYFUNCTION("""COMPUTED_VALUE"""),140.07)</f>
        <v>140.07</v>
      </c>
      <c r="E22" s="1">
        <f>IFERROR(__xludf.DUMMYFUNCTION("""COMPUTED_VALUE"""),142.02)</f>
        <v>142.02</v>
      </c>
      <c r="F22" s="1">
        <f>IFERROR(__xludf.DUMMYFUNCTION("""COMPUTED_VALUE"""),1.08181793E8)</f>
        <v>108181793</v>
      </c>
    </row>
    <row r="23">
      <c r="A23" s="2">
        <f>IFERROR(__xludf.DUMMYFUNCTION("""COMPUTED_VALUE"""),44384.66666666667)</f>
        <v>44384.66667</v>
      </c>
      <c r="B23" s="1">
        <f>IFERROR(__xludf.DUMMYFUNCTION("""COMPUTED_VALUE"""),143.54)</f>
        <v>143.54</v>
      </c>
      <c r="C23" s="1">
        <f>IFERROR(__xludf.DUMMYFUNCTION("""COMPUTED_VALUE"""),144.89)</f>
        <v>144.89</v>
      </c>
      <c r="D23" s="1">
        <f>IFERROR(__xludf.DUMMYFUNCTION("""COMPUTED_VALUE"""),142.66)</f>
        <v>142.66</v>
      </c>
      <c r="E23" s="1">
        <f>IFERROR(__xludf.DUMMYFUNCTION("""COMPUTED_VALUE"""),144.57)</f>
        <v>144.57</v>
      </c>
      <c r="F23" s="1">
        <f>IFERROR(__xludf.DUMMYFUNCTION("""COMPUTED_VALUE"""),1.04911589E8)</f>
        <v>104911589</v>
      </c>
    </row>
    <row r="24">
      <c r="A24" s="2">
        <f>IFERROR(__xludf.DUMMYFUNCTION("""COMPUTED_VALUE"""),44385.66666666667)</f>
        <v>44385.66667</v>
      </c>
      <c r="B24" s="1">
        <f>IFERROR(__xludf.DUMMYFUNCTION("""COMPUTED_VALUE"""),141.58)</f>
        <v>141.58</v>
      </c>
      <c r="C24" s="1">
        <f>IFERROR(__xludf.DUMMYFUNCTION("""COMPUTED_VALUE"""),144.06)</f>
        <v>144.06</v>
      </c>
      <c r="D24" s="1">
        <f>IFERROR(__xludf.DUMMYFUNCTION("""COMPUTED_VALUE"""),140.67)</f>
        <v>140.67</v>
      </c>
      <c r="E24" s="1">
        <f>IFERROR(__xludf.DUMMYFUNCTION("""COMPUTED_VALUE"""),143.24)</f>
        <v>143.24</v>
      </c>
      <c r="F24" s="1">
        <f>IFERROR(__xludf.DUMMYFUNCTION("""COMPUTED_VALUE"""),1.05575458E8)</f>
        <v>105575458</v>
      </c>
    </row>
    <row r="25">
      <c r="A25" s="2">
        <f>IFERROR(__xludf.DUMMYFUNCTION("""COMPUTED_VALUE"""),44386.66666666667)</f>
        <v>44386.66667</v>
      </c>
      <c r="B25" s="1">
        <f>IFERROR(__xludf.DUMMYFUNCTION("""COMPUTED_VALUE"""),142.75)</f>
        <v>142.75</v>
      </c>
      <c r="C25" s="1">
        <f>IFERROR(__xludf.DUMMYFUNCTION("""COMPUTED_VALUE"""),145.65)</f>
        <v>145.65</v>
      </c>
      <c r="D25" s="1">
        <f>IFERROR(__xludf.DUMMYFUNCTION("""COMPUTED_VALUE"""),142.65)</f>
        <v>142.65</v>
      </c>
      <c r="E25" s="1">
        <f>IFERROR(__xludf.DUMMYFUNCTION("""COMPUTED_VALUE"""),145.11)</f>
        <v>145.11</v>
      </c>
      <c r="F25" s="1">
        <f>IFERROR(__xludf.DUMMYFUNCTION("""COMPUTED_VALUE"""),9.98908E7)</f>
        <v>99890800</v>
      </c>
    </row>
    <row r="26">
      <c r="A26" s="2">
        <f>IFERROR(__xludf.DUMMYFUNCTION("""COMPUTED_VALUE"""),44389.66666666667)</f>
        <v>44389.66667</v>
      </c>
      <c r="B26" s="1">
        <f>IFERROR(__xludf.DUMMYFUNCTION("""COMPUTED_VALUE"""),146.21)</f>
        <v>146.21</v>
      </c>
      <c r="C26" s="1">
        <f>IFERROR(__xludf.DUMMYFUNCTION("""COMPUTED_VALUE"""),146.32)</f>
        <v>146.32</v>
      </c>
      <c r="D26" s="1">
        <f>IFERROR(__xludf.DUMMYFUNCTION("""COMPUTED_VALUE"""),144.0)</f>
        <v>144</v>
      </c>
      <c r="E26" s="1">
        <f>IFERROR(__xludf.DUMMYFUNCTION("""COMPUTED_VALUE"""),144.5)</f>
        <v>144.5</v>
      </c>
      <c r="F26" s="1">
        <f>IFERROR(__xludf.DUMMYFUNCTION("""COMPUTED_VALUE"""),7.6299719E7)</f>
        <v>76299719</v>
      </c>
    </row>
    <row r="27">
      <c r="A27" s="2">
        <f>IFERROR(__xludf.DUMMYFUNCTION("""COMPUTED_VALUE"""),44390.66666666667)</f>
        <v>44390.66667</v>
      </c>
      <c r="B27" s="1">
        <f>IFERROR(__xludf.DUMMYFUNCTION("""COMPUTED_VALUE"""),144.03)</f>
        <v>144.03</v>
      </c>
      <c r="C27" s="1">
        <f>IFERROR(__xludf.DUMMYFUNCTION("""COMPUTED_VALUE"""),147.46)</f>
        <v>147.46</v>
      </c>
      <c r="D27" s="1">
        <f>IFERROR(__xludf.DUMMYFUNCTION("""COMPUTED_VALUE"""),143.63)</f>
        <v>143.63</v>
      </c>
      <c r="E27" s="1">
        <f>IFERROR(__xludf.DUMMYFUNCTION("""COMPUTED_VALUE"""),145.64)</f>
        <v>145.64</v>
      </c>
      <c r="F27" s="1">
        <f>IFERROR(__xludf.DUMMYFUNCTION("""COMPUTED_VALUE"""),1.00827099E8)</f>
        <v>100827099</v>
      </c>
    </row>
    <row r="28">
      <c r="A28" s="2">
        <f>IFERROR(__xludf.DUMMYFUNCTION("""COMPUTED_VALUE"""),44391.66666666667)</f>
        <v>44391.66667</v>
      </c>
      <c r="B28" s="1">
        <f>IFERROR(__xludf.DUMMYFUNCTION("""COMPUTED_VALUE"""),148.1)</f>
        <v>148.1</v>
      </c>
      <c r="C28" s="1">
        <f>IFERROR(__xludf.DUMMYFUNCTION("""COMPUTED_VALUE"""),149.57)</f>
        <v>149.57</v>
      </c>
      <c r="D28" s="1">
        <f>IFERROR(__xludf.DUMMYFUNCTION("""COMPUTED_VALUE"""),147.68)</f>
        <v>147.68</v>
      </c>
      <c r="E28" s="1">
        <f>IFERROR(__xludf.DUMMYFUNCTION("""COMPUTED_VALUE"""),149.15)</f>
        <v>149.15</v>
      </c>
      <c r="F28" s="1">
        <f>IFERROR(__xludf.DUMMYFUNCTION("""COMPUTED_VALUE"""),1.27050785E8)</f>
        <v>127050785</v>
      </c>
    </row>
    <row r="29">
      <c r="A29" s="2">
        <f>IFERROR(__xludf.DUMMYFUNCTION("""COMPUTED_VALUE"""),44392.66666666667)</f>
        <v>44392.66667</v>
      </c>
      <c r="B29" s="1">
        <f>IFERROR(__xludf.DUMMYFUNCTION("""COMPUTED_VALUE"""),149.24)</f>
        <v>149.24</v>
      </c>
      <c r="C29" s="1">
        <f>IFERROR(__xludf.DUMMYFUNCTION("""COMPUTED_VALUE"""),150.0)</f>
        <v>150</v>
      </c>
      <c r="D29" s="1">
        <f>IFERROR(__xludf.DUMMYFUNCTION("""COMPUTED_VALUE"""),147.09)</f>
        <v>147.09</v>
      </c>
      <c r="E29" s="1">
        <f>IFERROR(__xludf.DUMMYFUNCTION("""COMPUTED_VALUE"""),148.48)</f>
        <v>148.48</v>
      </c>
      <c r="F29" s="1">
        <f>IFERROR(__xludf.DUMMYFUNCTION("""COMPUTED_VALUE"""),1.06820297E8)</f>
        <v>106820297</v>
      </c>
    </row>
    <row r="30">
      <c r="A30" s="2">
        <f>IFERROR(__xludf.DUMMYFUNCTION("""COMPUTED_VALUE"""),44393.66666666667)</f>
        <v>44393.66667</v>
      </c>
      <c r="B30" s="1">
        <f>IFERROR(__xludf.DUMMYFUNCTION("""COMPUTED_VALUE"""),148.46)</f>
        <v>148.46</v>
      </c>
      <c r="C30" s="1">
        <f>IFERROR(__xludf.DUMMYFUNCTION("""COMPUTED_VALUE"""),149.76)</f>
        <v>149.76</v>
      </c>
      <c r="D30" s="1">
        <f>IFERROR(__xludf.DUMMYFUNCTION("""COMPUTED_VALUE"""),145.88)</f>
        <v>145.88</v>
      </c>
      <c r="E30" s="1">
        <f>IFERROR(__xludf.DUMMYFUNCTION("""COMPUTED_VALUE"""),146.39)</f>
        <v>146.39</v>
      </c>
      <c r="F30" s="1">
        <f>IFERROR(__xludf.DUMMYFUNCTION("""COMPUTED_VALUE"""),9.3251426E7)</f>
        <v>93251426</v>
      </c>
    </row>
    <row r="31">
      <c r="A31" s="2">
        <f>IFERROR(__xludf.DUMMYFUNCTION("""COMPUTED_VALUE"""),44396.66666666667)</f>
        <v>44396.66667</v>
      </c>
      <c r="B31" s="1">
        <f>IFERROR(__xludf.DUMMYFUNCTION("""COMPUTED_VALUE"""),143.75)</f>
        <v>143.75</v>
      </c>
      <c r="C31" s="1">
        <f>IFERROR(__xludf.DUMMYFUNCTION("""COMPUTED_VALUE"""),144.07)</f>
        <v>144.07</v>
      </c>
      <c r="D31" s="1">
        <f>IFERROR(__xludf.DUMMYFUNCTION("""COMPUTED_VALUE"""),141.67)</f>
        <v>141.67</v>
      </c>
      <c r="E31" s="1">
        <f>IFERROR(__xludf.DUMMYFUNCTION("""COMPUTED_VALUE"""),142.45)</f>
        <v>142.45</v>
      </c>
      <c r="F31" s="1">
        <f>IFERROR(__xludf.DUMMYFUNCTION("""COMPUTED_VALUE"""),1.21434571E8)</f>
        <v>121434571</v>
      </c>
    </row>
    <row r="32">
      <c r="A32" s="2">
        <f>IFERROR(__xludf.DUMMYFUNCTION("""COMPUTED_VALUE"""),44397.66666666667)</f>
        <v>44397.66667</v>
      </c>
      <c r="B32" s="1">
        <f>IFERROR(__xludf.DUMMYFUNCTION("""COMPUTED_VALUE"""),143.46)</f>
        <v>143.46</v>
      </c>
      <c r="C32" s="1">
        <f>IFERROR(__xludf.DUMMYFUNCTION("""COMPUTED_VALUE"""),147.1)</f>
        <v>147.1</v>
      </c>
      <c r="D32" s="1">
        <f>IFERROR(__xludf.DUMMYFUNCTION("""COMPUTED_VALUE"""),142.96)</f>
        <v>142.96</v>
      </c>
      <c r="E32" s="1">
        <f>IFERROR(__xludf.DUMMYFUNCTION("""COMPUTED_VALUE"""),146.15)</f>
        <v>146.15</v>
      </c>
      <c r="F32" s="1">
        <f>IFERROR(__xludf.DUMMYFUNCTION("""COMPUTED_VALUE"""),9.6350036E7)</f>
        <v>96350036</v>
      </c>
    </row>
    <row r="33">
      <c r="A33" s="2">
        <f>IFERROR(__xludf.DUMMYFUNCTION("""COMPUTED_VALUE"""),44398.66666666667)</f>
        <v>44398.66667</v>
      </c>
      <c r="B33" s="1">
        <f>IFERROR(__xludf.DUMMYFUNCTION("""COMPUTED_VALUE"""),145.53)</f>
        <v>145.53</v>
      </c>
      <c r="C33" s="1">
        <f>IFERROR(__xludf.DUMMYFUNCTION("""COMPUTED_VALUE"""),146.13)</f>
        <v>146.13</v>
      </c>
      <c r="D33" s="1">
        <f>IFERROR(__xludf.DUMMYFUNCTION("""COMPUTED_VALUE"""),144.63)</f>
        <v>144.63</v>
      </c>
      <c r="E33" s="1">
        <f>IFERROR(__xludf.DUMMYFUNCTION("""COMPUTED_VALUE"""),145.4)</f>
        <v>145.4</v>
      </c>
      <c r="F33" s="1">
        <f>IFERROR(__xludf.DUMMYFUNCTION("""COMPUTED_VALUE"""),7.499346E7)</f>
        <v>74993460</v>
      </c>
    </row>
    <row r="34">
      <c r="A34" s="2">
        <f>IFERROR(__xludf.DUMMYFUNCTION("""COMPUTED_VALUE"""),44399.66666666667)</f>
        <v>44399.66667</v>
      </c>
      <c r="B34" s="1">
        <f>IFERROR(__xludf.DUMMYFUNCTION("""COMPUTED_VALUE"""),145.94)</f>
        <v>145.94</v>
      </c>
      <c r="C34" s="1">
        <f>IFERROR(__xludf.DUMMYFUNCTION("""COMPUTED_VALUE"""),148.2)</f>
        <v>148.2</v>
      </c>
      <c r="D34" s="1">
        <f>IFERROR(__xludf.DUMMYFUNCTION("""COMPUTED_VALUE"""),145.81)</f>
        <v>145.81</v>
      </c>
      <c r="E34" s="1">
        <f>IFERROR(__xludf.DUMMYFUNCTION("""COMPUTED_VALUE"""),146.8)</f>
        <v>146.8</v>
      </c>
      <c r="F34" s="1">
        <f>IFERROR(__xludf.DUMMYFUNCTION("""COMPUTED_VALUE"""),7.7338156E7)</f>
        <v>77338156</v>
      </c>
    </row>
    <row r="35">
      <c r="A35" s="2">
        <f>IFERROR(__xludf.DUMMYFUNCTION("""COMPUTED_VALUE"""),44400.66666666667)</f>
        <v>44400.66667</v>
      </c>
      <c r="B35" s="1">
        <f>IFERROR(__xludf.DUMMYFUNCTION("""COMPUTED_VALUE"""),147.55)</f>
        <v>147.55</v>
      </c>
      <c r="C35" s="1">
        <f>IFERROR(__xludf.DUMMYFUNCTION("""COMPUTED_VALUE"""),148.72)</f>
        <v>148.72</v>
      </c>
      <c r="D35" s="1">
        <f>IFERROR(__xludf.DUMMYFUNCTION("""COMPUTED_VALUE"""),146.92)</f>
        <v>146.92</v>
      </c>
      <c r="E35" s="1">
        <f>IFERROR(__xludf.DUMMYFUNCTION("""COMPUTED_VALUE"""),148.56)</f>
        <v>148.56</v>
      </c>
      <c r="F35" s="1">
        <f>IFERROR(__xludf.DUMMYFUNCTION("""COMPUTED_VALUE"""),7.1447416E7)</f>
        <v>71447416</v>
      </c>
    </row>
    <row r="36">
      <c r="A36" s="2">
        <f>IFERROR(__xludf.DUMMYFUNCTION("""COMPUTED_VALUE"""),44403.66666666667)</f>
        <v>44403.66667</v>
      </c>
      <c r="B36" s="1">
        <f>IFERROR(__xludf.DUMMYFUNCTION("""COMPUTED_VALUE"""),148.27)</f>
        <v>148.27</v>
      </c>
      <c r="C36" s="1">
        <f>IFERROR(__xludf.DUMMYFUNCTION("""COMPUTED_VALUE"""),149.83)</f>
        <v>149.83</v>
      </c>
      <c r="D36" s="1">
        <f>IFERROR(__xludf.DUMMYFUNCTION("""COMPUTED_VALUE"""),147.7)</f>
        <v>147.7</v>
      </c>
      <c r="E36" s="1">
        <f>IFERROR(__xludf.DUMMYFUNCTION("""COMPUTED_VALUE"""),148.99)</f>
        <v>148.99</v>
      </c>
      <c r="F36" s="1">
        <f>IFERROR(__xludf.DUMMYFUNCTION("""COMPUTED_VALUE"""),7.2434089E7)</f>
        <v>72434089</v>
      </c>
    </row>
    <row r="37">
      <c r="A37" s="2">
        <f>IFERROR(__xludf.DUMMYFUNCTION("""COMPUTED_VALUE"""),44404.66666666667)</f>
        <v>44404.66667</v>
      </c>
      <c r="B37" s="1">
        <f>IFERROR(__xludf.DUMMYFUNCTION("""COMPUTED_VALUE"""),149.12)</f>
        <v>149.12</v>
      </c>
      <c r="C37" s="1">
        <f>IFERROR(__xludf.DUMMYFUNCTION("""COMPUTED_VALUE"""),149.21)</f>
        <v>149.21</v>
      </c>
      <c r="D37" s="1">
        <f>IFERROR(__xludf.DUMMYFUNCTION("""COMPUTED_VALUE"""),145.55)</f>
        <v>145.55</v>
      </c>
      <c r="E37" s="1">
        <f>IFERROR(__xludf.DUMMYFUNCTION("""COMPUTED_VALUE"""),146.77)</f>
        <v>146.77</v>
      </c>
      <c r="F37" s="1">
        <f>IFERROR(__xludf.DUMMYFUNCTION("""COMPUTED_VALUE"""),1.04818578E8)</f>
        <v>104818578</v>
      </c>
    </row>
    <row r="38">
      <c r="A38" s="2">
        <f>IFERROR(__xludf.DUMMYFUNCTION("""COMPUTED_VALUE"""),44405.66666666667)</f>
        <v>44405.66667</v>
      </c>
      <c r="B38" s="1">
        <f>IFERROR(__xludf.DUMMYFUNCTION("""COMPUTED_VALUE"""),144.81)</f>
        <v>144.81</v>
      </c>
      <c r="C38" s="1">
        <f>IFERROR(__xludf.DUMMYFUNCTION("""COMPUTED_VALUE"""),146.97)</f>
        <v>146.97</v>
      </c>
      <c r="D38" s="1">
        <f>IFERROR(__xludf.DUMMYFUNCTION("""COMPUTED_VALUE"""),142.54)</f>
        <v>142.54</v>
      </c>
      <c r="E38" s="1">
        <f>IFERROR(__xludf.DUMMYFUNCTION("""COMPUTED_VALUE"""),144.98)</f>
        <v>144.98</v>
      </c>
      <c r="F38" s="1">
        <f>IFERROR(__xludf.DUMMYFUNCTION("""COMPUTED_VALUE"""),1.18931191E8)</f>
        <v>118931191</v>
      </c>
    </row>
    <row r="39">
      <c r="A39" s="2">
        <f>IFERROR(__xludf.DUMMYFUNCTION("""COMPUTED_VALUE"""),44406.66666666667)</f>
        <v>44406.66667</v>
      </c>
      <c r="B39" s="1">
        <f>IFERROR(__xludf.DUMMYFUNCTION("""COMPUTED_VALUE"""),144.69)</f>
        <v>144.69</v>
      </c>
      <c r="C39" s="1">
        <f>IFERROR(__xludf.DUMMYFUNCTION("""COMPUTED_VALUE"""),146.55)</f>
        <v>146.55</v>
      </c>
      <c r="D39" s="1">
        <f>IFERROR(__xludf.DUMMYFUNCTION("""COMPUTED_VALUE"""),144.58)</f>
        <v>144.58</v>
      </c>
      <c r="E39" s="1">
        <f>IFERROR(__xludf.DUMMYFUNCTION("""COMPUTED_VALUE"""),145.64)</f>
        <v>145.64</v>
      </c>
      <c r="F39" s="1">
        <f>IFERROR(__xludf.DUMMYFUNCTION("""COMPUTED_VALUE"""),5.6699475E7)</f>
        <v>56699475</v>
      </c>
    </row>
    <row r="40">
      <c r="A40" s="2">
        <f>IFERROR(__xludf.DUMMYFUNCTION("""COMPUTED_VALUE"""),44407.66666666667)</f>
        <v>44407.66667</v>
      </c>
      <c r="B40" s="1">
        <f>IFERROR(__xludf.DUMMYFUNCTION("""COMPUTED_VALUE"""),144.38)</f>
        <v>144.38</v>
      </c>
      <c r="C40" s="1">
        <f>IFERROR(__xludf.DUMMYFUNCTION("""COMPUTED_VALUE"""),146.33)</f>
        <v>146.33</v>
      </c>
      <c r="D40" s="1">
        <f>IFERROR(__xludf.DUMMYFUNCTION("""COMPUTED_VALUE"""),144.11)</f>
        <v>144.11</v>
      </c>
      <c r="E40" s="1">
        <f>IFERROR(__xludf.DUMMYFUNCTION("""COMPUTED_VALUE"""),145.86)</f>
        <v>145.86</v>
      </c>
      <c r="F40" s="1">
        <f>IFERROR(__xludf.DUMMYFUNCTION("""COMPUTED_VALUE"""),7.0440626E7)</f>
        <v>70440626</v>
      </c>
    </row>
    <row r="41">
      <c r="A41" s="2">
        <f>IFERROR(__xludf.DUMMYFUNCTION("""COMPUTED_VALUE"""),44410.66666666667)</f>
        <v>44410.66667</v>
      </c>
      <c r="B41" s="1">
        <f>IFERROR(__xludf.DUMMYFUNCTION("""COMPUTED_VALUE"""),146.36)</f>
        <v>146.36</v>
      </c>
      <c r="C41" s="1">
        <f>IFERROR(__xludf.DUMMYFUNCTION("""COMPUTED_VALUE"""),146.95)</f>
        <v>146.95</v>
      </c>
      <c r="D41" s="1">
        <f>IFERROR(__xludf.DUMMYFUNCTION("""COMPUTED_VALUE"""),145.25)</f>
        <v>145.25</v>
      </c>
      <c r="E41" s="1">
        <f>IFERROR(__xludf.DUMMYFUNCTION("""COMPUTED_VALUE"""),145.52)</f>
        <v>145.52</v>
      </c>
      <c r="F41" s="1">
        <f>IFERROR(__xludf.DUMMYFUNCTION("""COMPUTED_VALUE"""),6.2879961E7)</f>
        <v>62879961</v>
      </c>
    </row>
    <row r="42">
      <c r="A42" s="2">
        <f>IFERROR(__xludf.DUMMYFUNCTION("""COMPUTED_VALUE"""),44411.66666666667)</f>
        <v>44411.66667</v>
      </c>
      <c r="B42" s="1">
        <f>IFERROR(__xludf.DUMMYFUNCTION("""COMPUTED_VALUE"""),145.81)</f>
        <v>145.81</v>
      </c>
      <c r="C42" s="1">
        <f>IFERROR(__xludf.DUMMYFUNCTION("""COMPUTED_VALUE"""),148.04)</f>
        <v>148.04</v>
      </c>
      <c r="D42" s="1">
        <f>IFERROR(__xludf.DUMMYFUNCTION("""COMPUTED_VALUE"""),145.18)</f>
        <v>145.18</v>
      </c>
      <c r="E42" s="1">
        <f>IFERROR(__xludf.DUMMYFUNCTION("""COMPUTED_VALUE"""),147.36)</f>
        <v>147.36</v>
      </c>
      <c r="F42" s="1">
        <f>IFERROR(__xludf.DUMMYFUNCTION("""COMPUTED_VALUE"""),6.4786618E7)</f>
        <v>64786618</v>
      </c>
    </row>
    <row r="43">
      <c r="A43" s="2">
        <f>IFERROR(__xludf.DUMMYFUNCTION("""COMPUTED_VALUE"""),44412.66666666667)</f>
        <v>44412.66667</v>
      </c>
      <c r="B43" s="1">
        <f>IFERROR(__xludf.DUMMYFUNCTION("""COMPUTED_VALUE"""),147.27)</f>
        <v>147.27</v>
      </c>
      <c r="C43" s="1">
        <f>IFERROR(__xludf.DUMMYFUNCTION("""COMPUTED_VALUE"""),147.79)</f>
        <v>147.79</v>
      </c>
      <c r="D43" s="1">
        <f>IFERROR(__xludf.DUMMYFUNCTION("""COMPUTED_VALUE"""),146.28)</f>
        <v>146.28</v>
      </c>
      <c r="E43" s="1">
        <f>IFERROR(__xludf.DUMMYFUNCTION("""COMPUTED_VALUE"""),146.95)</f>
        <v>146.95</v>
      </c>
      <c r="F43" s="1">
        <f>IFERROR(__xludf.DUMMYFUNCTION("""COMPUTED_VALUE"""),5.6368271E7)</f>
        <v>56368271</v>
      </c>
    </row>
    <row r="44">
      <c r="A44" s="2">
        <f>IFERROR(__xludf.DUMMYFUNCTION("""COMPUTED_VALUE"""),44413.66666666667)</f>
        <v>44413.66667</v>
      </c>
      <c r="B44" s="1">
        <f>IFERROR(__xludf.DUMMYFUNCTION("""COMPUTED_VALUE"""),146.98)</f>
        <v>146.98</v>
      </c>
      <c r="C44" s="1">
        <f>IFERROR(__xludf.DUMMYFUNCTION("""COMPUTED_VALUE"""),147.84)</f>
        <v>147.84</v>
      </c>
      <c r="D44" s="1">
        <f>IFERROR(__xludf.DUMMYFUNCTION("""COMPUTED_VALUE"""),146.17)</f>
        <v>146.17</v>
      </c>
      <c r="E44" s="1">
        <f>IFERROR(__xludf.DUMMYFUNCTION("""COMPUTED_VALUE"""),147.06)</f>
        <v>147.06</v>
      </c>
      <c r="F44" s="1">
        <f>IFERROR(__xludf.DUMMYFUNCTION("""COMPUTED_VALUE"""),4.6397674E7)</f>
        <v>46397674</v>
      </c>
    </row>
    <row r="45">
      <c r="A45" s="2">
        <f>IFERROR(__xludf.DUMMYFUNCTION("""COMPUTED_VALUE"""),44414.66666666667)</f>
        <v>44414.66667</v>
      </c>
      <c r="B45" s="1">
        <f>IFERROR(__xludf.DUMMYFUNCTION("""COMPUTED_VALUE"""),146.35)</f>
        <v>146.35</v>
      </c>
      <c r="C45" s="1">
        <f>IFERROR(__xludf.DUMMYFUNCTION("""COMPUTED_VALUE"""),147.11)</f>
        <v>147.11</v>
      </c>
      <c r="D45" s="1">
        <f>IFERROR(__xludf.DUMMYFUNCTION("""COMPUTED_VALUE"""),145.63)</f>
        <v>145.63</v>
      </c>
      <c r="E45" s="1">
        <f>IFERROR(__xludf.DUMMYFUNCTION("""COMPUTED_VALUE"""),146.14)</f>
        <v>146.14</v>
      </c>
      <c r="F45" s="1">
        <f>IFERROR(__xludf.DUMMYFUNCTION("""COMPUTED_VALUE"""),5.4126813E7)</f>
        <v>54126813</v>
      </c>
    </row>
    <row r="46">
      <c r="A46" s="2">
        <f>IFERROR(__xludf.DUMMYFUNCTION("""COMPUTED_VALUE"""),44417.66666666667)</f>
        <v>44417.66667</v>
      </c>
      <c r="B46" s="1">
        <f>IFERROR(__xludf.DUMMYFUNCTION("""COMPUTED_VALUE"""),146.2)</f>
        <v>146.2</v>
      </c>
      <c r="C46" s="1">
        <f>IFERROR(__xludf.DUMMYFUNCTION("""COMPUTED_VALUE"""),146.7)</f>
        <v>146.7</v>
      </c>
      <c r="D46" s="1">
        <f>IFERROR(__xludf.DUMMYFUNCTION("""COMPUTED_VALUE"""),145.52)</f>
        <v>145.52</v>
      </c>
      <c r="E46" s="1">
        <f>IFERROR(__xludf.DUMMYFUNCTION("""COMPUTED_VALUE"""),146.09)</f>
        <v>146.09</v>
      </c>
      <c r="F46" s="1">
        <f>IFERROR(__xludf.DUMMYFUNCTION("""COMPUTED_VALUE"""),4.8908689E7)</f>
        <v>48908689</v>
      </c>
    </row>
    <row r="47">
      <c r="A47" s="2">
        <f>IFERROR(__xludf.DUMMYFUNCTION("""COMPUTED_VALUE"""),44418.66666666667)</f>
        <v>44418.66667</v>
      </c>
      <c r="B47" s="1">
        <f>IFERROR(__xludf.DUMMYFUNCTION("""COMPUTED_VALUE"""),146.44)</f>
        <v>146.44</v>
      </c>
      <c r="C47" s="1">
        <f>IFERROR(__xludf.DUMMYFUNCTION("""COMPUTED_VALUE"""),147.71)</f>
        <v>147.71</v>
      </c>
      <c r="D47" s="1">
        <f>IFERROR(__xludf.DUMMYFUNCTION("""COMPUTED_VALUE"""),145.3)</f>
        <v>145.3</v>
      </c>
      <c r="E47" s="1">
        <f>IFERROR(__xludf.DUMMYFUNCTION("""COMPUTED_VALUE"""),145.6)</f>
        <v>145.6</v>
      </c>
      <c r="F47" s="1">
        <f>IFERROR(__xludf.DUMMYFUNCTION("""COMPUTED_VALUE"""),6.9023081E7)</f>
        <v>69023081</v>
      </c>
    </row>
    <row r="48">
      <c r="A48" s="2">
        <f>IFERROR(__xludf.DUMMYFUNCTION("""COMPUTED_VALUE"""),44419.66666666667)</f>
        <v>44419.66667</v>
      </c>
      <c r="B48" s="1">
        <f>IFERROR(__xludf.DUMMYFUNCTION("""COMPUTED_VALUE"""),146.05)</f>
        <v>146.05</v>
      </c>
      <c r="C48" s="1">
        <f>IFERROR(__xludf.DUMMYFUNCTION("""COMPUTED_VALUE"""),146.72)</f>
        <v>146.72</v>
      </c>
      <c r="D48" s="1">
        <f>IFERROR(__xludf.DUMMYFUNCTION("""COMPUTED_VALUE"""),145.53)</f>
        <v>145.53</v>
      </c>
      <c r="E48" s="1">
        <f>IFERROR(__xludf.DUMMYFUNCTION("""COMPUTED_VALUE"""),145.86)</f>
        <v>145.86</v>
      </c>
      <c r="F48" s="1">
        <f>IFERROR(__xludf.DUMMYFUNCTION("""COMPUTED_VALUE"""),4.8493463E7)</f>
        <v>48493463</v>
      </c>
    </row>
    <row r="49">
      <c r="A49" s="2">
        <f>IFERROR(__xludf.DUMMYFUNCTION("""COMPUTED_VALUE"""),44420.66666666667)</f>
        <v>44420.66667</v>
      </c>
      <c r="B49" s="1">
        <f>IFERROR(__xludf.DUMMYFUNCTION("""COMPUTED_VALUE"""),146.19)</f>
        <v>146.19</v>
      </c>
      <c r="C49" s="1">
        <f>IFERROR(__xludf.DUMMYFUNCTION("""COMPUTED_VALUE"""),149.05)</f>
        <v>149.05</v>
      </c>
      <c r="D49" s="1">
        <f>IFERROR(__xludf.DUMMYFUNCTION("""COMPUTED_VALUE"""),145.84)</f>
        <v>145.84</v>
      </c>
      <c r="E49" s="1">
        <f>IFERROR(__xludf.DUMMYFUNCTION("""COMPUTED_VALUE"""),148.89)</f>
        <v>148.89</v>
      </c>
      <c r="F49" s="1">
        <f>IFERROR(__xludf.DUMMYFUNCTION("""COMPUTED_VALUE"""),7.3779113E7)</f>
        <v>73779113</v>
      </c>
    </row>
    <row r="50">
      <c r="A50" s="2">
        <f>IFERROR(__xludf.DUMMYFUNCTION("""COMPUTED_VALUE"""),44421.66666666667)</f>
        <v>44421.66667</v>
      </c>
      <c r="B50" s="1">
        <f>IFERROR(__xludf.DUMMYFUNCTION("""COMPUTED_VALUE"""),148.97)</f>
        <v>148.97</v>
      </c>
      <c r="C50" s="1">
        <f>IFERROR(__xludf.DUMMYFUNCTION("""COMPUTED_VALUE"""),149.44)</f>
        <v>149.44</v>
      </c>
      <c r="D50" s="1">
        <f>IFERROR(__xludf.DUMMYFUNCTION("""COMPUTED_VALUE"""),148.27)</f>
        <v>148.27</v>
      </c>
      <c r="E50" s="1">
        <f>IFERROR(__xludf.DUMMYFUNCTION("""COMPUTED_VALUE"""),149.1)</f>
        <v>149.1</v>
      </c>
      <c r="F50" s="1">
        <f>IFERROR(__xludf.DUMMYFUNCTION("""COMPUTED_VALUE"""),5.9375009E7)</f>
        <v>59375009</v>
      </c>
    </row>
    <row r="51">
      <c r="A51" s="2">
        <f>IFERROR(__xludf.DUMMYFUNCTION("""COMPUTED_VALUE"""),44424.66666666667)</f>
        <v>44424.66667</v>
      </c>
      <c r="B51" s="1">
        <f>IFERROR(__xludf.DUMMYFUNCTION("""COMPUTED_VALUE"""),148.54)</f>
        <v>148.54</v>
      </c>
      <c r="C51" s="1">
        <f>IFERROR(__xludf.DUMMYFUNCTION("""COMPUTED_VALUE"""),151.19)</f>
        <v>151.19</v>
      </c>
      <c r="D51" s="1">
        <f>IFERROR(__xludf.DUMMYFUNCTION("""COMPUTED_VALUE"""),146.47)</f>
        <v>146.47</v>
      </c>
      <c r="E51" s="1">
        <f>IFERROR(__xludf.DUMMYFUNCTION("""COMPUTED_VALUE"""),151.12)</f>
        <v>151.12</v>
      </c>
      <c r="F51" s="1">
        <f>IFERROR(__xludf.DUMMYFUNCTION("""COMPUTED_VALUE"""),1.03558782E8)</f>
        <v>103558782</v>
      </c>
    </row>
    <row r="52">
      <c r="A52" s="2">
        <f>IFERROR(__xludf.DUMMYFUNCTION("""COMPUTED_VALUE"""),44425.66666666667)</f>
        <v>44425.66667</v>
      </c>
      <c r="B52" s="1">
        <f>IFERROR(__xludf.DUMMYFUNCTION("""COMPUTED_VALUE"""),150.23)</f>
        <v>150.23</v>
      </c>
      <c r="C52" s="1">
        <f>IFERROR(__xludf.DUMMYFUNCTION("""COMPUTED_VALUE"""),151.68)</f>
        <v>151.68</v>
      </c>
      <c r="D52" s="1">
        <f>IFERROR(__xludf.DUMMYFUNCTION("""COMPUTED_VALUE"""),149.09)</f>
        <v>149.09</v>
      </c>
      <c r="E52" s="1">
        <f>IFERROR(__xludf.DUMMYFUNCTION("""COMPUTED_VALUE"""),150.19)</f>
        <v>150.19</v>
      </c>
      <c r="F52" s="1">
        <f>IFERROR(__xludf.DUMMYFUNCTION("""COMPUTED_VALUE"""),9.2229735E7)</f>
        <v>92229735</v>
      </c>
    </row>
    <row r="53">
      <c r="A53" s="2">
        <f>IFERROR(__xludf.DUMMYFUNCTION("""COMPUTED_VALUE"""),44426.66666666667)</f>
        <v>44426.66667</v>
      </c>
      <c r="B53" s="1">
        <f>IFERROR(__xludf.DUMMYFUNCTION("""COMPUTED_VALUE"""),149.8)</f>
        <v>149.8</v>
      </c>
      <c r="C53" s="1">
        <f>IFERROR(__xludf.DUMMYFUNCTION("""COMPUTED_VALUE"""),150.72)</f>
        <v>150.72</v>
      </c>
      <c r="D53" s="1">
        <f>IFERROR(__xludf.DUMMYFUNCTION("""COMPUTED_VALUE"""),146.15)</f>
        <v>146.15</v>
      </c>
      <c r="E53" s="1">
        <f>IFERROR(__xludf.DUMMYFUNCTION("""COMPUTED_VALUE"""),146.36)</f>
        <v>146.36</v>
      </c>
      <c r="F53" s="1">
        <f>IFERROR(__xludf.DUMMYFUNCTION("""COMPUTED_VALUE"""),8.632599E7)</f>
        <v>86325990</v>
      </c>
    </row>
    <row r="54">
      <c r="A54" s="2">
        <f>IFERROR(__xludf.DUMMYFUNCTION("""COMPUTED_VALUE"""),44427.66666666667)</f>
        <v>44427.66667</v>
      </c>
      <c r="B54" s="1">
        <f>IFERROR(__xludf.DUMMYFUNCTION("""COMPUTED_VALUE"""),145.03)</f>
        <v>145.03</v>
      </c>
      <c r="C54" s="1">
        <f>IFERROR(__xludf.DUMMYFUNCTION("""COMPUTED_VALUE"""),148.0)</f>
        <v>148</v>
      </c>
      <c r="D54" s="1">
        <f>IFERROR(__xludf.DUMMYFUNCTION("""COMPUTED_VALUE"""),144.5)</f>
        <v>144.5</v>
      </c>
      <c r="E54" s="1">
        <f>IFERROR(__xludf.DUMMYFUNCTION("""COMPUTED_VALUE"""),146.7)</f>
        <v>146.7</v>
      </c>
      <c r="F54" s="1">
        <f>IFERROR(__xludf.DUMMYFUNCTION("""COMPUTED_VALUE"""),8.696031E7)</f>
        <v>86960310</v>
      </c>
    </row>
    <row r="55">
      <c r="A55" s="2">
        <f>IFERROR(__xludf.DUMMYFUNCTION("""COMPUTED_VALUE"""),44428.66666666667)</f>
        <v>44428.66667</v>
      </c>
      <c r="B55" s="1">
        <f>IFERROR(__xludf.DUMMYFUNCTION("""COMPUTED_VALUE"""),147.44)</f>
        <v>147.44</v>
      </c>
      <c r="C55" s="1">
        <f>IFERROR(__xludf.DUMMYFUNCTION("""COMPUTED_VALUE"""),148.5)</f>
        <v>148.5</v>
      </c>
      <c r="D55" s="1">
        <f>IFERROR(__xludf.DUMMYFUNCTION("""COMPUTED_VALUE"""),146.78)</f>
        <v>146.78</v>
      </c>
      <c r="E55" s="1">
        <f>IFERROR(__xludf.DUMMYFUNCTION("""COMPUTED_VALUE"""),148.19)</f>
        <v>148.19</v>
      </c>
      <c r="F55" s="1">
        <f>IFERROR(__xludf.DUMMYFUNCTION("""COMPUTED_VALUE"""),6.054963E7)</f>
        <v>60549630</v>
      </c>
    </row>
    <row r="56">
      <c r="A56" s="2">
        <f>IFERROR(__xludf.DUMMYFUNCTION("""COMPUTED_VALUE"""),44431.66666666667)</f>
        <v>44431.66667</v>
      </c>
      <c r="B56" s="1">
        <f>IFERROR(__xludf.DUMMYFUNCTION("""COMPUTED_VALUE"""),148.31)</f>
        <v>148.31</v>
      </c>
      <c r="C56" s="1">
        <f>IFERROR(__xludf.DUMMYFUNCTION("""COMPUTED_VALUE"""),150.19)</f>
        <v>150.19</v>
      </c>
      <c r="D56" s="1">
        <f>IFERROR(__xludf.DUMMYFUNCTION("""COMPUTED_VALUE"""),147.89)</f>
        <v>147.89</v>
      </c>
      <c r="E56" s="1">
        <f>IFERROR(__xludf.DUMMYFUNCTION("""COMPUTED_VALUE"""),149.71)</f>
        <v>149.71</v>
      </c>
      <c r="F56" s="1">
        <f>IFERROR(__xludf.DUMMYFUNCTION("""COMPUTED_VALUE"""),6.013181E7)</f>
        <v>60131810</v>
      </c>
    </row>
    <row r="57">
      <c r="A57" s="2">
        <f>IFERROR(__xludf.DUMMYFUNCTION("""COMPUTED_VALUE"""),44432.66666666667)</f>
        <v>44432.66667</v>
      </c>
      <c r="B57" s="1">
        <f>IFERROR(__xludf.DUMMYFUNCTION("""COMPUTED_VALUE"""),149.45)</f>
        <v>149.45</v>
      </c>
      <c r="C57" s="1">
        <f>IFERROR(__xludf.DUMMYFUNCTION("""COMPUTED_VALUE"""),150.86)</f>
        <v>150.86</v>
      </c>
      <c r="D57" s="1">
        <f>IFERROR(__xludf.DUMMYFUNCTION("""COMPUTED_VALUE"""),149.15)</f>
        <v>149.15</v>
      </c>
      <c r="E57" s="1">
        <f>IFERROR(__xludf.DUMMYFUNCTION("""COMPUTED_VALUE"""),149.62)</f>
        <v>149.62</v>
      </c>
      <c r="F57" s="1">
        <f>IFERROR(__xludf.DUMMYFUNCTION("""COMPUTED_VALUE"""),4.8606428E7)</f>
        <v>48606428</v>
      </c>
    </row>
    <row r="58">
      <c r="A58" s="2">
        <f>IFERROR(__xludf.DUMMYFUNCTION("""COMPUTED_VALUE"""),44433.66666666667)</f>
        <v>44433.66667</v>
      </c>
      <c r="B58" s="1">
        <f>IFERROR(__xludf.DUMMYFUNCTION("""COMPUTED_VALUE"""),149.81)</f>
        <v>149.81</v>
      </c>
      <c r="C58" s="1">
        <f>IFERROR(__xludf.DUMMYFUNCTION("""COMPUTED_VALUE"""),150.32)</f>
        <v>150.32</v>
      </c>
      <c r="D58" s="1">
        <f>IFERROR(__xludf.DUMMYFUNCTION("""COMPUTED_VALUE"""),147.8)</f>
        <v>147.8</v>
      </c>
      <c r="E58" s="1">
        <f>IFERROR(__xludf.DUMMYFUNCTION("""COMPUTED_VALUE"""),148.36)</f>
        <v>148.36</v>
      </c>
      <c r="F58" s="1">
        <f>IFERROR(__xludf.DUMMYFUNCTION("""COMPUTED_VALUE"""),5.8991297E7)</f>
        <v>58991297</v>
      </c>
    </row>
    <row r="59">
      <c r="A59" s="2">
        <f>IFERROR(__xludf.DUMMYFUNCTION("""COMPUTED_VALUE"""),44434.66666666667)</f>
        <v>44434.66667</v>
      </c>
      <c r="B59" s="1">
        <f>IFERROR(__xludf.DUMMYFUNCTION("""COMPUTED_VALUE"""),148.35)</f>
        <v>148.35</v>
      </c>
      <c r="C59" s="1">
        <f>IFERROR(__xludf.DUMMYFUNCTION("""COMPUTED_VALUE"""),149.12)</f>
        <v>149.12</v>
      </c>
      <c r="D59" s="1">
        <f>IFERROR(__xludf.DUMMYFUNCTION("""COMPUTED_VALUE"""),147.51)</f>
        <v>147.51</v>
      </c>
      <c r="E59" s="1">
        <f>IFERROR(__xludf.DUMMYFUNCTION("""COMPUTED_VALUE"""),147.54)</f>
        <v>147.54</v>
      </c>
      <c r="F59" s="1">
        <f>IFERROR(__xludf.DUMMYFUNCTION("""COMPUTED_VALUE"""),4.8597195E7)</f>
        <v>48597195</v>
      </c>
    </row>
    <row r="60">
      <c r="A60" s="2">
        <f>IFERROR(__xludf.DUMMYFUNCTION("""COMPUTED_VALUE"""),44435.66666666667)</f>
        <v>44435.66667</v>
      </c>
      <c r="B60" s="1">
        <f>IFERROR(__xludf.DUMMYFUNCTION("""COMPUTED_VALUE"""),147.48)</f>
        <v>147.48</v>
      </c>
      <c r="C60" s="1">
        <f>IFERROR(__xludf.DUMMYFUNCTION("""COMPUTED_VALUE"""),148.75)</f>
        <v>148.75</v>
      </c>
      <c r="D60" s="1">
        <f>IFERROR(__xludf.DUMMYFUNCTION("""COMPUTED_VALUE"""),146.83)</f>
        <v>146.83</v>
      </c>
      <c r="E60" s="1">
        <f>IFERROR(__xludf.DUMMYFUNCTION("""COMPUTED_VALUE"""),148.6)</f>
        <v>148.6</v>
      </c>
      <c r="F60" s="1">
        <f>IFERROR(__xludf.DUMMYFUNCTION("""COMPUTED_VALUE"""),5.5802388E7)</f>
        <v>55802388</v>
      </c>
    </row>
    <row r="61">
      <c r="A61" s="2">
        <f>IFERROR(__xludf.DUMMYFUNCTION("""COMPUTED_VALUE"""),44438.66666666667)</f>
        <v>44438.66667</v>
      </c>
      <c r="B61" s="1">
        <f>IFERROR(__xludf.DUMMYFUNCTION("""COMPUTED_VALUE"""),149.0)</f>
        <v>149</v>
      </c>
      <c r="C61" s="1">
        <f>IFERROR(__xludf.DUMMYFUNCTION("""COMPUTED_VALUE"""),153.49)</f>
        <v>153.49</v>
      </c>
      <c r="D61" s="1">
        <f>IFERROR(__xludf.DUMMYFUNCTION("""COMPUTED_VALUE"""),148.61)</f>
        <v>148.61</v>
      </c>
      <c r="E61" s="1">
        <f>IFERROR(__xludf.DUMMYFUNCTION("""COMPUTED_VALUE"""),153.12)</f>
        <v>153.12</v>
      </c>
      <c r="F61" s="1">
        <f>IFERROR(__xludf.DUMMYFUNCTION("""COMPUTED_VALUE"""),9.0956723E7)</f>
        <v>90956723</v>
      </c>
    </row>
    <row r="62">
      <c r="A62" s="2">
        <f>IFERROR(__xludf.DUMMYFUNCTION("""COMPUTED_VALUE"""),44439.66666666667)</f>
        <v>44439.66667</v>
      </c>
      <c r="B62" s="1">
        <f>IFERROR(__xludf.DUMMYFUNCTION("""COMPUTED_VALUE"""),152.66)</f>
        <v>152.66</v>
      </c>
      <c r="C62" s="1">
        <f>IFERROR(__xludf.DUMMYFUNCTION("""COMPUTED_VALUE"""),152.8)</f>
        <v>152.8</v>
      </c>
      <c r="D62" s="1">
        <f>IFERROR(__xludf.DUMMYFUNCTION("""COMPUTED_VALUE"""),151.29)</f>
        <v>151.29</v>
      </c>
      <c r="E62" s="1">
        <f>IFERROR(__xludf.DUMMYFUNCTION("""COMPUTED_VALUE"""),151.83)</f>
        <v>151.83</v>
      </c>
      <c r="F62" s="1">
        <f>IFERROR(__xludf.DUMMYFUNCTION("""COMPUTED_VALUE"""),8.6453117E7)</f>
        <v>86453117</v>
      </c>
    </row>
    <row r="63">
      <c r="A63" s="2">
        <f>IFERROR(__xludf.DUMMYFUNCTION("""COMPUTED_VALUE"""),44440.66666666667)</f>
        <v>44440.66667</v>
      </c>
      <c r="B63" s="1">
        <f>IFERROR(__xludf.DUMMYFUNCTION("""COMPUTED_VALUE"""),152.83)</f>
        <v>152.83</v>
      </c>
      <c r="C63" s="1">
        <f>IFERROR(__xludf.DUMMYFUNCTION("""COMPUTED_VALUE"""),154.98)</f>
        <v>154.98</v>
      </c>
      <c r="D63" s="1">
        <f>IFERROR(__xludf.DUMMYFUNCTION("""COMPUTED_VALUE"""),152.34)</f>
        <v>152.34</v>
      </c>
      <c r="E63" s="1">
        <f>IFERROR(__xludf.DUMMYFUNCTION("""COMPUTED_VALUE"""),152.51)</f>
        <v>152.51</v>
      </c>
      <c r="F63" s="1">
        <f>IFERROR(__xludf.DUMMYFUNCTION("""COMPUTED_VALUE"""),8.0313711E7)</f>
        <v>80313711</v>
      </c>
    </row>
    <row r="64">
      <c r="A64" s="2">
        <f>IFERROR(__xludf.DUMMYFUNCTION("""COMPUTED_VALUE"""),44441.66666666667)</f>
        <v>44441.66667</v>
      </c>
      <c r="B64" s="1">
        <f>IFERROR(__xludf.DUMMYFUNCTION("""COMPUTED_VALUE"""),153.87)</f>
        <v>153.87</v>
      </c>
      <c r="C64" s="1">
        <f>IFERROR(__xludf.DUMMYFUNCTION("""COMPUTED_VALUE"""),154.72)</f>
        <v>154.72</v>
      </c>
      <c r="D64" s="1">
        <f>IFERROR(__xludf.DUMMYFUNCTION("""COMPUTED_VALUE"""),152.4)</f>
        <v>152.4</v>
      </c>
      <c r="E64" s="1">
        <f>IFERROR(__xludf.DUMMYFUNCTION("""COMPUTED_VALUE"""),153.65)</f>
        <v>153.65</v>
      </c>
      <c r="F64" s="1">
        <f>IFERROR(__xludf.DUMMYFUNCTION("""COMPUTED_VALUE"""),7.1171317E7)</f>
        <v>71171317</v>
      </c>
    </row>
    <row r="65">
      <c r="A65" s="2">
        <f>IFERROR(__xludf.DUMMYFUNCTION("""COMPUTED_VALUE"""),44442.66666666667)</f>
        <v>44442.66667</v>
      </c>
      <c r="B65" s="1">
        <f>IFERROR(__xludf.DUMMYFUNCTION("""COMPUTED_VALUE"""),153.76)</f>
        <v>153.76</v>
      </c>
      <c r="C65" s="1">
        <f>IFERROR(__xludf.DUMMYFUNCTION("""COMPUTED_VALUE"""),154.63)</f>
        <v>154.63</v>
      </c>
      <c r="D65" s="1">
        <f>IFERROR(__xludf.DUMMYFUNCTION("""COMPUTED_VALUE"""),153.09)</f>
        <v>153.09</v>
      </c>
      <c r="E65" s="1">
        <f>IFERROR(__xludf.DUMMYFUNCTION("""COMPUTED_VALUE"""),154.3)</f>
        <v>154.3</v>
      </c>
      <c r="F65" s="1">
        <f>IFERROR(__xludf.DUMMYFUNCTION("""COMPUTED_VALUE"""),5.7866066E7)</f>
        <v>57866066</v>
      </c>
    </row>
    <row r="66">
      <c r="A66" s="2">
        <f>IFERROR(__xludf.DUMMYFUNCTION("""COMPUTED_VALUE"""),44446.66666666667)</f>
        <v>44446.66667</v>
      </c>
      <c r="B66" s="1">
        <f>IFERROR(__xludf.DUMMYFUNCTION("""COMPUTED_VALUE"""),154.97)</f>
        <v>154.97</v>
      </c>
      <c r="C66" s="1">
        <f>IFERROR(__xludf.DUMMYFUNCTION("""COMPUTED_VALUE"""),157.26)</f>
        <v>157.26</v>
      </c>
      <c r="D66" s="1">
        <f>IFERROR(__xludf.DUMMYFUNCTION("""COMPUTED_VALUE"""),154.39)</f>
        <v>154.39</v>
      </c>
      <c r="E66" s="1">
        <f>IFERROR(__xludf.DUMMYFUNCTION("""COMPUTED_VALUE"""),156.69)</f>
        <v>156.69</v>
      </c>
      <c r="F66" s="1">
        <f>IFERROR(__xludf.DUMMYFUNCTION("""COMPUTED_VALUE"""),8.2278261E7)</f>
        <v>82278261</v>
      </c>
    </row>
    <row r="67">
      <c r="A67" s="2">
        <f>IFERROR(__xludf.DUMMYFUNCTION("""COMPUTED_VALUE"""),44447.66666666667)</f>
        <v>44447.66667</v>
      </c>
      <c r="B67" s="1">
        <f>IFERROR(__xludf.DUMMYFUNCTION("""COMPUTED_VALUE"""),156.98)</f>
        <v>156.98</v>
      </c>
      <c r="C67" s="1">
        <f>IFERROR(__xludf.DUMMYFUNCTION("""COMPUTED_VALUE"""),157.04)</f>
        <v>157.04</v>
      </c>
      <c r="D67" s="1">
        <f>IFERROR(__xludf.DUMMYFUNCTION("""COMPUTED_VALUE"""),153.98)</f>
        <v>153.98</v>
      </c>
      <c r="E67" s="1">
        <f>IFERROR(__xludf.DUMMYFUNCTION("""COMPUTED_VALUE"""),155.11)</f>
        <v>155.11</v>
      </c>
      <c r="F67" s="1">
        <f>IFERROR(__xludf.DUMMYFUNCTION("""COMPUTED_VALUE"""),7.4420207E7)</f>
        <v>74420207</v>
      </c>
    </row>
    <row r="68">
      <c r="A68" s="2">
        <f>IFERROR(__xludf.DUMMYFUNCTION("""COMPUTED_VALUE"""),44448.66666666667)</f>
        <v>44448.66667</v>
      </c>
      <c r="B68" s="1">
        <f>IFERROR(__xludf.DUMMYFUNCTION("""COMPUTED_VALUE"""),155.49)</f>
        <v>155.49</v>
      </c>
      <c r="C68" s="1">
        <f>IFERROR(__xludf.DUMMYFUNCTION("""COMPUTED_VALUE"""),156.11)</f>
        <v>156.11</v>
      </c>
      <c r="D68" s="1">
        <f>IFERROR(__xludf.DUMMYFUNCTION("""COMPUTED_VALUE"""),153.95)</f>
        <v>153.95</v>
      </c>
      <c r="E68" s="1">
        <f>IFERROR(__xludf.DUMMYFUNCTION("""COMPUTED_VALUE"""),154.07)</f>
        <v>154.07</v>
      </c>
      <c r="F68" s="1">
        <f>IFERROR(__xludf.DUMMYFUNCTION("""COMPUTED_VALUE"""),5.730573E7)</f>
        <v>57305730</v>
      </c>
    </row>
    <row r="69">
      <c r="A69" s="2">
        <f>IFERROR(__xludf.DUMMYFUNCTION("""COMPUTED_VALUE"""),44449.66666666667)</f>
        <v>44449.66667</v>
      </c>
      <c r="B69" s="1">
        <f>IFERROR(__xludf.DUMMYFUNCTION("""COMPUTED_VALUE"""),155.0)</f>
        <v>155</v>
      </c>
      <c r="C69" s="1">
        <f>IFERROR(__xludf.DUMMYFUNCTION("""COMPUTED_VALUE"""),155.48)</f>
        <v>155.48</v>
      </c>
      <c r="D69" s="1">
        <f>IFERROR(__xludf.DUMMYFUNCTION("""COMPUTED_VALUE"""),148.7)</f>
        <v>148.7</v>
      </c>
      <c r="E69" s="1">
        <f>IFERROR(__xludf.DUMMYFUNCTION("""COMPUTED_VALUE"""),148.97)</f>
        <v>148.97</v>
      </c>
      <c r="F69" s="1">
        <f>IFERROR(__xludf.DUMMYFUNCTION("""COMPUTED_VALUE"""),1.40893235E8)</f>
        <v>140893235</v>
      </c>
    </row>
    <row r="70">
      <c r="A70" s="2">
        <f>IFERROR(__xludf.DUMMYFUNCTION("""COMPUTED_VALUE"""),44452.66666666667)</f>
        <v>44452.66667</v>
      </c>
      <c r="B70" s="1">
        <f>IFERROR(__xludf.DUMMYFUNCTION("""COMPUTED_VALUE"""),150.63)</f>
        <v>150.63</v>
      </c>
      <c r="C70" s="1">
        <f>IFERROR(__xludf.DUMMYFUNCTION("""COMPUTED_VALUE"""),151.42)</f>
        <v>151.42</v>
      </c>
      <c r="D70" s="1">
        <f>IFERROR(__xludf.DUMMYFUNCTION("""COMPUTED_VALUE"""),148.75)</f>
        <v>148.75</v>
      </c>
      <c r="E70" s="1">
        <f>IFERROR(__xludf.DUMMYFUNCTION("""COMPUTED_VALUE"""),149.55)</f>
        <v>149.55</v>
      </c>
      <c r="F70" s="1">
        <f>IFERROR(__xludf.DUMMYFUNCTION("""COMPUTED_VALUE"""),1.02404329E8)</f>
        <v>102404329</v>
      </c>
    </row>
    <row r="71">
      <c r="A71" s="2">
        <f>IFERROR(__xludf.DUMMYFUNCTION("""COMPUTED_VALUE"""),44453.66666666667)</f>
        <v>44453.66667</v>
      </c>
      <c r="B71" s="1">
        <f>IFERROR(__xludf.DUMMYFUNCTION("""COMPUTED_VALUE"""),150.35)</f>
        <v>150.35</v>
      </c>
      <c r="C71" s="1">
        <f>IFERROR(__xludf.DUMMYFUNCTION("""COMPUTED_VALUE"""),151.07)</f>
        <v>151.07</v>
      </c>
      <c r="D71" s="1">
        <f>IFERROR(__xludf.DUMMYFUNCTION("""COMPUTED_VALUE"""),146.91)</f>
        <v>146.91</v>
      </c>
      <c r="E71" s="1">
        <f>IFERROR(__xludf.DUMMYFUNCTION("""COMPUTED_VALUE"""),148.12)</f>
        <v>148.12</v>
      </c>
      <c r="F71" s="1">
        <f>IFERROR(__xludf.DUMMYFUNCTION("""COMPUTED_VALUE"""),1.09296295E8)</f>
        <v>109296295</v>
      </c>
    </row>
    <row r="72">
      <c r="A72" s="2">
        <f>IFERROR(__xludf.DUMMYFUNCTION("""COMPUTED_VALUE"""),44454.66666666667)</f>
        <v>44454.66667</v>
      </c>
      <c r="B72" s="1">
        <f>IFERROR(__xludf.DUMMYFUNCTION("""COMPUTED_VALUE"""),148.56)</f>
        <v>148.56</v>
      </c>
      <c r="C72" s="1">
        <f>IFERROR(__xludf.DUMMYFUNCTION("""COMPUTED_VALUE"""),149.44)</f>
        <v>149.44</v>
      </c>
      <c r="D72" s="1">
        <f>IFERROR(__xludf.DUMMYFUNCTION("""COMPUTED_VALUE"""),146.37)</f>
        <v>146.37</v>
      </c>
      <c r="E72" s="1">
        <f>IFERROR(__xludf.DUMMYFUNCTION("""COMPUTED_VALUE"""),149.03)</f>
        <v>149.03</v>
      </c>
      <c r="F72" s="1">
        <f>IFERROR(__xludf.DUMMYFUNCTION("""COMPUTED_VALUE"""),8.3281315E7)</f>
        <v>83281315</v>
      </c>
    </row>
    <row r="73">
      <c r="A73" s="2">
        <f>IFERROR(__xludf.DUMMYFUNCTION("""COMPUTED_VALUE"""),44455.66666666667)</f>
        <v>44455.66667</v>
      </c>
      <c r="B73" s="1">
        <f>IFERROR(__xludf.DUMMYFUNCTION("""COMPUTED_VALUE"""),148.44)</f>
        <v>148.44</v>
      </c>
      <c r="C73" s="1">
        <f>IFERROR(__xludf.DUMMYFUNCTION("""COMPUTED_VALUE"""),148.97)</f>
        <v>148.97</v>
      </c>
      <c r="D73" s="1">
        <f>IFERROR(__xludf.DUMMYFUNCTION("""COMPUTED_VALUE"""),147.22)</f>
        <v>147.22</v>
      </c>
      <c r="E73" s="1">
        <f>IFERROR(__xludf.DUMMYFUNCTION("""COMPUTED_VALUE"""),148.79)</f>
        <v>148.79</v>
      </c>
      <c r="F73" s="1">
        <f>IFERROR(__xludf.DUMMYFUNCTION("""COMPUTED_VALUE"""),6.8034149E7)</f>
        <v>68034149</v>
      </c>
    </row>
    <row r="74">
      <c r="A74" s="2">
        <f>IFERROR(__xludf.DUMMYFUNCTION("""COMPUTED_VALUE"""),44456.66666666667)</f>
        <v>44456.66667</v>
      </c>
      <c r="B74" s="1">
        <f>IFERROR(__xludf.DUMMYFUNCTION("""COMPUTED_VALUE"""),148.82)</f>
        <v>148.82</v>
      </c>
      <c r="C74" s="1">
        <f>IFERROR(__xludf.DUMMYFUNCTION("""COMPUTED_VALUE"""),148.82)</f>
        <v>148.82</v>
      </c>
      <c r="D74" s="1">
        <f>IFERROR(__xludf.DUMMYFUNCTION("""COMPUTED_VALUE"""),145.76)</f>
        <v>145.76</v>
      </c>
      <c r="E74" s="1">
        <f>IFERROR(__xludf.DUMMYFUNCTION("""COMPUTED_VALUE"""),146.06)</f>
        <v>146.06</v>
      </c>
      <c r="F74" s="1">
        <f>IFERROR(__xludf.DUMMYFUNCTION("""COMPUTED_VALUE"""),1.29868824E8)</f>
        <v>129868824</v>
      </c>
    </row>
    <row r="75">
      <c r="A75" s="2">
        <f>IFERROR(__xludf.DUMMYFUNCTION("""COMPUTED_VALUE"""),44459.66666666667)</f>
        <v>44459.66667</v>
      </c>
      <c r="B75" s="1">
        <f>IFERROR(__xludf.DUMMYFUNCTION("""COMPUTED_VALUE"""),143.8)</f>
        <v>143.8</v>
      </c>
      <c r="C75" s="1">
        <f>IFERROR(__xludf.DUMMYFUNCTION("""COMPUTED_VALUE"""),144.84)</f>
        <v>144.84</v>
      </c>
      <c r="D75" s="1">
        <f>IFERROR(__xludf.DUMMYFUNCTION("""COMPUTED_VALUE"""),141.27)</f>
        <v>141.27</v>
      </c>
      <c r="E75" s="1">
        <f>IFERROR(__xludf.DUMMYFUNCTION("""COMPUTED_VALUE"""),142.94)</f>
        <v>142.94</v>
      </c>
      <c r="F75" s="1">
        <f>IFERROR(__xludf.DUMMYFUNCTION("""COMPUTED_VALUE"""),1.23478863E8)</f>
        <v>123478863</v>
      </c>
    </row>
    <row r="76">
      <c r="A76" s="2">
        <f>IFERROR(__xludf.DUMMYFUNCTION("""COMPUTED_VALUE"""),44460.66666666667)</f>
        <v>44460.66667</v>
      </c>
      <c r="B76" s="1">
        <f>IFERROR(__xludf.DUMMYFUNCTION("""COMPUTED_VALUE"""),143.93)</f>
        <v>143.93</v>
      </c>
      <c r="C76" s="1">
        <f>IFERROR(__xludf.DUMMYFUNCTION("""COMPUTED_VALUE"""),144.6)</f>
        <v>144.6</v>
      </c>
      <c r="D76" s="1">
        <f>IFERROR(__xludf.DUMMYFUNCTION("""COMPUTED_VALUE"""),142.78)</f>
        <v>142.78</v>
      </c>
      <c r="E76" s="1">
        <f>IFERROR(__xludf.DUMMYFUNCTION("""COMPUTED_VALUE"""),143.43)</f>
        <v>143.43</v>
      </c>
      <c r="F76" s="1">
        <f>IFERROR(__xludf.DUMMYFUNCTION("""COMPUTED_VALUE"""),7.5833962E7)</f>
        <v>75833962</v>
      </c>
    </row>
    <row r="77">
      <c r="A77" s="2">
        <f>IFERROR(__xludf.DUMMYFUNCTION("""COMPUTED_VALUE"""),44461.66666666667)</f>
        <v>44461.66667</v>
      </c>
      <c r="B77" s="1">
        <f>IFERROR(__xludf.DUMMYFUNCTION("""COMPUTED_VALUE"""),144.45)</f>
        <v>144.45</v>
      </c>
      <c r="C77" s="1">
        <f>IFERROR(__xludf.DUMMYFUNCTION("""COMPUTED_VALUE"""),146.43)</f>
        <v>146.43</v>
      </c>
      <c r="D77" s="1">
        <f>IFERROR(__xludf.DUMMYFUNCTION("""COMPUTED_VALUE"""),143.7)</f>
        <v>143.7</v>
      </c>
      <c r="E77" s="1">
        <f>IFERROR(__xludf.DUMMYFUNCTION("""COMPUTED_VALUE"""),145.85)</f>
        <v>145.85</v>
      </c>
      <c r="F77" s="1">
        <f>IFERROR(__xludf.DUMMYFUNCTION("""COMPUTED_VALUE"""),7.6404341E7)</f>
        <v>76404341</v>
      </c>
    </row>
    <row r="78">
      <c r="A78" s="2">
        <f>IFERROR(__xludf.DUMMYFUNCTION("""COMPUTED_VALUE"""),44462.66666666667)</f>
        <v>44462.66667</v>
      </c>
      <c r="B78" s="1">
        <f>IFERROR(__xludf.DUMMYFUNCTION("""COMPUTED_VALUE"""),146.65)</f>
        <v>146.65</v>
      </c>
      <c r="C78" s="1">
        <f>IFERROR(__xludf.DUMMYFUNCTION("""COMPUTED_VALUE"""),147.08)</f>
        <v>147.08</v>
      </c>
      <c r="D78" s="1">
        <f>IFERROR(__xludf.DUMMYFUNCTION("""COMPUTED_VALUE"""),145.64)</f>
        <v>145.64</v>
      </c>
      <c r="E78" s="1">
        <f>IFERROR(__xludf.DUMMYFUNCTION("""COMPUTED_VALUE"""),146.83)</f>
        <v>146.83</v>
      </c>
      <c r="F78" s="1">
        <f>IFERROR(__xludf.DUMMYFUNCTION("""COMPUTED_VALUE"""),6.483817E7)</f>
        <v>64838170</v>
      </c>
    </row>
    <row r="79">
      <c r="A79" s="2">
        <f>IFERROR(__xludf.DUMMYFUNCTION("""COMPUTED_VALUE"""),44463.66666666667)</f>
        <v>44463.66667</v>
      </c>
      <c r="B79" s="1">
        <f>IFERROR(__xludf.DUMMYFUNCTION("""COMPUTED_VALUE"""),145.66)</f>
        <v>145.66</v>
      </c>
      <c r="C79" s="1">
        <f>IFERROR(__xludf.DUMMYFUNCTION("""COMPUTED_VALUE"""),147.47)</f>
        <v>147.47</v>
      </c>
      <c r="D79" s="1">
        <f>IFERROR(__xludf.DUMMYFUNCTION("""COMPUTED_VALUE"""),145.56)</f>
        <v>145.56</v>
      </c>
      <c r="E79" s="1">
        <f>IFERROR(__xludf.DUMMYFUNCTION("""COMPUTED_VALUE"""),146.92)</f>
        <v>146.92</v>
      </c>
      <c r="F79" s="1">
        <f>IFERROR(__xludf.DUMMYFUNCTION("""COMPUTED_VALUE"""),5.3477869E7)</f>
        <v>53477869</v>
      </c>
    </row>
    <row r="80">
      <c r="A80" s="2">
        <f>IFERROR(__xludf.DUMMYFUNCTION("""COMPUTED_VALUE"""),44466.66666666667)</f>
        <v>44466.66667</v>
      </c>
      <c r="B80" s="1">
        <f>IFERROR(__xludf.DUMMYFUNCTION("""COMPUTED_VALUE"""),145.47)</f>
        <v>145.47</v>
      </c>
      <c r="C80" s="1">
        <f>IFERROR(__xludf.DUMMYFUNCTION("""COMPUTED_VALUE"""),145.96)</f>
        <v>145.96</v>
      </c>
      <c r="D80" s="1">
        <f>IFERROR(__xludf.DUMMYFUNCTION("""COMPUTED_VALUE"""),143.82)</f>
        <v>143.82</v>
      </c>
      <c r="E80" s="1">
        <f>IFERROR(__xludf.DUMMYFUNCTION("""COMPUTED_VALUE"""),145.37)</f>
        <v>145.37</v>
      </c>
      <c r="F80" s="1">
        <f>IFERROR(__xludf.DUMMYFUNCTION("""COMPUTED_VALUE"""),7.4150729E7)</f>
        <v>74150729</v>
      </c>
    </row>
    <row r="81">
      <c r="A81" s="2">
        <f>IFERROR(__xludf.DUMMYFUNCTION("""COMPUTED_VALUE"""),44467.66666666667)</f>
        <v>44467.66667</v>
      </c>
      <c r="B81" s="1">
        <f>IFERROR(__xludf.DUMMYFUNCTION("""COMPUTED_VALUE"""),143.25)</f>
        <v>143.25</v>
      </c>
      <c r="C81" s="1">
        <f>IFERROR(__xludf.DUMMYFUNCTION("""COMPUTED_VALUE"""),144.75)</f>
        <v>144.75</v>
      </c>
      <c r="D81" s="1">
        <f>IFERROR(__xludf.DUMMYFUNCTION("""COMPUTED_VALUE"""),141.69)</f>
        <v>141.69</v>
      </c>
      <c r="E81" s="1">
        <f>IFERROR(__xludf.DUMMYFUNCTION("""COMPUTED_VALUE"""),141.91)</f>
        <v>141.91</v>
      </c>
      <c r="F81" s="1">
        <f>IFERROR(__xludf.DUMMYFUNCTION("""COMPUTED_VALUE"""),1.0897234E8)</f>
        <v>108972340</v>
      </c>
    </row>
    <row r="82">
      <c r="A82" s="2">
        <f>IFERROR(__xludf.DUMMYFUNCTION("""COMPUTED_VALUE"""),44468.66666666667)</f>
        <v>44468.66667</v>
      </c>
      <c r="B82" s="1">
        <f>IFERROR(__xludf.DUMMYFUNCTION("""COMPUTED_VALUE"""),142.47)</f>
        <v>142.47</v>
      </c>
      <c r="C82" s="1">
        <f>IFERROR(__xludf.DUMMYFUNCTION("""COMPUTED_VALUE"""),144.45)</f>
        <v>144.45</v>
      </c>
      <c r="D82" s="1">
        <f>IFERROR(__xludf.DUMMYFUNCTION("""COMPUTED_VALUE"""),142.03)</f>
        <v>142.03</v>
      </c>
      <c r="E82" s="1">
        <f>IFERROR(__xludf.DUMMYFUNCTION("""COMPUTED_VALUE"""),142.83)</f>
        <v>142.83</v>
      </c>
      <c r="F82" s="1">
        <f>IFERROR(__xludf.DUMMYFUNCTION("""COMPUTED_VALUE"""),7.4602044E7)</f>
        <v>74602044</v>
      </c>
    </row>
    <row r="83">
      <c r="A83" s="2">
        <f>IFERROR(__xludf.DUMMYFUNCTION("""COMPUTED_VALUE"""),44469.66666666667)</f>
        <v>44469.66667</v>
      </c>
      <c r="B83" s="1">
        <f>IFERROR(__xludf.DUMMYFUNCTION("""COMPUTED_VALUE"""),143.66)</f>
        <v>143.66</v>
      </c>
      <c r="C83" s="1">
        <f>IFERROR(__xludf.DUMMYFUNCTION("""COMPUTED_VALUE"""),144.38)</f>
        <v>144.38</v>
      </c>
      <c r="D83" s="1">
        <f>IFERROR(__xludf.DUMMYFUNCTION("""COMPUTED_VALUE"""),141.28)</f>
        <v>141.28</v>
      </c>
      <c r="E83" s="1">
        <f>IFERROR(__xludf.DUMMYFUNCTION("""COMPUTED_VALUE"""),141.5)</f>
        <v>141.5</v>
      </c>
      <c r="F83" s="1">
        <f>IFERROR(__xludf.DUMMYFUNCTION("""COMPUTED_VALUE"""),8.9056664E7)</f>
        <v>89056664</v>
      </c>
    </row>
    <row r="84">
      <c r="A84" s="2">
        <f>IFERROR(__xludf.DUMMYFUNCTION("""COMPUTED_VALUE"""),44470.66666666667)</f>
        <v>44470.66667</v>
      </c>
      <c r="B84" s="1">
        <f>IFERROR(__xludf.DUMMYFUNCTION("""COMPUTED_VALUE"""),141.9)</f>
        <v>141.9</v>
      </c>
      <c r="C84" s="1">
        <f>IFERROR(__xludf.DUMMYFUNCTION("""COMPUTED_VALUE"""),142.92)</f>
        <v>142.92</v>
      </c>
      <c r="D84" s="1">
        <f>IFERROR(__xludf.DUMMYFUNCTION("""COMPUTED_VALUE"""),139.11)</f>
        <v>139.11</v>
      </c>
      <c r="E84" s="1">
        <f>IFERROR(__xludf.DUMMYFUNCTION("""COMPUTED_VALUE"""),142.65)</f>
        <v>142.65</v>
      </c>
      <c r="F84" s="1">
        <f>IFERROR(__xludf.DUMMYFUNCTION("""COMPUTED_VALUE"""),9.4639581E7)</f>
        <v>94639581</v>
      </c>
    </row>
    <row r="85">
      <c r="A85" s="2">
        <f>IFERROR(__xludf.DUMMYFUNCTION("""COMPUTED_VALUE"""),44473.66666666667)</f>
        <v>44473.66667</v>
      </c>
      <c r="B85" s="1">
        <f>IFERROR(__xludf.DUMMYFUNCTION("""COMPUTED_VALUE"""),141.76)</f>
        <v>141.76</v>
      </c>
      <c r="C85" s="1">
        <f>IFERROR(__xludf.DUMMYFUNCTION("""COMPUTED_VALUE"""),142.21)</f>
        <v>142.21</v>
      </c>
      <c r="D85" s="1">
        <f>IFERROR(__xludf.DUMMYFUNCTION("""COMPUTED_VALUE"""),138.27)</f>
        <v>138.27</v>
      </c>
      <c r="E85" s="1">
        <f>IFERROR(__xludf.DUMMYFUNCTION("""COMPUTED_VALUE"""),139.14)</f>
        <v>139.14</v>
      </c>
      <c r="F85" s="1">
        <f>IFERROR(__xludf.DUMMYFUNCTION("""COMPUTED_VALUE"""),9.8322008E7)</f>
        <v>98322008</v>
      </c>
    </row>
    <row r="86">
      <c r="A86" s="2">
        <f>IFERROR(__xludf.DUMMYFUNCTION("""COMPUTED_VALUE"""),44474.66666666667)</f>
        <v>44474.66667</v>
      </c>
      <c r="B86" s="1">
        <f>IFERROR(__xludf.DUMMYFUNCTION("""COMPUTED_VALUE"""),139.49)</f>
        <v>139.49</v>
      </c>
      <c r="C86" s="1">
        <f>IFERROR(__xludf.DUMMYFUNCTION("""COMPUTED_VALUE"""),142.24)</f>
        <v>142.24</v>
      </c>
      <c r="D86" s="1">
        <f>IFERROR(__xludf.DUMMYFUNCTION("""COMPUTED_VALUE"""),139.36)</f>
        <v>139.36</v>
      </c>
      <c r="E86" s="1">
        <f>IFERROR(__xludf.DUMMYFUNCTION("""COMPUTED_VALUE"""),141.11)</f>
        <v>141.11</v>
      </c>
      <c r="F86" s="1">
        <f>IFERROR(__xludf.DUMMYFUNCTION("""COMPUTED_VALUE"""),8.0861062E7)</f>
        <v>80861062</v>
      </c>
    </row>
    <row r="87">
      <c r="A87" s="2">
        <f>IFERROR(__xludf.DUMMYFUNCTION("""COMPUTED_VALUE"""),44475.66666666667)</f>
        <v>44475.66667</v>
      </c>
      <c r="B87" s="1">
        <f>IFERROR(__xludf.DUMMYFUNCTION("""COMPUTED_VALUE"""),139.47)</f>
        <v>139.47</v>
      </c>
      <c r="C87" s="1">
        <f>IFERROR(__xludf.DUMMYFUNCTION("""COMPUTED_VALUE"""),142.15)</f>
        <v>142.15</v>
      </c>
      <c r="D87" s="1">
        <f>IFERROR(__xludf.DUMMYFUNCTION("""COMPUTED_VALUE"""),138.37)</f>
        <v>138.37</v>
      </c>
      <c r="E87" s="1">
        <f>IFERROR(__xludf.DUMMYFUNCTION("""COMPUTED_VALUE"""),142.0)</f>
        <v>142</v>
      </c>
      <c r="F87" s="1">
        <f>IFERROR(__xludf.DUMMYFUNCTION("""COMPUTED_VALUE"""),8.3221119E7)</f>
        <v>83221119</v>
      </c>
    </row>
    <row r="88">
      <c r="A88" s="2">
        <f>IFERROR(__xludf.DUMMYFUNCTION("""COMPUTED_VALUE"""),44476.66666666667)</f>
        <v>44476.66667</v>
      </c>
      <c r="B88" s="1">
        <f>IFERROR(__xludf.DUMMYFUNCTION("""COMPUTED_VALUE"""),143.06)</f>
        <v>143.06</v>
      </c>
      <c r="C88" s="1">
        <f>IFERROR(__xludf.DUMMYFUNCTION("""COMPUTED_VALUE"""),144.22)</f>
        <v>144.22</v>
      </c>
      <c r="D88" s="1">
        <f>IFERROR(__xludf.DUMMYFUNCTION("""COMPUTED_VALUE"""),142.72)</f>
        <v>142.72</v>
      </c>
      <c r="E88" s="1">
        <f>IFERROR(__xludf.DUMMYFUNCTION("""COMPUTED_VALUE"""),143.29)</f>
        <v>143.29</v>
      </c>
      <c r="F88" s="1">
        <f>IFERROR(__xludf.DUMMYFUNCTION("""COMPUTED_VALUE"""),6.1732656E7)</f>
        <v>61732656</v>
      </c>
    </row>
    <row r="89">
      <c r="A89" s="2">
        <f>IFERROR(__xludf.DUMMYFUNCTION("""COMPUTED_VALUE"""),44477.66666666667)</f>
        <v>44477.66667</v>
      </c>
      <c r="B89" s="1">
        <f>IFERROR(__xludf.DUMMYFUNCTION("""COMPUTED_VALUE"""),144.03)</f>
        <v>144.03</v>
      </c>
      <c r="C89" s="1">
        <f>IFERROR(__xludf.DUMMYFUNCTION("""COMPUTED_VALUE"""),144.18)</f>
        <v>144.18</v>
      </c>
      <c r="D89" s="1">
        <f>IFERROR(__xludf.DUMMYFUNCTION("""COMPUTED_VALUE"""),142.56)</f>
        <v>142.56</v>
      </c>
      <c r="E89" s="1">
        <f>IFERROR(__xludf.DUMMYFUNCTION("""COMPUTED_VALUE"""),142.9)</f>
        <v>142.9</v>
      </c>
      <c r="F89" s="1">
        <f>IFERROR(__xludf.DUMMYFUNCTION("""COMPUTED_VALUE"""),5.8773155E7)</f>
        <v>58773155</v>
      </c>
    </row>
    <row r="90">
      <c r="A90" s="2">
        <f>IFERROR(__xludf.DUMMYFUNCTION("""COMPUTED_VALUE"""),44480.66666666667)</f>
        <v>44480.66667</v>
      </c>
      <c r="B90" s="1">
        <f>IFERROR(__xludf.DUMMYFUNCTION("""COMPUTED_VALUE"""),142.27)</f>
        <v>142.27</v>
      </c>
      <c r="C90" s="1">
        <f>IFERROR(__xludf.DUMMYFUNCTION("""COMPUTED_VALUE"""),144.81)</f>
        <v>144.81</v>
      </c>
      <c r="D90" s="1">
        <f>IFERROR(__xludf.DUMMYFUNCTION("""COMPUTED_VALUE"""),141.81)</f>
        <v>141.81</v>
      </c>
      <c r="E90" s="1">
        <f>IFERROR(__xludf.DUMMYFUNCTION("""COMPUTED_VALUE"""),142.81)</f>
        <v>142.81</v>
      </c>
      <c r="F90" s="1">
        <f>IFERROR(__xludf.DUMMYFUNCTION("""COMPUTED_VALUE"""),6.4452219E7)</f>
        <v>64452219</v>
      </c>
    </row>
    <row r="91">
      <c r="A91" s="2">
        <f>IFERROR(__xludf.DUMMYFUNCTION("""COMPUTED_VALUE"""),44481.66666666667)</f>
        <v>44481.66667</v>
      </c>
      <c r="B91" s="1">
        <f>IFERROR(__xludf.DUMMYFUNCTION("""COMPUTED_VALUE"""),143.23)</f>
        <v>143.23</v>
      </c>
      <c r="C91" s="1">
        <f>IFERROR(__xludf.DUMMYFUNCTION("""COMPUTED_VALUE"""),143.25)</f>
        <v>143.25</v>
      </c>
      <c r="D91" s="1">
        <f>IFERROR(__xludf.DUMMYFUNCTION("""COMPUTED_VALUE"""),141.04)</f>
        <v>141.04</v>
      </c>
      <c r="E91" s="1">
        <f>IFERROR(__xludf.DUMMYFUNCTION("""COMPUTED_VALUE"""),141.51)</f>
        <v>141.51</v>
      </c>
      <c r="F91" s="1">
        <f>IFERROR(__xludf.DUMMYFUNCTION("""COMPUTED_VALUE"""),7.3035859E7)</f>
        <v>73035859</v>
      </c>
    </row>
    <row r="92">
      <c r="A92" s="2">
        <f>IFERROR(__xludf.DUMMYFUNCTION("""COMPUTED_VALUE"""),44482.66666666667)</f>
        <v>44482.66667</v>
      </c>
      <c r="B92" s="1">
        <f>IFERROR(__xludf.DUMMYFUNCTION("""COMPUTED_VALUE"""),141.24)</f>
        <v>141.24</v>
      </c>
      <c r="C92" s="1">
        <f>IFERROR(__xludf.DUMMYFUNCTION("""COMPUTED_VALUE"""),141.4)</f>
        <v>141.4</v>
      </c>
      <c r="D92" s="1">
        <f>IFERROR(__xludf.DUMMYFUNCTION("""COMPUTED_VALUE"""),139.2)</f>
        <v>139.2</v>
      </c>
      <c r="E92" s="1">
        <f>IFERROR(__xludf.DUMMYFUNCTION("""COMPUTED_VALUE"""),140.91)</f>
        <v>140.91</v>
      </c>
      <c r="F92" s="1">
        <f>IFERROR(__xludf.DUMMYFUNCTION("""COMPUTED_VALUE"""),7.8762721E7)</f>
        <v>78762721</v>
      </c>
    </row>
    <row r="93">
      <c r="A93" s="2">
        <f>IFERROR(__xludf.DUMMYFUNCTION("""COMPUTED_VALUE"""),44483.66666666667)</f>
        <v>44483.66667</v>
      </c>
      <c r="B93" s="1">
        <f>IFERROR(__xludf.DUMMYFUNCTION("""COMPUTED_VALUE"""),142.11)</f>
        <v>142.11</v>
      </c>
      <c r="C93" s="1">
        <f>IFERROR(__xludf.DUMMYFUNCTION("""COMPUTED_VALUE"""),143.88)</f>
        <v>143.88</v>
      </c>
      <c r="D93" s="1">
        <f>IFERROR(__xludf.DUMMYFUNCTION("""COMPUTED_VALUE"""),141.51)</f>
        <v>141.51</v>
      </c>
      <c r="E93" s="1">
        <f>IFERROR(__xludf.DUMMYFUNCTION("""COMPUTED_VALUE"""),143.76)</f>
        <v>143.76</v>
      </c>
      <c r="F93" s="1">
        <f>IFERROR(__xludf.DUMMYFUNCTION("""COMPUTED_VALUE"""),6.99071E7)</f>
        <v>69907100</v>
      </c>
    </row>
    <row r="94">
      <c r="A94" s="2">
        <f>IFERROR(__xludf.DUMMYFUNCTION("""COMPUTED_VALUE"""),44484.66666666667)</f>
        <v>44484.66667</v>
      </c>
      <c r="B94" s="1">
        <f>IFERROR(__xludf.DUMMYFUNCTION("""COMPUTED_VALUE"""),143.77)</f>
        <v>143.77</v>
      </c>
      <c r="C94" s="1">
        <f>IFERROR(__xludf.DUMMYFUNCTION("""COMPUTED_VALUE"""),144.9)</f>
        <v>144.9</v>
      </c>
      <c r="D94" s="1">
        <f>IFERROR(__xludf.DUMMYFUNCTION("""COMPUTED_VALUE"""),143.51)</f>
        <v>143.51</v>
      </c>
      <c r="E94" s="1">
        <f>IFERROR(__xludf.DUMMYFUNCTION("""COMPUTED_VALUE"""),144.84)</f>
        <v>144.84</v>
      </c>
      <c r="F94" s="1">
        <f>IFERROR(__xludf.DUMMYFUNCTION("""COMPUTED_VALUE"""),6.7940334E7)</f>
        <v>67940334</v>
      </c>
    </row>
    <row r="95">
      <c r="A95" s="2">
        <f>IFERROR(__xludf.DUMMYFUNCTION("""COMPUTED_VALUE"""),44487.66666666667)</f>
        <v>44487.66667</v>
      </c>
      <c r="B95" s="1">
        <f>IFERROR(__xludf.DUMMYFUNCTION("""COMPUTED_VALUE"""),143.45)</f>
        <v>143.45</v>
      </c>
      <c r="C95" s="1">
        <f>IFERROR(__xludf.DUMMYFUNCTION("""COMPUTED_VALUE"""),146.84)</f>
        <v>146.84</v>
      </c>
      <c r="D95" s="1">
        <f>IFERROR(__xludf.DUMMYFUNCTION("""COMPUTED_VALUE"""),143.16)</f>
        <v>143.16</v>
      </c>
      <c r="E95" s="1">
        <f>IFERROR(__xludf.DUMMYFUNCTION("""COMPUTED_VALUE"""),146.55)</f>
        <v>146.55</v>
      </c>
      <c r="F95" s="1">
        <f>IFERROR(__xludf.DUMMYFUNCTION("""COMPUTED_VALUE"""),8.5589175E7)</f>
        <v>85589175</v>
      </c>
    </row>
    <row r="96">
      <c r="A96" s="2">
        <f>IFERROR(__xludf.DUMMYFUNCTION("""COMPUTED_VALUE"""),44488.66666666667)</f>
        <v>44488.66667</v>
      </c>
      <c r="B96" s="1">
        <f>IFERROR(__xludf.DUMMYFUNCTION("""COMPUTED_VALUE"""),147.01)</f>
        <v>147.01</v>
      </c>
      <c r="C96" s="1">
        <f>IFERROR(__xludf.DUMMYFUNCTION("""COMPUTED_VALUE"""),149.17)</f>
        <v>149.17</v>
      </c>
      <c r="D96" s="1">
        <f>IFERROR(__xludf.DUMMYFUNCTION("""COMPUTED_VALUE"""),146.55)</f>
        <v>146.55</v>
      </c>
      <c r="E96" s="1">
        <f>IFERROR(__xludf.DUMMYFUNCTION("""COMPUTED_VALUE"""),148.76)</f>
        <v>148.76</v>
      </c>
      <c r="F96" s="1">
        <f>IFERROR(__xludf.DUMMYFUNCTION("""COMPUTED_VALUE"""),7.6378894E7)</f>
        <v>76378894</v>
      </c>
    </row>
    <row r="97">
      <c r="A97" s="2">
        <f>IFERROR(__xludf.DUMMYFUNCTION("""COMPUTED_VALUE"""),44489.66666666667)</f>
        <v>44489.66667</v>
      </c>
      <c r="B97" s="1">
        <f>IFERROR(__xludf.DUMMYFUNCTION("""COMPUTED_VALUE"""),148.7)</f>
        <v>148.7</v>
      </c>
      <c r="C97" s="1">
        <f>IFERROR(__xludf.DUMMYFUNCTION("""COMPUTED_VALUE"""),149.75)</f>
        <v>149.75</v>
      </c>
      <c r="D97" s="1">
        <f>IFERROR(__xludf.DUMMYFUNCTION("""COMPUTED_VALUE"""),148.12)</f>
        <v>148.12</v>
      </c>
      <c r="E97" s="1">
        <f>IFERROR(__xludf.DUMMYFUNCTION("""COMPUTED_VALUE"""),149.26)</f>
        <v>149.26</v>
      </c>
      <c r="F97" s="1">
        <f>IFERROR(__xludf.DUMMYFUNCTION("""COMPUTED_VALUE"""),5.8418788E7)</f>
        <v>58418788</v>
      </c>
    </row>
    <row r="98">
      <c r="A98" s="2">
        <f>IFERROR(__xludf.DUMMYFUNCTION("""COMPUTED_VALUE"""),44490.66666666667)</f>
        <v>44490.66667</v>
      </c>
      <c r="B98" s="1">
        <f>IFERROR(__xludf.DUMMYFUNCTION("""COMPUTED_VALUE"""),148.81)</f>
        <v>148.81</v>
      </c>
      <c r="C98" s="1">
        <f>IFERROR(__xludf.DUMMYFUNCTION("""COMPUTED_VALUE"""),149.64)</f>
        <v>149.64</v>
      </c>
      <c r="D98" s="1">
        <f>IFERROR(__xludf.DUMMYFUNCTION("""COMPUTED_VALUE"""),147.87)</f>
        <v>147.87</v>
      </c>
      <c r="E98" s="1">
        <f>IFERROR(__xludf.DUMMYFUNCTION("""COMPUTED_VALUE"""),149.48)</f>
        <v>149.48</v>
      </c>
      <c r="F98" s="1">
        <f>IFERROR(__xludf.DUMMYFUNCTION("""COMPUTED_VALUE"""),6.142099E7)</f>
        <v>61420990</v>
      </c>
    </row>
    <row r="99">
      <c r="A99" s="2">
        <f>IFERROR(__xludf.DUMMYFUNCTION("""COMPUTED_VALUE"""),44491.66666666667)</f>
        <v>44491.66667</v>
      </c>
      <c r="B99" s="1">
        <f>IFERROR(__xludf.DUMMYFUNCTION("""COMPUTED_VALUE"""),149.69)</f>
        <v>149.69</v>
      </c>
      <c r="C99" s="1">
        <f>IFERROR(__xludf.DUMMYFUNCTION("""COMPUTED_VALUE"""),150.18)</f>
        <v>150.18</v>
      </c>
      <c r="D99" s="1">
        <f>IFERROR(__xludf.DUMMYFUNCTION("""COMPUTED_VALUE"""),148.64)</f>
        <v>148.64</v>
      </c>
      <c r="E99" s="1">
        <f>IFERROR(__xludf.DUMMYFUNCTION("""COMPUTED_VALUE"""),148.69)</f>
        <v>148.69</v>
      </c>
      <c r="F99" s="1">
        <f>IFERROR(__xludf.DUMMYFUNCTION("""COMPUTED_VALUE"""),5.8883443E7)</f>
        <v>58883443</v>
      </c>
    </row>
    <row r="100">
      <c r="A100" s="2">
        <f>IFERROR(__xludf.DUMMYFUNCTION("""COMPUTED_VALUE"""),44494.66666666667)</f>
        <v>44494.66667</v>
      </c>
      <c r="B100" s="1">
        <f>IFERROR(__xludf.DUMMYFUNCTION("""COMPUTED_VALUE"""),148.68)</f>
        <v>148.68</v>
      </c>
      <c r="C100" s="1">
        <f>IFERROR(__xludf.DUMMYFUNCTION("""COMPUTED_VALUE"""),149.37)</f>
        <v>149.37</v>
      </c>
      <c r="D100" s="1">
        <f>IFERROR(__xludf.DUMMYFUNCTION("""COMPUTED_VALUE"""),147.62)</f>
        <v>147.62</v>
      </c>
      <c r="E100" s="1">
        <f>IFERROR(__xludf.DUMMYFUNCTION("""COMPUTED_VALUE"""),148.64)</f>
        <v>148.64</v>
      </c>
      <c r="F100" s="1">
        <f>IFERROR(__xludf.DUMMYFUNCTION("""COMPUTED_VALUE"""),5.0720556E7)</f>
        <v>50720556</v>
      </c>
    </row>
    <row r="101">
      <c r="A101" s="2">
        <f>IFERROR(__xludf.DUMMYFUNCTION("""COMPUTED_VALUE"""),44495.66666666667)</f>
        <v>44495.66667</v>
      </c>
      <c r="B101" s="1">
        <f>IFERROR(__xludf.DUMMYFUNCTION("""COMPUTED_VALUE"""),149.33)</f>
        <v>149.33</v>
      </c>
      <c r="C101" s="1">
        <f>IFERROR(__xludf.DUMMYFUNCTION("""COMPUTED_VALUE"""),150.84)</f>
        <v>150.84</v>
      </c>
      <c r="D101" s="1">
        <f>IFERROR(__xludf.DUMMYFUNCTION("""COMPUTED_VALUE"""),149.01)</f>
        <v>149.01</v>
      </c>
      <c r="E101" s="1">
        <f>IFERROR(__xludf.DUMMYFUNCTION("""COMPUTED_VALUE"""),149.32)</f>
        <v>149.32</v>
      </c>
      <c r="F101" s="1">
        <f>IFERROR(__xludf.DUMMYFUNCTION("""COMPUTED_VALUE"""),6.0893395E7)</f>
        <v>60893395</v>
      </c>
    </row>
    <row r="102">
      <c r="A102" s="2">
        <f>IFERROR(__xludf.DUMMYFUNCTION("""COMPUTED_VALUE"""),44496.66666666667)</f>
        <v>44496.66667</v>
      </c>
      <c r="B102" s="1">
        <f>IFERROR(__xludf.DUMMYFUNCTION("""COMPUTED_VALUE"""),149.36)</f>
        <v>149.36</v>
      </c>
      <c r="C102" s="1">
        <f>IFERROR(__xludf.DUMMYFUNCTION("""COMPUTED_VALUE"""),149.73)</f>
        <v>149.73</v>
      </c>
      <c r="D102" s="1">
        <f>IFERROR(__xludf.DUMMYFUNCTION("""COMPUTED_VALUE"""),148.49)</f>
        <v>148.49</v>
      </c>
      <c r="E102" s="1">
        <f>IFERROR(__xludf.DUMMYFUNCTION("""COMPUTED_VALUE"""),148.85)</f>
        <v>148.85</v>
      </c>
      <c r="F102" s="1">
        <f>IFERROR(__xludf.DUMMYFUNCTION("""COMPUTED_VALUE"""),5.6094929E7)</f>
        <v>56094929</v>
      </c>
    </row>
    <row r="103">
      <c r="A103" s="2">
        <f>IFERROR(__xludf.DUMMYFUNCTION("""COMPUTED_VALUE"""),44497.66666666667)</f>
        <v>44497.66667</v>
      </c>
      <c r="B103" s="1">
        <f>IFERROR(__xludf.DUMMYFUNCTION("""COMPUTED_VALUE"""),149.82)</f>
        <v>149.82</v>
      </c>
      <c r="C103" s="1">
        <f>IFERROR(__xludf.DUMMYFUNCTION("""COMPUTED_VALUE"""),153.17)</f>
        <v>153.17</v>
      </c>
      <c r="D103" s="1">
        <f>IFERROR(__xludf.DUMMYFUNCTION("""COMPUTED_VALUE"""),149.72)</f>
        <v>149.72</v>
      </c>
      <c r="E103" s="1">
        <f>IFERROR(__xludf.DUMMYFUNCTION("""COMPUTED_VALUE"""),152.57)</f>
        <v>152.57</v>
      </c>
      <c r="F103" s="1">
        <f>IFERROR(__xludf.DUMMYFUNCTION("""COMPUTED_VALUE"""),1.00077888E8)</f>
        <v>100077888</v>
      </c>
    </row>
    <row r="104">
      <c r="A104" s="2">
        <f>IFERROR(__xludf.DUMMYFUNCTION("""COMPUTED_VALUE"""),44498.66666666667)</f>
        <v>44498.66667</v>
      </c>
      <c r="B104" s="1">
        <f>IFERROR(__xludf.DUMMYFUNCTION("""COMPUTED_VALUE"""),147.22)</f>
        <v>147.22</v>
      </c>
      <c r="C104" s="1">
        <f>IFERROR(__xludf.DUMMYFUNCTION("""COMPUTED_VALUE"""),149.94)</f>
        <v>149.94</v>
      </c>
      <c r="D104" s="1">
        <f>IFERROR(__xludf.DUMMYFUNCTION("""COMPUTED_VALUE"""),146.41)</f>
        <v>146.41</v>
      </c>
      <c r="E104" s="1">
        <f>IFERROR(__xludf.DUMMYFUNCTION("""COMPUTED_VALUE"""),149.8)</f>
        <v>149.8</v>
      </c>
      <c r="F104" s="1">
        <f>IFERROR(__xludf.DUMMYFUNCTION("""COMPUTED_VALUE"""),1.24953168E8)</f>
        <v>124953168</v>
      </c>
    </row>
    <row r="105">
      <c r="A105" s="2">
        <f>IFERROR(__xludf.DUMMYFUNCTION("""COMPUTED_VALUE"""),44501.66666666667)</f>
        <v>44501.66667</v>
      </c>
      <c r="B105" s="1">
        <f>IFERROR(__xludf.DUMMYFUNCTION("""COMPUTED_VALUE"""),148.99)</f>
        <v>148.99</v>
      </c>
      <c r="C105" s="1">
        <f>IFERROR(__xludf.DUMMYFUNCTION("""COMPUTED_VALUE"""),149.7)</f>
        <v>149.7</v>
      </c>
      <c r="D105" s="1">
        <f>IFERROR(__xludf.DUMMYFUNCTION("""COMPUTED_VALUE"""),147.8)</f>
        <v>147.8</v>
      </c>
      <c r="E105" s="1">
        <f>IFERROR(__xludf.DUMMYFUNCTION("""COMPUTED_VALUE"""),148.96)</f>
        <v>148.96</v>
      </c>
      <c r="F105" s="1">
        <f>IFERROR(__xludf.DUMMYFUNCTION("""COMPUTED_VALUE"""),7.4588258E7)</f>
        <v>74588258</v>
      </c>
    </row>
    <row r="106">
      <c r="A106" s="2">
        <f>IFERROR(__xludf.DUMMYFUNCTION("""COMPUTED_VALUE"""),44502.66666666667)</f>
        <v>44502.66667</v>
      </c>
      <c r="B106" s="1">
        <f>IFERROR(__xludf.DUMMYFUNCTION("""COMPUTED_VALUE"""),148.66)</f>
        <v>148.66</v>
      </c>
      <c r="C106" s="1">
        <f>IFERROR(__xludf.DUMMYFUNCTION("""COMPUTED_VALUE"""),151.57)</f>
        <v>151.57</v>
      </c>
      <c r="D106" s="1">
        <f>IFERROR(__xludf.DUMMYFUNCTION("""COMPUTED_VALUE"""),148.65)</f>
        <v>148.65</v>
      </c>
      <c r="E106" s="1">
        <f>IFERROR(__xludf.DUMMYFUNCTION("""COMPUTED_VALUE"""),150.02)</f>
        <v>150.02</v>
      </c>
      <c r="F106" s="1">
        <f>IFERROR(__xludf.DUMMYFUNCTION("""COMPUTED_VALUE"""),6.9121987E7)</f>
        <v>69121987</v>
      </c>
    </row>
    <row r="107">
      <c r="A107" s="2">
        <f>IFERROR(__xludf.DUMMYFUNCTION("""COMPUTED_VALUE"""),44503.66666666667)</f>
        <v>44503.66667</v>
      </c>
      <c r="B107" s="1">
        <f>IFERROR(__xludf.DUMMYFUNCTION("""COMPUTED_VALUE"""),150.39)</f>
        <v>150.39</v>
      </c>
      <c r="C107" s="1">
        <f>IFERROR(__xludf.DUMMYFUNCTION("""COMPUTED_VALUE"""),151.97)</f>
        <v>151.97</v>
      </c>
      <c r="D107" s="1">
        <f>IFERROR(__xludf.DUMMYFUNCTION("""COMPUTED_VALUE"""),149.82)</f>
        <v>149.82</v>
      </c>
      <c r="E107" s="1">
        <f>IFERROR(__xludf.DUMMYFUNCTION("""COMPUTED_VALUE"""),151.49)</f>
        <v>151.49</v>
      </c>
      <c r="F107" s="1">
        <f>IFERROR(__xludf.DUMMYFUNCTION("""COMPUTED_VALUE"""),5.4511534E7)</f>
        <v>54511534</v>
      </c>
    </row>
    <row r="108">
      <c r="A108" s="2">
        <f>IFERROR(__xludf.DUMMYFUNCTION("""COMPUTED_VALUE"""),44504.66666666667)</f>
        <v>44504.66667</v>
      </c>
      <c r="B108" s="1">
        <f>IFERROR(__xludf.DUMMYFUNCTION("""COMPUTED_VALUE"""),151.58)</f>
        <v>151.58</v>
      </c>
      <c r="C108" s="1">
        <f>IFERROR(__xludf.DUMMYFUNCTION("""COMPUTED_VALUE"""),152.43)</f>
        <v>152.43</v>
      </c>
      <c r="D108" s="1">
        <f>IFERROR(__xludf.DUMMYFUNCTION("""COMPUTED_VALUE"""),150.64)</f>
        <v>150.64</v>
      </c>
      <c r="E108" s="1">
        <f>IFERROR(__xludf.DUMMYFUNCTION("""COMPUTED_VALUE"""),150.96)</f>
        <v>150.96</v>
      </c>
      <c r="F108" s="1">
        <f>IFERROR(__xludf.DUMMYFUNCTION("""COMPUTED_VALUE"""),6.0394616E7)</f>
        <v>60394616</v>
      </c>
    </row>
    <row r="109">
      <c r="A109" s="2">
        <f>IFERROR(__xludf.DUMMYFUNCTION("""COMPUTED_VALUE"""),44505.66666666667)</f>
        <v>44505.66667</v>
      </c>
      <c r="B109" s="1">
        <f>IFERROR(__xludf.DUMMYFUNCTION("""COMPUTED_VALUE"""),151.89)</f>
        <v>151.89</v>
      </c>
      <c r="C109" s="1">
        <f>IFERROR(__xludf.DUMMYFUNCTION("""COMPUTED_VALUE"""),152.2)</f>
        <v>152.2</v>
      </c>
      <c r="D109" s="1">
        <f>IFERROR(__xludf.DUMMYFUNCTION("""COMPUTED_VALUE"""),150.06)</f>
        <v>150.06</v>
      </c>
      <c r="E109" s="1">
        <f>IFERROR(__xludf.DUMMYFUNCTION("""COMPUTED_VALUE"""),151.28)</f>
        <v>151.28</v>
      </c>
      <c r="F109" s="1">
        <f>IFERROR(__xludf.DUMMYFUNCTION("""COMPUTED_VALUE"""),6.5463883E7)</f>
        <v>65463883</v>
      </c>
    </row>
    <row r="110">
      <c r="A110" s="2">
        <f>IFERROR(__xludf.DUMMYFUNCTION("""COMPUTED_VALUE"""),44508.66666666667)</f>
        <v>44508.66667</v>
      </c>
      <c r="B110" s="1">
        <f>IFERROR(__xludf.DUMMYFUNCTION("""COMPUTED_VALUE"""),151.41)</f>
        <v>151.41</v>
      </c>
      <c r="C110" s="1">
        <f>IFERROR(__xludf.DUMMYFUNCTION("""COMPUTED_VALUE"""),151.57)</f>
        <v>151.57</v>
      </c>
      <c r="D110" s="1">
        <f>IFERROR(__xludf.DUMMYFUNCTION("""COMPUTED_VALUE"""),150.16)</f>
        <v>150.16</v>
      </c>
      <c r="E110" s="1">
        <f>IFERROR(__xludf.DUMMYFUNCTION("""COMPUTED_VALUE"""),150.44)</f>
        <v>150.44</v>
      </c>
      <c r="F110" s="1">
        <f>IFERROR(__xludf.DUMMYFUNCTION("""COMPUTED_VALUE"""),5.5020868E7)</f>
        <v>55020868</v>
      </c>
    </row>
    <row r="111">
      <c r="A111" s="2">
        <f>IFERROR(__xludf.DUMMYFUNCTION("""COMPUTED_VALUE"""),44509.66666666667)</f>
        <v>44509.66667</v>
      </c>
      <c r="B111" s="1">
        <f>IFERROR(__xludf.DUMMYFUNCTION("""COMPUTED_VALUE"""),150.2)</f>
        <v>150.2</v>
      </c>
      <c r="C111" s="1">
        <f>IFERROR(__xludf.DUMMYFUNCTION("""COMPUTED_VALUE"""),151.43)</f>
        <v>151.43</v>
      </c>
      <c r="D111" s="1">
        <f>IFERROR(__xludf.DUMMYFUNCTION("""COMPUTED_VALUE"""),150.06)</f>
        <v>150.06</v>
      </c>
      <c r="E111" s="1">
        <f>IFERROR(__xludf.DUMMYFUNCTION("""COMPUTED_VALUE"""),150.81)</f>
        <v>150.81</v>
      </c>
      <c r="F111" s="1">
        <f>IFERROR(__xludf.DUMMYFUNCTION("""COMPUTED_VALUE"""),5.678793E7)</f>
        <v>56787930</v>
      </c>
    </row>
    <row r="112">
      <c r="A112" s="2">
        <f>IFERROR(__xludf.DUMMYFUNCTION("""COMPUTED_VALUE"""),44510.66666666667)</f>
        <v>44510.66667</v>
      </c>
      <c r="B112" s="1">
        <f>IFERROR(__xludf.DUMMYFUNCTION("""COMPUTED_VALUE"""),150.02)</f>
        <v>150.02</v>
      </c>
      <c r="C112" s="1">
        <f>IFERROR(__xludf.DUMMYFUNCTION("""COMPUTED_VALUE"""),150.13)</f>
        <v>150.13</v>
      </c>
      <c r="D112" s="1">
        <f>IFERROR(__xludf.DUMMYFUNCTION("""COMPUTED_VALUE"""),147.85)</f>
        <v>147.85</v>
      </c>
      <c r="E112" s="1">
        <f>IFERROR(__xludf.DUMMYFUNCTION("""COMPUTED_VALUE"""),147.92)</f>
        <v>147.92</v>
      </c>
      <c r="F112" s="1">
        <f>IFERROR(__xludf.DUMMYFUNCTION("""COMPUTED_VALUE"""),6.5187092E7)</f>
        <v>65187092</v>
      </c>
    </row>
    <row r="113">
      <c r="A113" s="2">
        <f>IFERROR(__xludf.DUMMYFUNCTION("""COMPUTED_VALUE"""),44511.66666666667)</f>
        <v>44511.66667</v>
      </c>
      <c r="B113" s="1">
        <f>IFERROR(__xludf.DUMMYFUNCTION("""COMPUTED_VALUE"""),148.96)</f>
        <v>148.96</v>
      </c>
      <c r="C113" s="1">
        <f>IFERROR(__xludf.DUMMYFUNCTION("""COMPUTED_VALUE"""),149.43)</f>
        <v>149.43</v>
      </c>
      <c r="D113" s="1">
        <f>IFERROR(__xludf.DUMMYFUNCTION("""COMPUTED_VALUE"""),147.68)</f>
        <v>147.68</v>
      </c>
      <c r="E113" s="1">
        <f>IFERROR(__xludf.DUMMYFUNCTION("""COMPUTED_VALUE"""),147.87)</f>
        <v>147.87</v>
      </c>
      <c r="F113" s="1">
        <f>IFERROR(__xludf.DUMMYFUNCTION("""COMPUTED_VALUE"""),4.099995E7)</f>
        <v>40999950</v>
      </c>
    </row>
    <row r="114">
      <c r="A114" s="2">
        <f>IFERROR(__xludf.DUMMYFUNCTION("""COMPUTED_VALUE"""),44512.66666666667)</f>
        <v>44512.66667</v>
      </c>
      <c r="B114" s="1">
        <f>IFERROR(__xludf.DUMMYFUNCTION("""COMPUTED_VALUE"""),148.43)</f>
        <v>148.43</v>
      </c>
      <c r="C114" s="1">
        <f>IFERROR(__xludf.DUMMYFUNCTION("""COMPUTED_VALUE"""),150.4)</f>
        <v>150.4</v>
      </c>
      <c r="D114" s="1">
        <f>IFERROR(__xludf.DUMMYFUNCTION("""COMPUTED_VALUE"""),147.48)</f>
        <v>147.48</v>
      </c>
      <c r="E114" s="1">
        <f>IFERROR(__xludf.DUMMYFUNCTION("""COMPUTED_VALUE"""),149.99)</f>
        <v>149.99</v>
      </c>
      <c r="F114" s="1">
        <f>IFERROR(__xludf.DUMMYFUNCTION("""COMPUTED_VALUE"""),6.3804008E7)</f>
        <v>63804008</v>
      </c>
    </row>
    <row r="115">
      <c r="A115" s="2">
        <f>IFERROR(__xludf.DUMMYFUNCTION("""COMPUTED_VALUE"""),44515.66666666667)</f>
        <v>44515.66667</v>
      </c>
      <c r="B115" s="1">
        <f>IFERROR(__xludf.DUMMYFUNCTION("""COMPUTED_VALUE"""),150.37)</f>
        <v>150.37</v>
      </c>
      <c r="C115" s="1">
        <f>IFERROR(__xludf.DUMMYFUNCTION("""COMPUTED_VALUE"""),151.88)</f>
        <v>151.88</v>
      </c>
      <c r="D115" s="1">
        <f>IFERROR(__xludf.DUMMYFUNCTION("""COMPUTED_VALUE"""),149.43)</f>
        <v>149.43</v>
      </c>
      <c r="E115" s="1">
        <f>IFERROR(__xludf.DUMMYFUNCTION("""COMPUTED_VALUE"""),150.0)</f>
        <v>150</v>
      </c>
      <c r="F115" s="1">
        <f>IFERROR(__xludf.DUMMYFUNCTION("""COMPUTED_VALUE"""),5.9222803E7)</f>
        <v>59222803</v>
      </c>
    </row>
    <row r="116">
      <c r="A116" s="2">
        <f>IFERROR(__xludf.DUMMYFUNCTION("""COMPUTED_VALUE"""),44516.66666666667)</f>
        <v>44516.66667</v>
      </c>
      <c r="B116" s="1">
        <f>IFERROR(__xludf.DUMMYFUNCTION("""COMPUTED_VALUE"""),149.94)</f>
        <v>149.94</v>
      </c>
      <c r="C116" s="1">
        <f>IFERROR(__xludf.DUMMYFUNCTION("""COMPUTED_VALUE"""),151.49)</f>
        <v>151.49</v>
      </c>
      <c r="D116" s="1">
        <f>IFERROR(__xludf.DUMMYFUNCTION("""COMPUTED_VALUE"""),149.34)</f>
        <v>149.34</v>
      </c>
      <c r="E116" s="1">
        <f>IFERROR(__xludf.DUMMYFUNCTION("""COMPUTED_VALUE"""),151.0)</f>
        <v>151</v>
      </c>
      <c r="F116" s="1">
        <f>IFERROR(__xludf.DUMMYFUNCTION("""COMPUTED_VALUE"""),5.925621E7)</f>
        <v>59256210</v>
      </c>
    </row>
    <row r="117">
      <c r="A117" s="2">
        <f>IFERROR(__xludf.DUMMYFUNCTION("""COMPUTED_VALUE"""),44517.66666666667)</f>
        <v>44517.66667</v>
      </c>
      <c r="B117" s="1">
        <f>IFERROR(__xludf.DUMMYFUNCTION("""COMPUTED_VALUE"""),151.0)</f>
        <v>151</v>
      </c>
      <c r="C117" s="1">
        <f>IFERROR(__xludf.DUMMYFUNCTION("""COMPUTED_VALUE"""),155.0)</f>
        <v>155</v>
      </c>
      <c r="D117" s="1">
        <f>IFERROR(__xludf.DUMMYFUNCTION("""COMPUTED_VALUE"""),150.99)</f>
        <v>150.99</v>
      </c>
      <c r="E117" s="1">
        <f>IFERROR(__xludf.DUMMYFUNCTION("""COMPUTED_VALUE"""),153.49)</f>
        <v>153.49</v>
      </c>
      <c r="F117" s="1">
        <f>IFERROR(__xludf.DUMMYFUNCTION("""COMPUTED_VALUE"""),8.8807E7)</f>
        <v>88807000</v>
      </c>
    </row>
    <row r="118">
      <c r="A118" s="2">
        <f>IFERROR(__xludf.DUMMYFUNCTION("""COMPUTED_VALUE"""),44518.66666666667)</f>
        <v>44518.66667</v>
      </c>
      <c r="B118" s="1">
        <f>IFERROR(__xludf.DUMMYFUNCTION("""COMPUTED_VALUE"""),153.71)</f>
        <v>153.71</v>
      </c>
      <c r="C118" s="1">
        <f>IFERROR(__xludf.DUMMYFUNCTION("""COMPUTED_VALUE"""),158.67)</f>
        <v>158.67</v>
      </c>
      <c r="D118" s="1">
        <f>IFERROR(__xludf.DUMMYFUNCTION("""COMPUTED_VALUE"""),153.05)</f>
        <v>153.05</v>
      </c>
      <c r="E118" s="1">
        <f>IFERROR(__xludf.DUMMYFUNCTION("""COMPUTED_VALUE"""),157.87)</f>
        <v>157.87</v>
      </c>
      <c r="F118" s="1">
        <f>IFERROR(__xludf.DUMMYFUNCTION("""COMPUTED_VALUE"""),1.37827673E8)</f>
        <v>137827673</v>
      </c>
    </row>
    <row r="119">
      <c r="A119" s="2">
        <f>IFERROR(__xludf.DUMMYFUNCTION("""COMPUTED_VALUE"""),44519.66666666667)</f>
        <v>44519.66667</v>
      </c>
      <c r="B119" s="1">
        <f>IFERROR(__xludf.DUMMYFUNCTION("""COMPUTED_VALUE"""),157.65)</f>
        <v>157.65</v>
      </c>
      <c r="C119" s="1">
        <f>IFERROR(__xludf.DUMMYFUNCTION("""COMPUTED_VALUE"""),161.02)</f>
        <v>161.02</v>
      </c>
      <c r="D119" s="1">
        <f>IFERROR(__xludf.DUMMYFUNCTION("""COMPUTED_VALUE"""),156.53)</f>
        <v>156.53</v>
      </c>
      <c r="E119" s="1">
        <f>IFERROR(__xludf.DUMMYFUNCTION("""COMPUTED_VALUE"""),160.55)</f>
        <v>160.55</v>
      </c>
      <c r="F119" s="1">
        <f>IFERROR(__xludf.DUMMYFUNCTION("""COMPUTED_VALUE"""),1.17305597E8)</f>
        <v>117305597</v>
      </c>
    </row>
    <row r="120">
      <c r="A120" s="2">
        <f>IFERROR(__xludf.DUMMYFUNCTION("""COMPUTED_VALUE"""),44522.66666666667)</f>
        <v>44522.66667</v>
      </c>
      <c r="B120" s="1">
        <f>IFERROR(__xludf.DUMMYFUNCTION("""COMPUTED_VALUE"""),161.68)</f>
        <v>161.68</v>
      </c>
      <c r="C120" s="1">
        <f>IFERROR(__xludf.DUMMYFUNCTION("""COMPUTED_VALUE"""),165.7)</f>
        <v>165.7</v>
      </c>
      <c r="D120" s="1">
        <f>IFERROR(__xludf.DUMMYFUNCTION("""COMPUTED_VALUE"""),161.0)</f>
        <v>161</v>
      </c>
      <c r="E120" s="1">
        <f>IFERROR(__xludf.DUMMYFUNCTION("""COMPUTED_VALUE"""),161.02)</f>
        <v>161.02</v>
      </c>
      <c r="F120" s="1">
        <f>IFERROR(__xludf.DUMMYFUNCTION("""COMPUTED_VALUE"""),1.17467889E8)</f>
        <v>117467889</v>
      </c>
    </row>
    <row r="121">
      <c r="A121" s="2">
        <f>IFERROR(__xludf.DUMMYFUNCTION("""COMPUTED_VALUE"""),44523.66666666667)</f>
        <v>44523.66667</v>
      </c>
      <c r="B121" s="1">
        <f>IFERROR(__xludf.DUMMYFUNCTION("""COMPUTED_VALUE"""),161.12)</f>
        <v>161.12</v>
      </c>
      <c r="C121" s="1">
        <f>IFERROR(__xludf.DUMMYFUNCTION("""COMPUTED_VALUE"""),161.8)</f>
        <v>161.8</v>
      </c>
      <c r="D121" s="1">
        <f>IFERROR(__xludf.DUMMYFUNCTION("""COMPUTED_VALUE"""),159.06)</f>
        <v>159.06</v>
      </c>
      <c r="E121" s="1">
        <f>IFERROR(__xludf.DUMMYFUNCTION("""COMPUTED_VALUE"""),161.41)</f>
        <v>161.41</v>
      </c>
      <c r="F121" s="1">
        <f>IFERROR(__xludf.DUMMYFUNCTION("""COMPUTED_VALUE"""),9.6041899E7)</f>
        <v>96041899</v>
      </c>
    </row>
    <row r="122">
      <c r="A122" s="2">
        <f>IFERROR(__xludf.DUMMYFUNCTION("""COMPUTED_VALUE"""),44524.66666666667)</f>
        <v>44524.66667</v>
      </c>
      <c r="B122" s="1">
        <f>IFERROR(__xludf.DUMMYFUNCTION("""COMPUTED_VALUE"""),160.75)</f>
        <v>160.75</v>
      </c>
      <c r="C122" s="1">
        <f>IFERROR(__xludf.DUMMYFUNCTION("""COMPUTED_VALUE"""),162.14)</f>
        <v>162.14</v>
      </c>
      <c r="D122" s="1">
        <f>IFERROR(__xludf.DUMMYFUNCTION("""COMPUTED_VALUE"""),159.64)</f>
        <v>159.64</v>
      </c>
      <c r="E122" s="1">
        <f>IFERROR(__xludf.DUMMYFUNCTION("""COMPUTED_VALUE"""),161.94)</f>
        <v>161.94</v>
      </c>
      <c r="F122" s="1">
        <f>IFERROR(__xludf.DUMMYFUNCTION("""COMPUTED_VALUE"""),6.9463623E7)</f>
        <v>69463623</v>
      </c>
    </row>
    <row r="123">
      <c r="A123" s="2">
        <f>IFERROR(__xludf.DUMMYFUNCTION("""COMPUTED_VALUE"""),44526.54166666667)</f>
        <v>44526.54167</v>
      </c>
      <c r="B123" s="1">
        <f>IFERROR(__xludf.DUMMYFUNCTION("""COMPUTED_VALUE"""),159.57)</f>
        <v>159.57</v>
      </c>
      <c r="C123" s="1">
        <f>IFERROR(__xludf.DUMMYFUNCTION("""COMPUTED_VALUE"""),160.45)</f>
        <v>160.45</v>
      </c>
      <c r="D123" s="1">
        <f>IFERROR(__xludf.DUMMYFUNCTION("""COMPUTED_VALUE"""),156.36)</f>
        <v>156.36</v>
      </c>
      <c r="E123" s="1">
        <f>IFERROR(__xludf.DUMMYFUNCTION("""COMPUTED_VALUE"""),156.81)</f>
        <v>156.81</v>
      </c>
      <c r="F123" s="1">
        <f>IFERROR(__xludf.DUMMYFUNCTION("""COMPUTED_VALUE"""),7.6959752E7)</f>
        <v>76959752</v>
      </c>
    </row>
    <row r="124">
      <c r="A124" s="2">
        <f>IFERROR(__xludf.DUMMYFUNCTION("""COMPUTED_VALUE"""),44529.66666666667)</f>
        <v>44529.66667</v>
      </c>
      <c r="B124" s="1">
        <f>IFERROR(__xludf.DUMMYFUNCTION("""COMPUTED_VALUE"""),159.37)</f>
        <v>159.37</v>
      </c>
      <c r="C124" s="1">
        <f>IFERROR(__xludf.DUMMYFUNCTION("""COMPUTED_VALUE"""),161.19)</f>
        <v>161.19</v>
      </c>
      <c r="D124" s="1">
        <f>IFERROR(__xludf.DUMMYFUNCTION("""COMPUTED_VALUE"""),158.79)</f>
        <v>158.79</v>
      </c>
      <c r="E124" s="1">
        <f>IFERROR(__xludf.DUMMYFUNCTION("""COMPUTED_VALUE"""),160.24)</f>
        <v>160.24</v>
      </c>
      <c r="F124" s="1">
        <f>IFERROR(__xludf.DUMMYFUNCTION("""COMPUTED_VALUE"""),8.8748217E7)</f>
        <v>88748217</v>
      </c>
    </row>
    <row r="125">
      <c r="A125" s="2">
        <f>IFERROR(__xludf.DUMMYFUNCTION("""COMPUTED_VALUE"""),44530.66666666667)</f>
        <v>44530.66667</v>
      </c>
      <c r="B125" s="1">
        <f>IFERROR(__xludf.DUMMYFUNCTION("""COMPUTED_VALUE"""),159.99)</f>
        <v>159.99</v>
      </c>
      <c r="C125" s="1">
        <f>IFERROR(__xludf.DUMMYFUNCTION("""COMPUTED_VALUE"""),165.52)</f>
        <v>165.52</v>
      </c>
      <c r="D125" s="1">
        <f>IFERROR(__xludf.DUMMYFUNCTION("""COMPUTED_VALUE"""),159.92)</f>
        <v>159.92</v>
      </c>
      <c r="E125" s="1">
        <f>IFERROR(__xludf.DUMMYFUNCTION("""COMPUTED_VALUE"""),165.3)</f>
        <v>165.3</v>
      </c>
      <c r="F125" s="1">
        <f>IFERROR(__xludf.DUMMYFUNCTION("""COMPUTED_VALUE"""),1.74048056E8)</f>
        <v>174048056</v>
      </c>
    </row>
    <row r="126">
      <c r="A126" s="2">
        <f>IFERROR(__xludf.DUMMYFUNCTION("""COMPUTED_VALUE"""),44531.66666666667)</f>
        <v>44531.66667</v>
      </c>
      <c r="B126" s="1">
        <f>IFERROR(__xludf.DUMMYFUNCTION("""COMPUTED_VALUE"""),167.48)</f>
        <v>167.48</v>
      </c>
      <c r="C126" s="1">
        <f>IFERROR(__xludf.DUMMYFUNCTION("""COMPUTED_VALUE"""),170.3)</f>
        <v>170.3</v>
      </c>
      <c r="D126" s="1">
        <f>IFERROR(__xludf.DUMMYFUNCTION("""COMPUTED_VALUE"""),164.53)</f>
        <v>164.53</v>
      </c>
      <c r="E126" s="1">
        <f>IFERROR(__xludf.DUMMYFUNCTION("""COMPUTED_VALUE"""),164.77)</f>
        <v>164.77</v>
      </c>
      <c r="F126" s="1">
        <f>IFERROR(__xludf.DUMMYFUNCTION("""COMPUTED_VALUE"""),1.52423003E8)</f>
        <v>152423003</v>
      </c>
    </row>
    <row r="127">
      <c r="A127" s="2">
        <f>IFERROR(__xludf.DUMMYFUNCTION("""COMPUTED_VALUE"""),44532.66666666667)</f>
        <v>44532.66667</v>
      </c>
      <c r="B127" s="1">
        <f>IFERROR(__xludf.DUMMYFUNCTION("""COMPUTED_VALUE"""),158.74)</f>
        <v>158.74</v>
      </c>
      <c r="C127" s="1">
        <f>IFERROR(__xludf.DUMMYFUNCTION("""COMPUTED_VALUE"""),164.2)</f>
        <v>164.2</v>
      </c>
      <c r="D127" s="1">
        <f>IFERROR(__xludf.DUMMYFUNCTION("""COMPUTED_VALUE"""),157.8)</f>
        <v>157.8</v>
      </c>
      <c r="E127" s="1">
        <f>IFERROR(__xludf.DUMMYFUNCTION("""COMPUTED_VALUE"""),163.76)</f>
        <v>163.76</v>
      </c>
      <c r="F127" s="1">
        <f>IFERROR(__xludf.DUMMYFUNCTION("""COMPUTED_VALUE"""),1.36739174E8)</f>
        <v>136739174</v>
      </c>
    </row>
    <row r="128">
      <c r="A128" s="2">
        <f>IFERROR(__xludf.DUMMYFUNCTION("""COMPUTED_VALUE"""),44533.66666666667)</f>
        <v>44533.66667</v>
      </c>
      <c r="B128" s="1">
        <f>IFERROR(__xludf.DUMMYFUNCTION("""COMPUTED_VALUE"""),164.02)</f>
        <v>164.02</v>
      </c>
      <c r="C128" s="1">
        <f>IFERROR(__xludf.DUMMYFUNCTION("""COMPUTED_VALUE"""),164.96)</f>
        <v>164.96</v>
      </c>
      <c r="D128" s="1">
        <f>IFERROR(__xludf.DUMMYFUNCTION("""COMPUTED_VALUE"""),159.72)</f>
        <v>159.72</v>
      </c>
      <c r="E128" s="1">
        <f>IFERROR(__xludf.DUMMYFUNCTION("""COMPUTED_VALUE"""),161.84)</f>
        <v>161.84</v>
      </c>
      <c r="F128" s="1">
        <f>IFERROR(__xludf.DUMMYFUNCTION("""COMPUTED_VALUE"""),1.18023116E8)</f>
        <v>118023116</v>
      </c>
    </row>
    <row r="129">
      <c r="A129" s="2">
        <f>IFERROR(__xludf.DUMMYFUNCTION("""COMPUTED_VALUE"""),44536.66666666667)</f>
        <v>44536.66667</v>
      </c>
      <c r="B129" s="1">
        <f>IFERROR(__xludf.DUMMYFUNCTION("""COMPUTED_VALUE"""),164.29)</f>
        <v>164.29</v>
      </c>
      <c r="C129" s="1">
        <f>IFERROR(__xludf.DUMMYFUNCTION("""COMPUTED_VALUE"""),167.88)</f>
        <v>167.88</v>
      </c>
      <c r="D129" s="1">
        <f>IFERROR(__xludf.DUMMYFUNCTION("""COMPUTED_VALUE"""),164.28)</f>
        <v>164.28</v>
      </c>
      <c r="E129" s="1">
        <f>IFERROR(__xludf.DUMMYFUNCTION("""COMPUTED_VALUE"""),165.32)</f>
        <v>165.32</v>
      </c>
      <c r="F129" s="1">
        <f>IFERROR(__xludf.DUMMYFUNCTION("""COMPUTED_VALUE"""),1.07496982E8)</f>
        <v>107496982</v>
      </c>
    </row>
    <row r="130">
      <c r="A130" s="2">
        <f>IFERROR(__xludf.DUMMYFUNCTION("""COMPUTED_VALUE"""),44537.66666666667)</f>
        <v>44537.66667</v>
      </c>
      <c r="B130" s="1">
        <f>IFERROR(__xludf.DUMMYFUNCTION("""COMPUTED_VALUE"""),169.08)</f>
        <v>169.08</v>
      </c>
      <c r="C130" s="1">
        <f>IFERROR(__xludf.DUMMYFUNCTION("""COMPUTED_VALUE"""),171.58)</f>
        <v>171.58</v>
      </c>
      <c r="D130" s="1">
        <f>IFERROR(__xludf.DUMMYFUNCTION("""COMPUTED_VALUE"""),168.34)</f>
        <v>168.34</v>
      </c>
      <c r="E130" s="1">
        <f>IFERROR(__xludf.DUMMYFUNCTION("""COMPUTED_VALUE"""),171.18)</f>
        <v>171.18</v>
      </c>
      <c r="F130" s="1">
        <f>IFERROR(__xludf.DUMMYFUNCTION("""COMPUTED_VALUE"""),1.20405352E8)</f>
        <v>120405352</v>
      </c>
    </row>
    <row r="131">
      <c r="A131" s="2">
        <f>IFERROR(__xludf.DUMMYFUNCTION("""COMPUTED_VALUE"""),44538.66666666667)</f>
        <v>44538.66667</v>
      </c>
      <c r="B131" s="1">
        <f>IFERROR(__xludf.DUMMYFUNCTION("""COMPUTED_VALUE"""),172.13)</f>
        <v>172.13</v>
      </c>
      <c r="C131" s="1">
        <f>IFERROR(__xludf.DUMMYFUNCTION("""COMPUTED_VALUE"""),175.96)</f>
        <v>175.96</v>
      </c>
      <c r="D131" s="1">
        <f>IFERROR(__xludf.DUMMYFUNCTION("""COMPUTED_VALUE"""),170.7)</f>
        <v>170.7</v>
      </c>
      <c r="E131" s="1">
        <f>IFERROR(__xludf.DUMMYFUNCTION("""COMPUTED_VALUE"""),175.08)</f>
        <v>175.08</v>
      </c>
      <c r="F131" s="1">
        <f>IFERROR(__xludf.DUMMYFUNCTION("""COMPUTED_VALUE"""),1.16998901E8)</f>
        <v>116998901</v>
      </c>
    </row>
    <row r="132">
      <c r="A132" s="2">
        <f>IFERROR(__xludf.DUMMYFUNCTION("""COMPUTED_VALUE"""),44539.66666666667)</f>
        <v>44539.66667</v>
      </c>
      <c r="B132" s="1">
        <f>IFERROR(__xludf.DUMMYFUNCTION("""COMPUTED_VALUE"""),174.91)</f>
        <v>174.91</v>
      </c>
      <c r="C132" s="1">
        <f>IFERROR(__xludf.DUMMYFUNCTION("""COMPUTED_VALUE"""),176.75)</f>
        <v>176.75</v>
      </c>
      <c r="D132" s="1">
        <f>IFERROR(__xludf.DUMMYFUNCTION("""COMPUTED_VALUE"""),173.92)</f>
        <v>173.92</v>
      </c>
      <c r="E132" s="1">
        <f>IFERROR(__xludf.DUMMYFUNCTION("""COMPUTED_VALUE"""),174.56)</f>
        <v>174.56</v>
      </c>
      <c r="F132" s="1">
        <f>IFERROR(__xludf.DUMMYFUNCTION("""COMPUTED_VALUE"""),1.08923739E8)</f>
        <v>108923739</v>
      </c>
    </row>
    <row r="133">
      <c r="A133" s="2">
        <f>IFERROR(__xludf.DUMMYFUNCTION("""COMPUTED_VALUE"""),44540.66666666667)</f>
        <v>44540.66667</v>
      </c>
      <c r="B133" s="1">
        <f>IFERROR(__xludf.DUMMYFUNCTION("""COMPUTED_VALUE"""),175.21)</f>
        <v>175.21</v>
      </c>
      <c r="C133" s="1">
        <f>IFERROR(__xludf.DUMMYFUNCTION("""COMPUTED_VALUE"""),179.63)</f>
        <v>179.63</v>
      </c>
      <c r="D133" s="1">
        <f>IFERROR(__xludf.DUMMYFUNCTION("""COMPUTED_VALUE"""),174.69)</f>
        <v>174.69</v>
      </c>
      <c r="E133" s="1">
        <f>IFERROR(__xludf.DUMMYFUNCTION("""COMPUTED_VALUE"""),179.45)</f>
        <v>179.45</v>
      </c>
      <c r="F133" s="1">
        <f>IFERROR(__xludf.DUMMYFUNCTION("""COMPUTED_VALUE"""),1.15402731E8)</f>
        <v>115402731</v>
      </c>
    </row>
    <row r="134">
      <c r="A134" s="2">
        <f>IFERROR(__xludf.DUMMYFUNCTION("""COMPUTED_VALUE"""),44543.66666666667)</f>
        <v>44543.66667</v>
      </c>
      <c r="B134" s="1">
        <f>IFERROR(__xludf.DUMMYFUNCTION("""COMPUTED_VALUE"""),181.12)</f>
        <v>181.12</v>
      </c>
      <c r="C134" s="1">
        <f>IFERROR(__xludf.DUMMYFUNCTION("""COMPUTED_VALUE"""),182.13)</f>
        <v>182.13</v>
      </c>
      <c r="D134" s="1">
        <f>IFERROR(__xludf.DUMMYFUNCTION("""COMPUTED_VALUE"""),175.53)</f>
        <v>175.53</v>
      </c>
      <c r="E134" s="1">
        <f>IFERROR(__xludf.DUMMYFUNCTION("""COMPUTED_VALUE"""),175.74)</f>
        <v>175.74</v>
      </c>
      <c r="F134" s="1">
        <f>IFERROR(__xludf.DUMMYFUNCTION("""COMPUTED_VALUE"""),1.53237019E8)</f>
        <v>153237019</v>
      </c>
    </row>
    <row r="135">
      <c r="A135" s="2">
        <f>IFERROR(__xludf.DUMMYFUNCTION("""COMPUTED_VALUE"""),44544.66666666667)</f>
        <v>44544.66667</v>
      </c>
      <c r="B135" s="1">
        <f>IFERROR(__xludf.DUMMYFUNCTION("""COMPUTED_VALUE"""),175.25)</f>
        <v>175.25</v>
      </c>
      <c r="C135" s="1">
        <f>IFERROR(__xludf.DUMMYFUNCTION("""COMPUTED_VALUE"""),177.74)</f>
        <v>177.74</v>
      </c>
      <c r="D135" s="1">
        <f>IFERROR(__xludf.DUMMYFUNCTION("""COMPUTED_VALUE"""),172.21)</f>
        <v>172.21</v>
      </c>
      <c r="E135" s="1">
        <f>IFERROR(__xludf.DUMMYFUNCTION("""COMPUTED_VALUE"""),174.33)</f>
        <v>174.33</v>
      </c>
      <c r="F135" s="1">
        <f>IFERROR(__xludf.DUMMYFUNCTION("""COMPUTED_VALUE"""),1.39380382E8)</f>
        <v>139380382</v>
      </c>
    </row>
    <row r="136">
      <c r="A136" s="2">
        <f>IFERROR(__xludf.DUMMYFUNCTION("""COMPUTED_VALUE"""),44545.66666666667)</f>
        <v>44545.66667</v>
      </c>
      <c r="B136" s="1">
        <f>IFERROR(__xludf.DUMMYFUNCTION("""COMPUTED_VALUE"""),175.11)</f>
        <v>175.11</v>
      </c>
      <c r="C136" s="1">
        <f>IFERROR(__xludf.DUMMYFUNCTION("""COMPUTED_VALUE"""),179.5)</f>
        <v>179.5</v>
      </c>
      <c r="D136" s="1">
        <f>IFERROR(__xludf.DUMMYFUNCTION("""COMPUTED_VALUE"""),172.31)</f>
        <v>172.31</v>
      </c>
      <c r="E136" s="1">
        <f>IFERROR(__xludf.DUMMYFUNCTION("""COMPUTED_VALUE"""),179.3)</f>
        <v>179.3</v>
      </c>
      <c r="F136" s="1">
        <f>IFERROR(__xludf.DUMMYFUNCTION("""COMPUTED_VALUE"""),1.31063257E8)</f>
        <v>131063257</v>
      </c>
    </row>
    <row r="137">
      <c r="A137" s="2">
        <f>IFERROR(__xludf.DUMMYFUNCTION("""COMPUTED_VALUE"""),44546.66666666667)</f>
        <v>44546.66667</v>
      </c>
      <c r="B137" s="1">
        <f>IFERROR(__xludf.DUMMYFUNCTION("""COMPUTED_VALUE"""),179.28)</f>
        <v>179.28</v>
      </c>
      <c r="C137" s="1">
        <f>IFERROR(__xludf.DUMMYFUNCTION("""COMPUTED_VALUE"""),181.14)</f>
        <v>181.14</v>
      </c>
      <c r="D137" s="1">
        <f>IFERROR(__xludf.DUMMYFUNCTION("""COMPUTED_VALUE"""),170.75)</f>
        <v>170.75</v>
      </c>
      <c r="E137" s="1">
        <f>IFERROR(__xludf.DUMMYFUNCTION("""COMPUTED_VALUE"""),172.26)</f>
        <v>172.26</v>
      </c>
      <c r="F137" s="1">
        <f>IFERROR(__xludf.DUMMYFUNCTION("""COMPUTED_VALUE"""),1.50185843E8)</f>
        <v>150185843</v>
      </c>
    </row>
    <row r="138">
      <c r="A138" s="2">
        <f>IFERROR(__xludf.DUMMYFUNCTION("""COMPUTED_VALUE"""),44547.66666666667)</f>
        <v>44547.66667</v>
      </c>
      <c r="B138" s="1">
        <f>IFERROR(__xludf.DUMMYFUNCTION("""COMPUTED_VALUE"""),169.93)</f>
        <v>169.93</v>
      </c>
      <c r="C138" s="1">
        <f>IFERROR(__xludf.DUMMYFUNCTION("""COMPUTED_VALUE"""),173.47)</f>
        <v>173.47</v>
      </c>
      <c r="D138" s="1">
        <f>IFERROR(__xludf.DUMMYFUNCTION("""COMPUTED_VALUE"""),169.69)</f>
        <v>169.69</v>
      </c>
      <c r="E138" s="1">
        <f>IFERROR(__xludf.DUMMYFUNCTION("""COMPUTED_VALUE"""),171.14)</f>
        <v>171.14</v>
      </c>
      <c r="F138" s="1">
        <f>IFERROR(__xludf.DUMMYFUNCTION("""COMPUTED_VALUE"""),1.95923441E8)</f>
        <v>195923441</v>
      </c>
    </row>
    <row r="139">
      <c r="A139" s="2">
        <f>IFERROR(__xludf.DUMMYFUNCTION("""COMPUTED_VALUE"""),44550.66666666667)</f>
        <v>44550.66667</v>
      </c>
      <c r="B139" s="1">
        <f>IFERROR(__xludf.DUMMYFUNCTION("""COMPUTED_VALUE"""),168.28)</f>
        <v>168.28</v>
      </c>
      <c r="C139" s="1">
        <f>IFERROR(__xludf.DUMMYFUNCTION("""COMPUTED_VALUE"""),170.58)</f>
        <v>170.58</v>
      </c>
      <c r="D139" s="1">
        <f>IFERROR(__xludf.DUMMYFUNCTION("""COMPUTED_VALUE"""),167.46)</f>
        <v>167.46</v>
      </c>
      <c r="E139" s="1">
        <f>IFERROR(__xludf.DUMMYFUNCTION("""COMPUTED_VALUE"""),169.75)</f>
        <v>169.75</v>
      </c>
      <c r="F139" s="1">
        <f>IFERROR(__xludf.DUMMYFUNCTION("""COMPUTED_VALUE"""),1.07499114E8)</f>
        <v>107499114</v>
      </c>
    </row>
    <row r="140">
      <c r="A140" s="2">
        <f>IFERROR(__xludf.DUMMYFUNCTION("""COMPUTED_VALUE"""),44551.66666666667)</f>
        <v>44551.66667</v>
      </c>
      <c r="B140" s="1">
        <f>IFERROR(__xludf.DUMMYFUNCTION("""COMPUTED_VALUE"""),171.56)</f>
        <v>171.56</v>
      </c>
      <c r="C140" s="1">
        <f>IFERROR(__xludf.DUMMYFUNCTION("""COMPUTED_VALUE"""),173.2)</f>
        <v>173.2</v>
      </c>
      <c r="D140" s="1">
        <f>IFERROR(__xludf.DUMMYFUNCTION("""COMPUTED_VALUE"""),169.12)</f>
        <v>169.12</v>
      </c>
      <c r="E140" s="1">
        <f>IFERROR(__xludf.DUMMYFUNCTION("""COMPUTED_VALUE"""),172.99)</f>
        <v>172.99</v>
      </c>
      <c r="F140" s="1">
        <f>IFERROR(__xludf.DUMMYFUNCTION("""COMPUTED_VALUE"""),9.1185905E7)</f>
        <v>91185905</v>
      </c>
    </row>
    <row r="141">
      <c r="A141" s="2">
        <f>IFERROR(__xludf.DUMMYFUNCTION("""COMPUTED_VALUE"""),44552.66666666667)</f>
        <v>44552.66667</v>
      </c>
      <c r="B141" s="1">
        <f>IFERROR(__xludf.DUMMYFUNCTION("""COMPUTED_VALUE"""),173.04)</f>
        <v>173.04</v>
      </c>
      <c r="C141" s="1">
        <f>IFERROR(__xludf.DUMMYFUNCTION("""COMPUTED_VALUE"""),175.86)</f>
        <v>175.86</v>
      </c>
      <c r="D141" s="1">
        <f>IFERROR(__xludf.DUMMYFUNCTION("""COMPUTED_VALUE"""),172.15)</f>
        <v>172.15</v>
      </c>
      <c r="E141" s="1">
        <f>IFERROR(__xludf.DUMMYFUNCTION("""COMPUTED_VALUE"""),175.64)</f>
        <v>175.64</v>
      </c>
      <c r="F141" s="1">
        <f>IFERROR(__xludf.DUMMYFUNCTION("""COMPUTED_VALUE"""),9.2135303E7)</f>
        <v>92135303</v>
      </c>
    </row>
    <row r="142">
      <c r="A142" s="2">
        <f>IFERROR(__xludf.DUMMYFUNCTION("""COMPUTED_VALUE"""),44553.66666666667)</f>
        <v>44553.66667</v>
      </c>
      <c r="B142" s="1">
        <f>IFERROR(__xludf.DUMMYFUNCTION("""COMPUTED_VALUE"""),175.85)</f>
        <v>175.85</v>
      </c>
      <c r="C142" s="1">
        <f>IFERROR(__xludf.DUMMYFUNCTION("""COMPUTED_VALUE"""),176.85)</f>
        <v>176.85</v>
      </c>
      <c r="D142" s="1">
        <f>IFERROR(__xludf.DUMMYFUNCTION("""COMPUTED_VALUE"""),175.27)</f>
        <v>175.27</v>
      </c>
      <c r="E142" s="1">
        <f>IFERROR(__xludf.DUMMYFUNCTION("""COMPUTED_VALUE"""),176.28)</f>
        <v>176.28</v>
      </c>
      <c r="F142" s="1">
        <f>IFERROR(__xludf.DUMMYFUNCTION("""COMPUTED_VALUE"""),6.8356567E7)</f>
        <v>68356567</v>
      </c>
    </row>
    <row r="143">
      <c r="A143" s="2">
        <f>IFERROR(__xludf.DUMMYFUNCTION("""COMPUTED_VALUE"""),44557.66666666667)</f>
        <v>44557.66667</v>
      </c>
      <c r="B143" s="1">
        <f>IFERROR(__xludf.DUMMYFUNCTION("""COMPUTED_VALUE"""),177.09)</f>
        <v>177.09</v>
      </c>
      <c r="C143" s="1">
        <f>IFERROR(__xludf.DUMMYFUNCTION("""COMPUTED_VALUE"""),180.42)</f>
        <v>180.42</v>
      </c>
      <c r="D143" s="1">
        <f>IFERROR(__xludf.DUMMYFUNCTION("""COMPUTED_VALUE"""),177.07)</f>
        <v>177.07</v>
      </c>
      <c r="E143" s="1">
        <f>IFERROR(__xludf.DUMMYFUNCTION("""COMPUTED_VALUE"""),180.33)</f>
        <v>180.33</v>
      </c>
      <c r="F143" s="1">
        <f>IFERROR(__xludf.DUMMYFUNCTION("""COMPUTED_VALUE"""),7.4919582E7)</f>
        <v>74919582</v>
      </c>
    </row>
    <row r="144">
      <c r="A144" s="2">
        <f>IFERROR(__xludf.DUMMYFUNCTION("""COMPUTED_VALUE"""),44558.66666666667)</f>
        <v>44558.66667</v>
      </c>
      <c r="B144" s="1">
        <f>IFERROR(__xludf.DUMMYFUNCTION("""COMPUTED_VALUE"""),180.16)</f>
        <v>180.16</v>
      </c>
      <c r="C144" s="1">
        <f>IFERROR(__xludf.DUMMYFUNCTION("""COMPUTED_VALUE"""),181.33)</f>
        <v>181.33</v>
      </c>
      <c r="D144" s="1">
        <f>IFERROR(__xludf.DUMMYFUNCTION("""COMPUTED_VALUE"""),178.53)</f>
        <v>178.53</v>
      </c>
      <c r="E144" s="1">
        <f>IFERROR(__xludf.DUMMYFUNCTION("""COMPUTED_VALUE"""),179.29)</f>
        <v>179.29</v>
      </c>
      <c r="F144" s="1">
        <f>IFERROR(__xludf.DUMMYFUNCTION("""COMPUTED_VALUE"""),7.9144339E7)</f>
        <v>79144339</v>
      </c>
    </row>
    <row r="145">
      <c r="A145" s="2">
        <f>IFERROR(__xludf.DUMMYFUNCTION("""COMPUTED_VALUE"""),44559.66666666667)</f>
        <v>44559.66667</v>
      </c>
      <c r="B145" s="1">
        <f>IFERROR(__xludf.DUMMYFUNCTION("""COMPUTED_VALUE"""),179.33)</f>
        <v>179.33</v>
      </c>
      <c r="C145" s="1">
        <f>IFERROR(__xludf.DUMMYFUNCTION("""COMPUTED_VALUE"""),180.63)</f>
        <v>180.63</v>
      </c>
      <c r="D145" s="1">
        <f>IFERROR(__xludf.DUMMYFUNCTION("""COMPUTED_VALUE"""),178.14)</f>
        <v>178.14</v>
      </c>
      <c r="E145" s="1">
        <f>IFERROR(__xludf.DUMMYFUNCTION("""COMPUTED_VALUE"""),179.38)</f>
        <v>179.38</v>
      </c>
      <c r="F145" s="1">
        <f>IFERROR(__xludf.DUMMYFUNCTION("""COMPUTED_VALUE"""),6.2348931E7)</f>
        <v>62348931</v>
      </c>
    </row>
    <row r="146">
      <c r="A146" s="2">
        <f>IFERROR(__xludf.DUMMYFUNCTION("""COMPUTED_VALUE"""),44560.66666666667)</f>
        <v>44560.66667</v>
      </c>
      <c r="B146" s="1">
        <f>IFERROR(__xludf.DUMMYFUNCTION("""COMPUTED_VALUE"""),179.47)</f>
        <v>179.47</v>
      </c>
      <c r="C146" s="1">
        <f>IFERROR(__xludf.DUMMYFUNCTION("""COMPUTED_VALUE"""),180.57)</f>
        <v>180.57</v>
      </c>
      <c r="D146" s="1">
        <f>IFERROR(__xludf.DUMMYFUNCTION("""COMPUTED_VALUE"""),178.09)</f>
        <v>178.09</v>
      </c>
      <c r="E146" s="1">
        <f>IFERROR(__xludf.DUMMYFUNCTION("""COMPUTED_VALUE"""),178.2)</f>
        <v>178.2</v>
      </c>
      <c r="F146" s="1">
        <f>IFERROR(__xludf.DUMMYFUNCTION("""COMPUTED_VALUE"""),5.9773014E7)</f>
        <v>59773014</v>
      </c>
    </row>
    <row r="147">
      <c r="A147" s="2">
        <f>IFERROR(__xludf.DUMMYFUNCTION("""COMPUTED_VALUE"""),44561.66666666667)</f>
        <v>44561.66667</v>
      </c>
      <c r="B147" s="1">
        <f>IFERROR(__xludf.DUMMYFUNCTION("""COMPUTED_VALUE"""),178.09)</f>
        <v>178.09</v>
      </c>
      <c r="C147" s="1">
        <f>IFERROR(__xludf.DUMMYFUNCTION("""COMPUTED_VALUE"""),179.23)</f>
        <v>179.23</v>
      </c>
      <c r="D147" s="1">
        <f>IFERROR(__xludf.DUMMYFUNCTION("""COMPUTED_VALUE"""),177.26)</f>
        <v>177.26</v>
      </c>
      <c r="E147" s="1">
        <f>IFERROR(__xludf.DUMMYFUNCTION("""COMPUTED_VALUE"""),177.57)</f>
        <v>177.57</v>
      </c>
      <c r="F147" s="1">
        <f>IFERROR(__xludf.DUMMYFUNCTION("""COMPUTED_VALUE"""),6.4062261E7)</f>
        <v>64062261</v>
      </c>
    </row>
    <row r="148">
      <c r="A148" s="2">
        <f>IFERROR(__xludf.DUMMYFUNCTION("""COMPUTED_VALUE"""),44564.66666666667)</f>
        <v>44564.66667</v>
      </c>
      <c r="B148" s="1">
        <f>IFERROR(__xludf.DUMMYFUNCTION("""COMPUTED_VALUE"""),177.83)</f>
        <v>177.83</v>
      </c>
      <c r="C148" s="1">
        <f>IFERROR(__xludf.DUMMYFUNCTION("""COMPUTED_VALUE"""),182.88)</f>
        <v>182.88</v>
      </c>
      <c r="D148" s="1">
        <f>IFERROR(__xludf.DUMMYFUNCTION("""COMPUTED_VALUE"""),177.71)</f>
        <v>177.71</v>
      </c>
      <c r="E148" s="1">
        <f>IFERROR(__xludf.DUMMYFUNCTION("""COMPUTED_VALUE"""),182.01)</f>
        <v>182.01</v>
      </c>
      <c r="F148" s="1">
        <f>IFERROR(__xludf.DUMMYFUNCTION("""COMPUTED_VALUE"""),1.0470122E8)</f>
        <v>104701220</v>
      </c>
    </row>
    <row r="149">
      <c r="A149" s="2">
        <f>IFERROR(__xludf.DUMMYFUNCTION("""COMPUTED_VALUE"""),44565.66666666667)</f>
        <v>44565.66667</v>
      </c>
      <c r="B149" s="1">
        <f>IFERROR(__xludf.DUMMYFUNCTION("""COMPUTED_VALUE"""),182.63)</f>
        <v>182.63</v>
      </c>
      <c r="C149" s="1">
        <f>IFERROR(__xludf.DUMMYFUNCTION("""COMPUTED_VALUE"""),182.94)</f>
        <v>182.94</v>
      </c>
      <c r="D149" s="1">
        <f>IFERROR(__xludf.DUMMYFUNCTION("""COMPUTED_VALUE"""),179.12)</f>
        <v>179.12</v>
      </c>
      <c r="E149" s="1">
        <f>IFERROR(__xludf.DUMMYFUNCTION("""COMPUTED_VALUE"""),179.7)</f>
        <v>179.7</v>
      </c>
      <c r="F149" s="1">
        <f>IFERROR(__xludf.DUMMYFUNCTION("""COMPUTED_VALUE"""),9.9310438E7)</f>
        <v>99310438</v>
      </c>
    </row>
    <row r="150">
      <c r="A150" s="2">
        <f>IFERROR(__xludf.DUMMYFUNCTION("""COMPUTED_VALUE"""),44566.66666666667)</f>
        <v>44566.66667</v>
      </c>
      <c r="B150" s="1">
        <f>IFERROR(__xludf.DUMMYFUNCTION("""COMPUTED_VALUE"""),179.61)</f>
        <v>179.61</v>
      </c>
      <c r="C150" s="1">
        <f>IFERROR(__xludf.DUMMYFUNCTION("""COMPUTED_VALUE"""),180.17)</f>
        <v>180.17</v>
      </c>
      <c r="D150" s="1">
        <f>IFERROR(__xludf.DUMMYFUNCTION("""COMPUTED_VALUE"""),174.64)</f>
        <v>174.64</v>
      </c>
      <c r="E150" s="1">
        <f>IFERROR(__xludf.DUMMYFUNCTION("""COMPUTED_VALUE"""),174.92)</f>
        <v>174.92</v>
      </c>
      <c r="F150" s="1">
        <f>IFERROR(__xludf.DUMMYFUNCTION("""COMPUTED_VALUE"""),9.4537602E7)</f>
        <v>94537602</v>
      </c>
    </row>
    <row r="151">
      <c r="A151" s="2">
        <f>IFERROR(__xludf.DUMMYFUNCTION("""COMPUTED_VALUE"""),44567.66666666667)</f>
        <v>44567.66667</v>
      </c>
      <c r="B151" s="1">
        <f>IFERROR(__xludf.DUMMYFUNCTION("""COMPUTED_VALUE"""),172.7)</f>
        <v>172.7</v>
      </c>
      <c r="C151" s="1">
        <f>IFERROR(__xludf.DUMMYFUNCTION("""COMPUTED_VALUE"""),175.3)</f>
        <v>175.3</v>
      </c>
      <c r="D151" s="1">
        <f>IFERROR(__xludf.DUMMYFUNCTION("""COMPUTED_VALUE"""),171.64)</f>
        <v>171.64</v>
      </c>
      <c r="E151" s="1">
        <f>IFERROR(__xludf.DUMMYFUNCTION("""COMPUTED_VALUE"""),172.0)</f>
        <v>172</v>
      </c>
      <c r="F151" s="1">
        <f>IFERROR(__xludf.DUMMYFUNCTION("""COMPUTED_VALUE"""),9.6903955E7)</f>
        <v>96903955</v>
      </c>
    </row>
    <row r="152">
      <c r="A152" s="2">
        <f>IFERROR(__xludf.DUMMYFUNCTION("""COMPUTED_VALUE"""),44568.66666666667)</f>
        <v>44568.66667</v>
      </c>
      <c r="B152" s="1">
        <f>IFERROR(__xludf.DUMMYFUNCTION("""COMPUTED_VALUE"""),172.89)</f>
        <v>172.89</v>
      </c>
      <c r="C152" s="1">
        <f>IFERROR(__xludf.DUMMYFUNCTION("""COMPUTED_VALUE"""),174.14)</f>
        <v>174.14</v>
      </c>
      <c r="D152" s="1">
        <f>IFERROR(__xludf.DUMMYFUNCTION("""COMPUTED_VALUE"""),171.03)</f>
        <v>171.03</v>
      </c>
      <c r="E152" s="1">
        <f>IFERROR(__xludf.DUMMYFUNCTION("""COMPUTED_VALUE"""),172.17)</f>
        <v>172.17</v>
      </c>
      <c r="F152" s="1">
        <f>IFERROR(__xludf.DUMMYFUNCTION("""COMPUTED_VALUE"""),8.6709147E7)</f>
        <v>86709147</v>
      </c>
    </row>
    <row r="153">
      <c r="A153" s="2">
        <f>IFERROR(__xludf.DUMMYFUNCTION("""COMPUTED_VALUE"""),44571.66666666667)</f>
        <v>44571.66667</v>
      </c>
      <c r="B153" s="1">
        <f>IFERROR(__xludf.DUMMYFUNCTION("""COMPUTED_VALUE"""),169.08)</f>
        <v>169.08</v>
      </c>
      <c r="C153" s="1">
        <f>IFERROR(__xludf.DUMMYFUNCTION("""COMPUTED_VALUE"""),172.5)</f>
        <v>172.5</v>
      </c>
      <c r="D153" s="1">
        <f>IFERROR(__xludf.DUMMYFUNCTION("""COMPUTED_VALUE"""),168.17)</f>
        <v>168.17</v>
      </c>
      <c r="E153" s="1">
        <f>IFERROR(__xludf.DUMMYFUNCTION("""COMPUTED_VALUE"""),172.19)</f>
        <v>172.19</v>
      </c>
      <c r="F153" s="1">
        <f>IFERROR(__xludf.DUMMYFUNCTION("""COMPUTED_VALUE"""),1.06765552E8)</f>
        <v>106765552</v>
      </c>
    </row>
    <row r="154">
      <c r="A154" s="2">
        <f>IFERROR(__xludf.DUMMYFUNCTION("""COMPUTED_VALUE"""),44572.66666666667)</f>
        <v>44572.66667</v>
      </c>
      <c r="B154" s="1">
        <f>IFERROR(__xludf.DUMMYFUNCTION("""COMPUTED_VALUE"""),172.32)</f>
        <v>172.32</v>
      </c>
      <c r="C154" s="1">
        <f>IFERROR(__xludf.DUMMYFUNCTION("""COMPUTED_VALUE"""),175.18)</f>
        <v>175.18</v>
      </c>
      <c r="D154" s="1">
        <f>IFERROR(__xludf.DUMMYFUNCTION("""COMPUTED_VALUE"""),170.82)</f>
        <v>170.82</v>
      </c>
      <c r="E154" s="1">
        <f>IFERROR(__xludf.DUMMYFUNCTION("""COMPUTED_VALUE"""),175.08)</f>
        <v>175.08</v>
      </c>
      <c r="F154" s="1">
        <f>IFERROR(__xludf.DUMMYFUNCTION("""COMPUTED_VALUE"""),7.6138312E7)</f>
        <v>76138312</v>
      </c>
    </row>
    <row r="155">
      <c r="A155" s="2">
        <f>IFERROR(__xludf.DUMMYFUNCTION("""COMPUTED_VALUE"""),44573.66666666667)</f>
        <v>44573.66667</v>
      </c>
      <c r="B155" s="1">
        <f>IFERROR(__xludf.DUMMYFUNCTION("""COMPUTED_VALUE"""),176.12)</f>
        <v>176.12</v>
      </c>
      <c r="C155" s="1">
        <f>IFERROR(__xludf.DUMMYFUNCTION("""COMPUTED_VALUE"""),177.18)</f>
        <v>177.18</v>
      </c>
      <c r="D155" s="1">
        <f>IFERROR(__xludf.DUMMYFUNCTION("""COMPUTED_VALUE"""),174.82)</f>
        <v>174.82</v>
      </c>
      <c r="E155" s="1">
        <f>IFERROR(__xludf.DUMMYFUNCTION("""COMPUTED_VALUE"""),175.53)</f>
        <v>175.53</v>
      </c>
      <c r="F155" s="1">
        <f>IFERROR(__xludf.DUMMYFUNCTION("""COMPUTED_VALUE"""),7.4805173E7)</f>
        <v>74805173</v>
      </c>
    </row>
    <row r="156">
      <c r="A156" s="2">
        <f>IFERROR(__xludf.DUMMYFUNCTION("""COMPUTED_VALUE"""),44574.66666666667)</f>
        <v>44574.66667</v>
      </c>
      <c r="B156" s="1">
        <f>IFERROR(__xludf.DUMMYFUNCTION("""COMPUTED_VALUE"""),175.78)</f>
        <v>175.78</v>
      </c>
      <c r="C156" s="1">
        <f>IFERROR(__xludf.DUMMYFUNCTION("""COMPUTED_VALUE"""),176.62)</f>
        <v>176.62</v>
      </c>
      <c r="D156" s="1">
        <f>IFERROR(__xludf.DUMMYFUNCTION("""COMPUTED_VALUE"""),171.79)</f>
        <v>171.79</v>
      </c>
      <c r="E156" s="1">
        <f>IFERROR(__xludf.DUMMYFUNCTION("""COMPUTED_VALUE"""),172.19)</f>
        <v>172.19</v>
      </c>
      <c r="F156" s="1">
        <f>IFERROR(__xludf.DUMMYFUNCTION("""COMPUTED_VALUE"""),8.450576E7)</f>
        <v>84505760</v>
      </c>
    </row>
    <row r="157">
      <c r="A157" s="2">
        <f>IFERROR(__xludf.DUMMYFUNCTION("""COMPUTED_VALUE"""),44575.66666666667)</f>
        <v>44575.66667</v>
      </c>
      <c r="B157" s="1">
        <f>IFERROR(__xludf.DUMMYFUNCTION("""COMPUTED_VALUE"""),171.34)</f>
        <v>171.34</v>
      </c>
      <c r="C157" s="1">
        <f>IFERROR(__xludf.DUMMYFUNCTION("""COMPUTED_VALUE"""),173.78)</f>
        <v>173.78</v>
      </c>
      <c r="D157" s="1">
        <f>IFERROR(__xludf.DUMMYFUNCTION("""COMPUTED_VALUE"""),171.09)</f>
        <v>171.09</v>
      </c>
      <c r="E157" s="1">
        <f>IFERROR(__xludf.DUMMYFUNCTION("""COMPUTED_VALUE"""),173.07)</f>
        <v>173.07</v>
      </c>
      <c r="F157" s="1">
        <f>IFERROR(__xludf.DUMMYFUNCTION("""COMPUTED_VALUE"""),8.044078E7)</f>
        <v>80440780</v>
      </c>
    </row>
    <row r="158">
      <c r="A158" s="2">
        <f>IFERROR(__xludf.DUMMYFUNCTION("""COMPUTED_VALUE"""),44579.66666666667)</f>
        <v>44579.66667</v>
      </c>
      <c r="B158" s="1">
        <f>IFERROR(__xludf.DUMMYFUNCTION("""COMPUTED_VALUE"""),171.51)</f>
        <v>171.51</v>
      </c>
      <c r="C158" s="1">
        <f>IFERROR(__xludf.DUMMYFUNCTION("""COMPUTED_VALUE"""),172.54)</f>
        <v>172.54</v>
      </c>
      <c r="D158" s="1">
        <f>IFERROR(__xludf.DUMMYFUNCTION("""COMPUTED_VALUE"""),169.41)</f>
        <v>169.41</v>
      </c>
      <c r="E158" s="1">
        <f>IFERROR(__xludf.DUMMYFUNCTION("""COMPUTED_VALUE"""),169.8)</f>
        <v>169.8</v>
      </c>
      <c r="F158" s="1">
        <f>IFERROR(__xludf.DUMMYFUNCTION("""COMPUTED_VALUE"""),9.1168729E7)</f>
        <v>91168729</v>
      </c>
    </row>
    <row r="159">
      <c r="A159" s="2">
        <f>IFERROR(__xludf.DUMMYFUNCTION("""COMPUTED_VALUE"""),44580.66666666667)</f>
        <v>44580.66667</v>
      </c>
      <c r="B159" s="1">
        <f>IFERROR(__xludf.DUMMYFUNCTION("""COMPUTED_VALUE"""),170.0)</f>
        <v>170</v>
      </c>
      <c r="C159" s="1">
        <f>IFERROR(__xludf.DUMMYFUNCTION("""COMPUTED_VALUE"""),171.08)</f>
        <v>171.08</v>
      </c>
      <c r="D159" s="1">
        <f>IFERROR(__xludf.DUMMYFUNCTION("""COMPUTED_VALUE"""),165.94)</f>
        <v>165.94</v>
      </c>
      <c r="E159" s="1">
        <f>IFERROR(__xludf.DUMMYFUNCTION("""COMPUTED_VALUE"""),166.23)</f>
        <v>166.23</v>
      </c>
      <c r="F159" s="1">
        <f>IFERROR(__xludf.DUMMYFUNCTION("""COMPUTED_VALUE"""),9.481499E7)</f>
        <v>94814990</v>
      </c>
    </row>
    <row r="160">
      <c r="A160" s="2">
        <f>IFERROR(__xludf.DUMMYFUNCTION("""COMPUTED_VALUE"""),44581.66666666667)</f>
        <v>44581.66667</v>
      </c>
      <c r="B160" s="1">
        <f>IFERROR(__xludf.DUMMYFUNCTION("""COMPUTED_VALUE"""),166.98)</f>
        <v>166.98</v>
      </c>
      <c r="C160" s="1">
        <f>IFERROR(__xludf.DUMMYFUNCTION("""COMPUTED_VALUE"""),169.68)</f>
        <v>169.68</v>
      </c>
      <c r="D160" s="1">
        <f>IFERROR(__xludf.DUMMYFUNCTION("""COMPUTED_VALUE"""),164.18)</f>
        <v>164.18</v>
      </c>
      <c r="E160" s="1">
        <f>IFERROR(__xludf.DUMMYFUNCTION("""COMPUTED_VALUE"""),164.51)</f>
        <v>164.51</v>
      </c>
      <c r="F160" s="1">
        <f>IFERROR(__xludf.DUMMYFUNCTION("""COMPUTED_VALUE"""),9.1420515E7)</f>
        <v>91420515</v>
      </c>
    </row>
    <row r="161">
      <c r="A161" s="2">
        <f>IFERROR(__xludf.DUMMYFUNCTION("""COMPUTED_VALUE"""),44582.66666666667)</f>
        <v>44582.66667</v>
      </c>
      <c r="B161" s="1">
        <f>IFERROR(__xludf.DUMMYFUNCTION("""COMPUTED_VALUE"""),164.42)</f>
        <v>164.42</v>
      </c>
      <c r="C161" s="1">
        <f>IFERROR(__xludf.DUMMYFUNCTION("""COMPUTED_VALUE"""),166.33)</f>
        <v>166.33</v>
      </c>
      <c r="D161" s="1">
        <f>IFERROR(__xludf.DUMMYFUNCTION("""COMPUTED_VALUE"""),162.3)</f>
        <v>162.3</v>
      </c>
      <c r="E161" s="1">
        <f>IFERROR(__xludf.DUMMYFUNCTION("""COMPUTED_VALUE"""),162.41)</f>
        <v>162.41</v>
      </c>
      <c r="F161" s="1">
        <f>IFERROR(__xludf.DUMMYFUNCTION("""COMPUTED_VALUE"""),1.22848858E8)</f>
        <v>122848858</v>
      </c>
    </row>
    <row r="162">
      <c r="A162" s="2">
        <f>IFERROR(__xludf.DUMMYFUNCTION("""COMPUTED_VALUE"""),44585.66666666667)</f>
        <v>44585.66667</v>
      </c>
      <c r="B162" s="1">
        <f>IFERROR(__xludf.DUMMYFUNCTION("""COMPUTED_VALUE"""),160.02)</f>
        <v>160.02</v>
      </c>
      <c r="C162" s="1">
        <f>IFERROR(__xludf.DUMMYFUNCTION("""COMPUTED_VALUE"""),162.3)</f>
        <v>162.3</v>
      </c>
      <c r="D162" s="1">
        <f>IFERROR(__xludf.DUMMYFUNCTION("""COMPUTED_VALUE"""),154.7)</f>
        <v>154.7</v>
      </c>
      <c r="E162" s="1">
        <f>IFERROR(__xludf.DUMMYFUNCTION("""COMPUTED_VALUE"""),161.62)</f>
        <v>161.62</v>
      </c>
      <c r="F162" s="1">
        <f>IFERROR(__xludf.DUMMYFUNCTION("""COMPUTED_VALUE"""),1.62706686E8)</f>
        <v>162706686</v>
      </c>
    </row>
    <row r="163">
      <c r="A163" s="2">
        <f>IFERROR(__xludf.DUMMYFUNCTION("""COMPUTED_VALUE"""),44586.66666666667)</f>
        <v>44586.66667</v>
      </c>
      <c r="B163" s="1">
        <f>IFERROR(__xludf.DUMMYFUNCTION("""COMPUTED_VALUE"""),158.98)</f>
        <v>158.98</v>
      </c>
      <c r="C163" s="1">
        <f>IFERROR(__xludf.DUMMYFUNCTION("""COMPUTED_VALUE"""),162.76)</f>
        <v>162.76</v>
      </c>
      <c r="D163" s="1">
        <f>IFERROR(__xludf.DUMMYFUNCTION("""COMPUTED_VALUE"""),157.02)</f>
        <v>157.02</v>
      </c>
      <c r="E163" s="1">
        <f>IFERROR(__xludf.DUMMYFUNCTION("""COMPUTED_VALUE"""),159.78)</f>
        <v>159.78</v>
      </c>
      <c r="F163" s="1">
        <f>IFERROR(__xludf.DUMMYFUNCTION("""COMPUTED_VALUE"""),1.15798367E8)</f>
        <v>115798367</v>
      </c>
    </row>
    <row r="164">
      <c r="A164" s="2">
        <f>IFERROR(__xludf.DUMMYFUNCTION("""COMPUTED_VALUE"""),44587.66666666667)</f>
        <v>44587.66667</v>
      </c>
      <c r="B164" s="1">
        <f>IFERROR(__xludf.DUMMYFUNCTION("""COMPUTED_VALUE"""),163.5)</f>
        <v>163.5</v>
      </c>
      <c r="C164" s="1">
        <f>IFERROR(__xludf.DUMMYFUNCTION("""COMPUTED_VALUE"""),164.39)</f>
        <v>164.39</v>
      </c>
      <c r="D164" s="1">
        <f>IFERROR(__xludf.DUMMYFUNCTION("""COMPUTED_VALUE"""),157.82)</f>
        <v>157.82</v>
      </c>
      <c r="E164" s="1">
        <f>IFERROR(__xludf.DUMMYFUNCTION("""COMPUTED_VALUE"""),159.69)</f>
        <v>159.69</v>
      </c>
      <c r="F164" s="1">
        <f>IFERROR(__xludf.DUMMYFUNCTION("""COMPUTED_VALUE"""),1.08275308E8)</f>
        <v>108275308</v>
      </c>
    </row>
    <row r="165">
      <c r="A165" s="2">
        <f>IFERROR(__xludf.DUMMYFUNCTION("""COMPUTED_VALUE"""),44588.66666666667)</f>
        <v>44588.66667</v>
      </c>
      <c r="B165" s="1">
        <f>IFERROR(__xludf.DUMMYFUNCTION("""COMPUTED_VALUE"""),162.45)</f>
        <v>162.45</v>
      </c>
      <c r="C165" s="1">
        <f>IFERROR(__xludf.DUMMYFUNCTION("""COMPUTED_VALUE"""),163.84)</f>
        <v>163.84</v>
      </c>
      <c r="D165" s="1">
        <f>IFERROR(__xludf.DUMMYFUNCTION("""COMPUTED_VALUE"""),158.28)</f>
        <v>158.28</v>
      </c>
      <c r="E165" s="1">
        <f>IFERROR(__xludf.DUMMYFUNCTION("""COMPUTED_VALUE"""),159.22)</f>
        <v>159.22</v>
      </c>
      <c r="F165" s="1">
        <f>IFERROR(__xludf.DUMMYFUNCTION("""COMPUTED_VALUE"""),1.21954638E8)</f>
        <v>121954638</v>
      </c>
    </row>
    <row r="166">
      <c r="A166" s="2">
        <f>IFERROR(__xludf.DUMMYFUNCTION("""COMPUTED_VALUE"""),44589.66666666667)</f>
        <v>44589.66667</v>
      </c>
      <c r="B166" s="1">
        <f>IFERROR(__xludf.DUMMYFUNCTION("""COMPUTED_VALUE"""),165.71)</f>
        <v>165.71</v>
      </c>
      <c r="C166" s="1">
        <f>IFERROR(__xludf.DUMMYFUNCTION("""COMPUTED_VALUE"""),170.35)</f>
        <v>170.35</v>
      </c>
      <c r="D166" s="1">
        <f>IFERROR(__xludf.DUMMYFUNCTION("""COMPUTED_VALUE"""),162.8)</f>
        <v>162.8</v>
      </c>
      <c r="E166" s="1">
        <f>IFERROR(__xludf.DUMMYFUNCTION("""COMPUTED_VALUE"""),170.33)</f>
        <v>170.33</v>
      </c>
      <c r="F166" s="1">
        <f>IFERROR(__xludf.DUMMYFUNCTION("""COMPUTED_VALUE"""),1.7993566E8)</f>
        <v>179935660</v>
      </c>
    </row>
    <row r="167">
      <c r="A167" s="2">
        <f>IFERROR(__xludf.DUMMYFUNCTION("""COMPUTED_VALUE"""),44592.66666666667)</f>
        <v>44592.66667</v>
      </c>
      <c r="B167" s="1">
        <f>IFERROR(__xludf.DUMMYFUNCTION("""COMPUTED_VALUE"""),170.16)</f>
        <v>170.16</v>
      </c>
      <c r="C167" s="1">
        <f>IFERROR(__xludf.DUMMYFUNCTION("""COMPUTED_VALUE"""),175.0)</f>
        <v>175</v>
      </c>
      <c r="D167" s="1">
        <f>IFERROR(__xludf.DUMMYFUNCTION("""COMPUTED_VALUE"""),169.51)</f>
        <v>169.51</v>
      </c>
      <c r="E167" s="1">
        <f>IFERROR(__xludf.DUMMYFUNCTION("""COMPUTED_VALUE"""),174.78)</f>
        <v>174.78</v>
      </c>
      <c r="F167" s="1">
        <f>IFERROR(__xludf.DUMMYFUNCTION("""COMPUTED_VALUE"""),1.1554159E8)</f>
        <v>115541590</v>
      </c>
    </row>
    <row r="168">
      <c r="A168" s="2">
        <f>IFERROR(__xludf.DUMMYFUNCTION("""COMPUTED_VALUE"""),44593.66666666667)</f>
        <v>44593.66667</v>
      </c>
      <c r="B168" s="1">
        <f>IFERROR(__xludf.DUMMYFUNCTION("""COMPUTED_VALUE"""),174.01)</f>
        <v>174.01</v>
      </c>
      <c r="C168" s="1">
        <f>IFERROR(__xludf.DUMMYFUNCTION("""COMPUTED_VALUE"""),174.84)</f>
        <v>174.84</v>
      </c>
      <c r="D168" s="1">
        <f>IFERROR(__xludf.DUMMYFUNCTION("""COMPUTED_VALUE"""),172.31)</f>
        <v>172.31</v>
      </c>
      <c r="E168" s="1">
        <f>IFERROR(__xludf.DUMMYFUNCTION("""COMPUTED_VALUE"""),174.61)</f>
        <v>174.61</v>
      </c>
      <c r="F168" s="1">
        <f>IFERROR(__xludf.DUMMYFUNCTION("""COMPUTED_VALUE"""),8.6213911E7)</f>
        <v>86213911</v>
      </c>
    </row>
    <row r="169">
      <c r="A169" s="2">
        <f>IFERROR(__xludf.DUMMYFUNCTION("""COMPUTED_VALUE"""),44594.66666666667)</f>
        <v>44594.66667</v>
      </c>
      <c r="B169" s="1">
        <f>IFERROR(__xludf.DUMMYFUNCTION("""COMPUTED_VALUE"""),174.75)</f>
        <v>174.75</v>
      </c>
      <c r="C169" s="1">
        <f>IFERROR(__xludf.DUMMYFUNCTION("""COMPUTED_VALUE"""),175.88)</f>
        <v>175.88</v>
      </c>
      <c r="D169" s="1">
        <f>IFERROR(__xludf.DUMMYFUNCTION("""COMPUTED_VALUE"""),173.33)</f>
        <v>173.33</v>
      </c>
      <c r="E169" s="1">
        <f>IFERROR(__xludf.DUMMYFUNCTION("""COMPUTED_VALUE"""),175.84)</f>
        <v>175.84</v>
      </c>
      <c r="F169" s="1">
        <f>IFERROR(__xludf.DUMMYFUNCTION("""COMPUTED_VALUE"""),8.4914256E7)</f>
        <v>84914256</v>
      </c>
    </row>
    <row r="170">
      <c r="A170" s="2">
        <f>IFERROR(__xludf.DUMMYFUNCTION("""COMPUTED_VALUE"""),44595.66666666667)</f>
        <v>44595.66667</v>
      </c>
      <c r="B170" s="1">
        <f>IFERROR(__xludf.DUMMYFUNCTION("""COMPUTED_VALUE"""),174.48)</f>
        <v>174.48</v>
      </c>
      <c r="C170" s="1">
        <f>IFERROR(__xludf.DUMMYFUNCTION("""COMPUTED_VALUE"""),176.24)</f>
        <v>176.24</v>
      </c>
      <c r="D170" s="1">
        <f>IFERROR(__xludf.DUMMYFUNCTION("""COMPUTED_VALUE"""),172.12)</f>
        <v>172.12</v>
      </c>
      <c r="E170" s="1">
        <f>IFERROR(__xludf.DUMMYFUNCTION("""COMPUTED_VALUE"""),172.9)</f>
        <v>172.9</v>
      </c>
      <c r="F170" s="1">
        <f>IFERROR(__xludf.DUMMYFUNCTION("""COMPUTED_VALUE"""),8.9418074E7)</f>
        <v>89418074</v>
      </c>
    </row>
    <row r="171">
      <c r="A171" s="2">
        <f>IFERROR(__xludf.DUMMYFUNCTION("""COMPUTED_VALUE"""),44596.66666666667)</f>
        <v>44596.66667</v>
      </c>
      <c r="B171" s="1">
        <f>IFERROR(__xludf.DUMMYFUNCTION("""COMPUTED_VALUE"""),171.68)</f>
        <v>171.68</v>
      </c>
      <c r="C171" s="1">
        <f>IFERROR(__xludf.DUMMYFUNCTION("""COMPUTED_VALUE"""),174.1)</f>
        <v>174.1</v>
      </c>
      <c r="D171" s="1">
        <f>IFERROR(__xludf.DUMMYFUNCTION("""COMPUTED_VALUE"""),170.68)</f>
        <v>170.68</v>
      </c>
      <c r="E171" s="1">
        <f>IFERROR(__xludf.DUMMYFUNCTION("""COMPUTED_VALUE"""),172.39)</f>
        <v>172.39</v>
      </c>
      <c r="F171" s="1">
        <f>IFERROR(__xludf.DUMMYFUNCTION("""COMPUTED_VALUE"""),8.24654E7)</f>
        <v>82465400</v>
      </c>
    </row>
    <row r="172">
      <c r="A172" s="2">
        <f>IFERROR(__xludf.DUMMYFUNCTION("""COMPUTED_VALUE"""),44599.66666666667)</f>
        <v>44599.66667</v>
      </c>
      <c r="B172" s="1">
        <f>IFERROR(__xludf.DUMMYFUNCTION("""COMPUTED_VALUE"""),172.86)</f>
        <v>172.86</v>
      </c>
      <c r="C172" s="1">
        <f>IFERROR(__xludf.DUMMYFUNCTION("""COMPUTED_VALUE"""),173.95)</f>
        <v>173.95</v>
      </c>
      <c r="D172" s="1">
        <f>IFERROR(__xludf.DUMMYFUNCTION("""COMPUTED_VALUE"""),170.95)</f>
        <v>170.95</v>
      </c>
      <c r="E172" s="1">
        <f>IFERROR(__xludf.DUMMYFUNCTION("""COMPUTED_VALUE"""),171.66)</f>
        <v>171.66</v>
      </c>
      <c r="F172" s="1">
        <f>IFERROR(__xludf.DUMMYFUNCTION("""COMPUTED_VALUE"""),7.7251204E7)</f>
        <v>77251204</v>
      </c>
    </row>
    <row r="173">
      <c r="A173" s="2">
        <f>IFERROR(__xludf.DUMMYFUNCTION("""COMPUTED_VALUE"""),44600.66666666667)</f>
        <v>44600.66667</v>
      </c>
      <c r="B173" s="1">
        <f>IFERROR(__xludf.DUMMYFUNCTION("""COMPUTED_VALUE"""),171.73)</f>
        <v>171.73</v>
      </c>
      <c r="C173" s="1">
        <f>IFERROR(__xludf.DUMMYFUNCTION("""COMPUTED_VALUE"""),175.35)</f>
        <v>175.35</v>
      </c>
      <c r="D173" s="1">
        <f>IFERROR(__xludf.DUMMYFUNCTION("""COMPUTED_VALUE"""),171.43)</f>
        <v>171.43</v>
      </c>
      <c r="E173" s="1">
        <f>IFERROR(__xludf.DUMMYFUNCTION("""COMPUTED_VALUE"""),174.83)</f>
        <v>174.83</v>
      </c>
      <c r="F173" s="1">
        <f>IFERROR(__xludf.DUMMYFUNCTION("""COMPUTED_VALUE"""),7.4829217E7)</f>
        <v>74829217</v>
      </c>
    </row>
    <row r="174">
      <c r="A174" s="2">
        <f>IFERROR(__xludf.DUMMYFUNCTION("""COMPUTED_VALUE"""),44601.66666666667)</f>
        <v>44601.66667</v>
      </c>
      <c r="B174" s="1">
        <f>IFERROR(__xludf.DUMMYFUNCTION("""COMPUTED_VALUE"""),176.05)</f>
        <v>176.05</v>
      </c>
      <c r="C174" s="1">
        <f>IFERROR(__xludf.DUMMYFUNCTION("""COMPUTED_VALUE"""),176.65)</f>
        <v>176.65</v>
      </c>
      <c r="D174" s="1">
        <f>IFERROR(__xludf.DUMMYFUNCTION("""COMPUTED_VALUE"""),174.9)</f>
        <v>174.9</v>
      </c>
      <c r="E174" s="1">
        <f>IFERROR(__xludf.DUMMYFUNCTION("""COMPUTED_VALUE"""),176.28)</f>
        <v>176.28</v>
      </c>
      <c r="F174" s="1">
        <f>IFERROR(__xludf.DUMMYFUNCTION("""COMPUTED_VALUE"""),7.1285038E7)</f>
        <v>71285038</v>
      </c>
    </row>
    <row r="175">
      <c r="A175" s="2">
        <f>IFERROR(__xludf.DUMMYFUNCTION("""COMPUTED_VALUE"""),44602.66666666667)</f>
        <v>44602.66667</v>
      </c>
      <c r="B175" s="1">
        <f>IFERROR(__xludf.DUMMYFUNCTION("""COMPUTED_VALUE"""),174.14)</f>
        <v>174.14</v>
      </c>
      <c r="C175" s="1">
        <f>IFERROR(__xludf.DUMMYFUNCTION("""COMPUTED_VALUE"""),175.48)</f>
        <v>175.48</v>
      </c>
      <c r="D175" s="1">
        <f>IFERROR(__xludf.DUMMYFUNCTION("""COMPUTED_VALUE"""),171.55)</f>
        <v>171.55</v>
      </c>
      <c r="E175" s="1">
        <f>IFERROR(__xludf.DUMMYFUNCTION("""COMPUTED_VALUE"""),172.12)</f>
        <v>172.12</v>
      </c>
      <c r="F175" s="1">
        <f>IFERROR(__xludf.DUMMYFUNCTION("""COMPUTED_VALUE"""),9.0865899E7)</f>
        <v>90865899</v>
      </c>
    </row>
    <row r="176">
      <c r="A176" s="2">
        <f>IFERROR(__xludf.DUMMYFUNCTION("""COMPUTED_VALUE"""),44603.66666666667)</f>
        <v>44603.66667</v>
      </c>
      <c r="B176" s="1">
        <f>IFERROR(__xludf.DUMMYFUNCTION("""COMPUTED_VALUE"""),172.33)</f>
        <v>172.33</v>
      </c>
      <c r="C176" s="1">
        <f>IFERROR(__xludf.DUMMYFUNCTION("""COMPUTED_VALUE"""),173.08)</f>
        <v>173.08</v>
      </c>
      <c r="D176" s="1">
        <f>IFERROR(__xludf.DUMMYFUNCTION("""COMPUTED_VALUE"""),168.04)</f>
        <v>168.04</v>
      </c>
      <c r="E176" s="1">
        <f>IFERROR(__xludf.DUMMYFUNCTION("""COMPUTED_VALUE"""),168.64)</f>
        <v>168.64</v>
      </c>
      <c r="F176" s="1">
        <f>IFERROR(__xludf.DUMMYFUNCTION("""COMPUTED_VALUE"""),9.8670687E7)</f>
        <v>98670687</v>
      </c>
    </row>
    <row r="177">
      <c r="A177" s="2">
        <f>IFERROR(__xludf.DUMMYFUNCTION("""COMPUTED_VALUE"""),44606.66666666667)</f>
        <v>44606.66667</v>
      </c>
      <c r="B177" s="1">
        <f>IFERROR(__xludf.DUMMYFUNCTION("""COMPUTED_VALUE"""),167.37)</f>
        <v>167.37</v>
      </c>
      <c r="C177" s="1">
        <f>IFERROR(__xludf.DUMMYFUNCTION("""COMPUTED_VALUE"""),169.58)</f>
        <v>169.58</v>
      </c>
      <c r="D177" s="1">
        <f>IFERROR(__xludf.DUMMYFUNCTION("""COMPUTED_VALUE"""),166.56)</f>
        <v>166.56</v>
      </c>
      <c r="E177" s="1">
        <f>IFERROR(__xludf.DUMMYFUNCTION("""COMPUTED_VALUE"""),168.88)</f>
        <v>168.88</v>
      </c>
      <c r="F177" s="1">
        <f>IFERROR(__xludf.DUMMYFUNCTION("""COMPUTED_VALUE"""),8.618553E7)</f>
        <v>86185530</v>
      </c>
    </row>
    <row r="178">
      <c r="A178" s="2">
        <f>IFERROR(__xludf.DUMMYFUNCTION("""COMPUTED_VALUE"""),44607.66666666667)</f>
        <v>44607.66667</v>
      </c>
      <c r="B178" s="1">
        <f>IFERROR(__xludf.DUMMYFUNCTION("""COMPUTED_VALUE"""),170.97)</f>
        <v>170.97</v>
      </c>
      <c r="C178" s="1">
        <f>IFERROR(__xludf.DUMMYFUNCTION("""COMPUTED_VALUE"""),172.95)</f>
        <v>172.95</v>
      </c>
      <c r="D178" s="1">
        <f>IFERROR(__xludf.DUMMYFUNCTION("""COMPUTED_VALUE"""),170.25)</f>
        <v>170.25</v>
      </c>
      <c r="E178" s="1">
        <f>IFERROR(__xludf.DUMMYFUNCTION("""COMPUTED_VALUE"""),172.79)</f>
        <v>172.79</v>
      </c>
      <c r="F178" s="1">
        <f>IFERROR(__xludf.DUMMYFUNCTION("""COMPUTED_VALUE"""),6.428632E7)</f>
        <v>64286320</v>
      </c>
    </row>
    <row r="179">
      <c r="A179" s="2">
        <f>IFERROR(__xludf.DUMMYFUNCTION("""COMPUTED_VALUE"""),44608.66666666667)</f>
        <v>44608.66667</v>
      </c>
      <c r="B179" s="1">
        <f>IFERROR(__xludf.DUMMYFUNCTION("""COMPUTED_VALUE"""),171.85)</f>
        <v>171.85</v>
      </c>
      <c r="C179" s="1">
        <f>IFERROR(__xludf.DUMMYFUNCTION("""COMPUTED_VALUE"""),173.34)</f>
        <v>173.34</v>
      </c>
      <c r="D179" s="1">
        <f>IFERROR(__xludf.DUMMYFUNCTION("""COMPUTED_VALUE"""),170.05)</f>
        <v>170.05</v>
      </c>
      <c r="E179" s="1">
        <f>IFERROR(__xludf.DUMMYFUNCTION("""COMPUTED_VALUE"""),172.55)</f>
        <v>172.55</v>
      </c>
      <c r="F179" s="1">
        <f>IFERROR(__xludf.DUMMYFUNCTION("""COMPUTED_VALUE"""),6.1177398E7)</f>
        <v>61177398</v>
      </c>
    </row>
    <row r="180">
      <c r="A180" s="2">
        <f>IFERROR(__xludf.DUMMYFUNCTION("""COMPUTED_VALUE"""),44609.66666666667)</f>
        <v>44609.66667</v>
      </c>
      <c r="B180" s="1">
        <f>IFERROR(__xludf.DUMMYFUNCTION("""COMPUTED_VALUE"""),171.03)</f>
        <v>171.03</v>
      </c>
      <c r="C180" s="1">
        <f>IFERROR(__xludf.DUMMYFUNCTION("""COMPUTED_VALUE"""),171.91)</f>
        <v>171.91</v>
      </c>
      <c r="D180" s="1">
        <f>IFERROR(__xludf.DUMMYFUNCTION("""COMPUTED_VALUE"""),168.47)</f>
        <v>168.47</v>
      </c>
      <c r="E180" s="1">
        <f>IFERROR(__xludf.DUMMYFUNCTION("""COMPUTED_VALUE"""),168.88)</f>
        <v>168.88</v>
      </c>
      <c r="F180" s="1">
        <f>IFERROR(__xludf.DUMMYFUNCTION("""COMPUTED_VALUE"""),6.9589344E7)</f>
        <v>69589344</v>
      </c>
    </row>
    <row r="181">
      <c r="A181" s="2">
        <f>IFERROR(__xludf.DUMMYFUNCTION("""COMPUTED_VALUE"""),44610.66666666667)</f>
        <v>44610.66667</v>
      </c>
      <c r="B181" s="1">
        <f>IFERROR(__xludf.DUMMYFUNCTION("""COMPUTED_VALUE"""),169.82)</f>
        <v>169.82</v>
      </c>
      <c r="C181" s="1">
        <f>IFERROR(__xludf.DUMMYFUNCTION("""COMPUTED_VALUE"""),170.54)</f>
        <v>170.54</v>
      </c>
      <c r="D181" s="1">
        <f>IFERROR(__xludf.DUMMYFUNCTION("""COMPUTED_VALUE"""),166.19)</f>
        <v>166.19</v>
      </c>
      <c r="E181" s="1">
        <f>IFERROR(__xludf.DUMMYFUNCTION("""COMPUTED_VALUE"""),167.3)</f>
        <v>167.3</v>
      </c>
      <c r="F181" s="1">
        <f>IFERROR(__xludf.DUMMYFUNCTION("""COMPUTED_VALUE"""),8.2772674E7)</f>
        <v>82772674</v>
      </c>
    </row>
    <row r="182">
      <c r="A182" s="2">
        <f>IFERROR(__xludf.DUMMYFUNCTION("""COMPUTED_VALUE"""),44614.66666666667)</f>
        <v>44614.66667</v>
      </c>
      <c r="B182" s="1">
        <f>IFERROR(__xludf.DUMMYFUNCTION("""COMPUTED_VALUE"""),164.98)</f>
        <v>164.98</v>
      </c>
      <c r="C182" s="1">
        <f>IFERROR(__xludf.DUMMYFUNCTION("""COMPUTED_VALUE"""),166.69)</f>
        <v>166.69</v>
      </c>
      <c r="D182" s="1">
        <f>IFERROR(__xludf.DUMMYFUNCTION("""COMPUTED_VALUE"""),162.15)</f>
        <v>162.15</v>
      </c>
      <c r="E182" s="1">
        <f>IFERROR(__xludf.DUMMYFUNCTION("""COMPUTED_VALUE"""),164.32)</f>
        <v>164.32</v>
      </c>
      <c r="F182" s="1">
        <f>IFERROR(__xludf.DUMMYFUNCTION("""COMPUTED_VALUE"""),9.1162758E7)</f>
        <v>91162758</v>
      </c>
    </row>
    <row r="183">
      <c r="A183" s="2">
        <f>IFERROR(__xludf.DUMMYFUNCTION("""COMPUTED_VALUE"""),44615.66666666667)</f>
        <v>44615.66667</v>
      </c>
      <c r="B183" s="1">
        <f>IFERROR(__xludf.DUMMYFUNCTION("""COMPUTED_VALUE"""),165.54)</f>
        <v>165.54</v>
      </c>
      <c r="C183" s="1">
        <f>IFERROR(__xludf.DUMMYFUNCTION("""COMPUTED_VALUE"""),166.15)</f>
        <v>166.15</v>
      </c>
      <c r="D183" s="1">
        <f>IFERROR(__xludf.DUMMYFUNCTION("""COMPUTED_VALUE"""),159.75)</f>
        <v>159.75</v>
      </c>
      <c r="E183" s="1">
        <f>IFERROR(__xludf.DUMMYFUNCTION("""COMPUTED_VALUE"""),160.07)</f>
        <v>160.07</v>
      </c>
      <c r="F183" s="1">
        <f>IFERROR(__xludf.DUMMYFUNCTION("""COMPUTED_VALUE"""),9.0009247E7)</f>
        <v>90009247</v>
      </c>
    </row>
    <row r="184">
      <c r="A184" s="2">
        <f>IFERROR(__xludf.DUMMYFUNCTION("""COMPUTED_VALUE"""),44616.66666666667)</f>
        <v>44616.66667</v>
      </c>
      <c r="B184" s="1">
        <f>IFERROR(__xludf.DUMMYFUNCTION("""COMPUTED_VALUE"""),152.58)</f>
        <v>152.58</v>
      </c>
      <c r="C184" s="1">
        <f>IFERROR(__xludf.DUMMYFUNCTION("""COMPUTED_VALUE"""),162.85)</f>
        <v>162.85</v>
      </c>
      <c r="D184" s="1">
        <f>IFERROR(__xludf.DUMMYFUNCTION("""COMPUTED_VALUE"""),152.0)</f>
        <v>152</v>
      </c>
      <c r="E184" s="1">
        <f>IFERROR(__xludf.DUMMYFUNCTION("""COMPUTED_VALUE"""),162.74)</f>
        <v>162.74</v>
      </c>
      <c r="F184" s="1">
        <f>IFERROR(__xludf.DUMMYFUNCTION("""COMPUTED_VALUE"""),1.4114754E8)</f>
        <v>141147540</v>
      </c>
    </row>
    <row r="185">
      <c r="A185" s="2">
        <f>IFERROR(__xludf.DUMMYFUNCTION("""COMPUTED_VALUE"""),44617.66666666667)</f>
        <v>44617.66667</v>
      </c>
      <c r="B185" s="1">
        <f>IFERROR(__xludf.DUMMYFUNCTION("""COMPUTED_VALUE"""),163.84)</f>
        <v>163.84</v>
      </c>
      <c r="C185" s="1">
        <f>IFERROR(__xludf.DUMMYFUNCTION("""COMPUTED_VALUE"""),165.12)</f>
        <v>165.12</v>
      </c>
      <c r="D185" s="1">
        <f>IFERROR(__xludf.DUMMYFUNCTION("""COMPUTED_VALUE"""),160.87)</f>
        <v>160.87</v>
      </c>
      <c r="E185" s="1">
        <f>IFERROR(__xludf.DUMMYFUNCTION("""COMPUTED_VALUE"""),164.85)</f>
        <v>164.85</v>
      </c>
      <c r="F185" s="1">
        <f>IFERROR(__xludf.DUMMYFUNCTION("""COMPUTED_VALUE"""),9.1974222E7)</f>
        <v>91974222</v>
      </c>
    </row>
    <row r="186">
      <c r="A186" s="2">
        <f>IFERROR(__xludf.DUMMYFUNCTION("""COMPUTED_VALUE"""),44620.66666666667)</f>
        <v>44620.66667</v>
      </c>
      <c r="B186" s="1">
        <f>IFERROR(__xludf.DUMMYFUNCTION("""COMPUTED_VALUE"""),163.06)</f>
        <v>163.06</v>
      </c>
      <c r="C186" s="1">
        <f>IFERROR(__xludf.DUMMYFUNCTION("""COMPUTED_VALUE"""),165.42)</f>
        <v>165.42</v>
      </c>
      <c r="D186" s="1">
        <f>IFERROR(__xludf.DUMMYFUNCTION("""COMPUTED_VALUE"""),162.43)</f>
        <v>162.43</v>
      </c>
      <c r="E186" s="1">
        <f>IFERROR(__xludf.DUMMYFUNCTION("""COMPUTED_VALUE"""),165.12)</f>
        <v>165.12</v>
      </c>
      <c r="F186" s="1">
        <f>IFERROR(__xludf.DUMMYFUNCTION("""COMPUTED_VALUE"""),9.5056629E7)</f>
        <v>95056629</v>
      </c>
    </row>
    <row r="187">
      <c r="A187" s="2">
        <f>IFERROR(__xludf.DUMMYFUNCTION("""COMPUTED_VALUE"""),44621.66666666667)</f>
        <v>44621.66667</v>
      </c>
      <c r="B187" s="1">
        <f>IFERROR(__xludf.DUMMYFUNCTION("""COMPUTED_VALUE"""),164.7)</f>
        <v>164.7</v>
      </c>
      <c r="C187" s="1">
        <f>IFERROR(__xludf.DUMMYFUNCTION("""COMPUTED_VALUE"""),166.6)</f>
        <v>166.6</v>
      </c>
      <c r="D187" s="1">
        <f>IFERROR(__xludf.DUMMYFUNCTION("""COMPUTED_VALUE"""),161.97)</f>
        <v>161.97</v>
      </c>
      <c r="E187" s="1">
        <f>IFERROR(__xludf.DUMMYFUNCTION("""COMPUTED_VALUE"""),163.2)</f>
        <v>163.2</v>
      </c>
      <c r="F187" s="1">
        <f>IFERROR(__xludf.DUMMYFUNCTION("""COMPUTED_VALUE"""),8.3474425E7)</f>
        <v>83474425</v>
      </c>
    </row>
    <row r="188">
      <c r="A188" s="2">
        <f>IFERROR(__xludf.DUMMYFUNCTION("""COMPUTED_VALUE"""),44622.66666666667)</f>
        <v>44622.66667</v>
      </c>
      <c r="B188" s="1">
        <f>IFERROR(__xludf.DUMMYFUNCTION("""COMPUTED_VALUE"""),164.39)</f>
        <v>164.39</v>
      </c>
      <c r="C188" s="1">
        <f>IFERROR(__xludf.DUMMYFUNCTION("""COMPUTED_VALUE"""),167.36)</f>
        <v>167.36</v>
      </c>
      <c r="D188" s="1">
        <f>IFERROR(__xludf.DUMMYFUNCTION("""COMPUTED_VALUE"""),162.95)</f>
        <v>162.95</v>
      </c>
      <c r="E188" s="1">
        <f>IFERROR(__xludf.DUMMYFUNCTION("""COMPUTED_VALUE"""),166.56)</f>
        <v>166.56</v>
      </c>
      <c r="F188" s="1">
        <f>IFERROR(__xludf.DUMMYFUNCTION("""COMPUTED_VALUE"""),7.972475E7)</f>
        <v>79724750</v>
      </c>
    </row>
    <row r="189">
      <c r="A189" s="2">
        <f>IFERROR(__xludf.DUMMYFUNCTION("""COMPUTED_VALUE"""),44623.66666666667)</f>
        <v>44623.66667</v>
      </c>
      <c r="B189" s="1">
        <f>IFERROR(__xludf.DUMMYFUNCTION("""COMPUTED_VALUE"""),168.47)</f>
        <v>168.47</v>
      </c>
      <c r="C189" s="1">
        <f>IFERROR(__xludf.DUMMYFUNCTION("""COMPUTED_VALUE"""),168.91)</f>
        <v>168.91</v>
      </c>
      <c r="D189" s="1">
        <f>IFERROR(__xludf.DUMMYFUNCTION("""COMPUTED_VALUE"""),165.55)</f>
        <v>165.55</v>
      </c>
      <c r="E189" s="1">
        <f>IFERROR(__xludf.DUMMYFUNCTION("""COMPUTED_VALUE"""),166.23)</f>
        <v>166.23</v>
      </c>
      <c r="F189" s="1">
        <f>IFERROR(__xludf.DUMMYFUNCTION("""COMPUTED_VALUE"""),7.6678441E7)</f>
        <v>76678441</v>
      </c>
    </row>
    <row r="190">
      <c r="A190" s="2">
        <f>IFERROR(__xludf.DUMMYFUNCTION("""COMPUTED_VALUE"""),44624.66666666667)</f>
        <v>44624.66667</v>
      </c>
      <c r="B190" s="1">
        <f>IFERROR(__xludf.DUMMYFUNCTION("""COMPUTED_VALUE"""),164.49)</f>
        <v>164.49</v>
      </c>
      <c r="C190" s="1">
        <f>IFERROR(__xludf.DUMMYFUNCTION("""COMPUTED_VALUE"""),165.55)</f>
        <v>165.55</v>
      </c>
      <c r="D190" s="1">
        <f>IFERROR(__xludf.DUMMYFUNCTION("""COMPUTED_VALUE"""),162.1)</f>
        <v>162.1</v>
      </c>
      <c r="E190" s="1">
        <f>IFERROR(__xludf.DUMMYFUNCTION("""COMPUTED_VALUE"""),163.17)</f>
        <v>163.17</v>
      </c>
      <c r="F190" s="1">
        <f>IFERROR(__xludf.DUMMYFUNCTION("""COMPUTED_VALUE"""),8.3819592E7)</f>
        <v>83819592</v>
      </c>
    </row>
    <row r="191">
      <c r="A191" s="2">
        <f>IFERROR(__xludf.DUMMYFUNCTION("""COMPUTED_VALUE"""),44627.66666666667)</f>
        <v>44627.66667</v>
      </c>
      <c r="B191" s="1">
        <f>IFERROR(__xludf.DUMMYFUNCTION("""COMPUTED_VALUE"""),163.36)</f>
        <v>163.36</v>
      </c>
      <c r="C191" s="1">
        <f>IFERROR(__xludf.DUMMYFUNCTION("""COMPUTED_VALUE"""),165.02)</f>
        <v>165.02</v>
      </c>
      <c r="D191" s="1">
        <f>IFERROR(__xludf.DUMMYFUNCTION("""COMPUTED_VALUE"""),159.04)</f>
        <v>159.04</v>
      </c>
      <c r="E191" s="1">
        <f>IFERROR(__xludf.DUMMYFUNCTION("""COMPUTED_VALUE"""),159.3)</f>
        <v>159.3</v>
      </c>
      <c r="F191" s="1">
        <f>IFERROR(__xludf.DUMMYFUNCTION("""COMPUTED_VALUE"""),9.6418845E7)</f>
        <v>96418845</v>
      </c>
    </row>
    <row r="192">
      <c r="A192" s="2">
        <f>IFERROR(__xludf.DUMMYFUNCTION("""COMPUTED_VALUE"""),44628.66666666667)</f>
        <v>44628.66667</v>
      </c>
      <c r="B192" s="1">
        <f>IFERROR(__xludf.DUMMYFUNCTION("""COMPUTED_VALUE"""),158.82)</f>
        <v>158.82</v>
      </c>
      <c r="C192" s="1">
        <f>IFERROR(__xludf.DUMMYFUNCTION("""COMPUTED_VALUE"""),162.88)</f>
        <v>162.88</v>
      </c>
      <c r="D192" s="1">
        <f>IFERROR(__xludf.DUMMYFUNCTION("""COMPUTED_VALUE"""),155.8)</f>
        <v>155.8</v>
      </c>
      <c r="E192" s="1">
        <f>IFERROR(__xludf.DUMMYFUNCTION("""COMPUTED_VALUE"""),157.44)</f>
        <v>157.44</v>
      </c>
      <c r="F192" s="1">
        <f>IFERROR(__xludf.DUMMYFUNCTION("""COMPUTED_VALUE"""),1.3114828E8)</f>
        <v>131148280</v>
      </c>
    </row>
    <row r="193">
      <c r="A193" s="2">
        <f>IFERROR(__xludf.DUMMYFUNCTION("""COMPUTED_VALUE"""),44629.66666666667)</f>
        <v>44629.66667</v>
      </c>
      <c r="B193" s="1">
        <f>IFERROR(__xludf.DUMMYFUNCTION("""COMPUTED_VALUE"""),161.48)</f>
        <v>161.48</v>
      </c>
      <c r="C193" s="1">
        <f>IFERROR(__xludf.DUMMYFUNCTION("""COMPUTED_VALUE"""),163.41)</f>
        <v>163.41</v>
      </c>
      <c r="D193" s="1">
        <f>IFERROR(__xludf.DUMMYFUNCTION("""COMPUTED_VALUE"""),159.41)</f>
        <v>159.41</v>
      </c>
      <c r="E193" s="1">
        <f>IFERROR(__xludf.DUMMYFUNCTION("""COMPUTED_VALUE"""),162.95)</f>
        <v>162.95</v>
      </c>
      <c r="F193" s="1">
        <f>IFERROR(__xludf.DUMMYFUNCTION("""COMPUTED_VALUE"""),9.1454905E7)</f>
        <v>91454905</v>
      </c>
    </row>
    <row r="194">
      <c r="A194" s="2">
        <f>IFERROR(__xludf.DUMMYFUNCTION("""COMPUTED_VALUE"""),44630.66666666667)</f>
        <v>44630.66667</v>
      </c>
      <c r="B194" s="1">
        <f>IFERROR(__xludf.DUMMYFUNCTION("""COMPUTED_VALUE"""),160.2)</f>
        <v>160.2</v>
      </c>
      <c r="C194" s="1">
        <f>IFERROR(__xludf.DUMMYFUNCTION("""COMPUTED_VALUE"""),160.39)</f>
        <v>160.39</v>
      </c>
      <c r="D194" s="1">
        <f>IFERROR(__xludf.DUMMYFUNCTION("""COMPUTED_VALUE"""),155.98)</f>
        <v>155.98</v>
      </c>
      <c r="E194" s="1">
        <f>IFERROR(__xludf.DUMMYFUNCTION("""COMPUTED_VALUE"""),158.52)</f>
        <v>158.52</v>
      </c>
      <c r="F194" s="1">
        <f>IFERROR(__xludf.DUMMYFUNCTION("""COMPUTED_VALUE"""),1.05342033E8)</f>
        <v>105342033</v>
      </c>
    </row>
    <row r="195">
      <c r="A195" s="2">
        <f>IFERROR(__xludf.DUMMYFUNCTION("""COMPUTED_VALUE"""),44631.66666666667)</f>
        <v>44631.66667</v>
      </c>
      <c r="B195" s="1">
        <f>IFERROR(__xludf.DUMMYFUNCTION("""COMPUTED_VALUE"""),158.93)</f>
        <v>158.93</v>
      </c>
      <c r="C195" s="1">
        <f>IFERROR(__xludf.DUMMYFUNCTION("""COMPUTED_VALUE"""),159.28)</f>
        <v>159.28</v>
      </c>
      <c r="D195" s="1">
        <f>IFERROR(__xludf.DUMMYFUNCTION("""COMPUTED_VALUE"""),154.5)</f>
        <v>154.5</v>
      </c>
      <c r="E195" s="1">
        <f>IFERROR(__xludf.DUMMYFUNCTION("""COMPUTED_VALUE"""),154.73)</f>
        <v>154.73</v>
      </c>
      <c r="F195" s="1">
        <f>IFERROR(__xludf.DUMMYFUNCTION("""COMPUTED_VALUE"""),9.6970102E7)</f>
        <v>96970102</v>
      </c>
    </row>
    <row r="196">
      <c r="A196" s="2">
        <f>IFERROR(__xludf.DUMMYFUNCTION("""COMPUTED_VALUE"""),44634.66666666667)</f>
        <v>44634.66667</v>
      </c>
      <c r="B196" s="1">
        <f>IFERROR(__xludf.DUMMYFUNCTION("""COMPUTED_VALUE"""),151.45)</f>
        <v>151.45</v>
      </c>
      <c r="C196" s="1">
        <f>IFERROR(__xludf.DUMMYFUNCTION("""COMPUTED_VALUE"""),154.12)</f>
        <v>154.12</v>
      </c>
      <c r="D196" s="1">
        <f>IFERROR(__xludf.DUMMYFUNCTION("""COMPUTED_VALUE"""),150.1)</f>
        <v>150.1</v>
      </c>
      <c r="E196" s="1">
        <f>IFERROR(__xludf.DUMMYFUNCTION("""COMPUTED_VALUE"""),150.62)</f>
        <v>150.62</v>
      </c>
      <c r="F196" s="1">
        <f>IFERROR(__xludf.DUMMYFUNCTION("""COMPUTED_VALUE"""),1.08732111E8)</f>
        <v>108732111</v>
      </c>
    </row>
    <row r="197">
      <c r="A197" s="2">
        <f>IFERROR(__xludf.DUMMYFUNCTION("""COMPUTED_VALUE"""),44635.66666666667)</f>
        <v>44635.66667</v>
      </c>
      <c r="B197" s="1">
        <f>IFERROR(__xludf.DUMMYFUNCTION("""COMPUTED_VALUE"""),150.9)</f>
        <v>150.9</v>
      </c>
      <c r="C197" s="1">
        <f>IFERROR(__xludf.DUMMYFUNCTION("""COMPUTED_VALUE"""),155.57)</f>
        <v>155.57</v>
      </c>
      <c r="D197" s="1">
        <f>IFERROR(__xludf.DUMMYFUNCTION("""COMPUTED_VALUE"""),150.38)</f>
        <v>150.38</v>
      </c>
      <c r="E197" s="1">
        <f>IFERROR(__xludf.DUMMYFUNCTION("""COMPUTED_VALUE"""),155.09)</f>
        <v>155.09</v>
      </c>
      <c r="F197" s="1">
        <f>IFERROR(__xludf.DUMMYFUNCTION("""COMPUTED_VALUE"""),9.2964302E7)</f>
        <v>92964302</v>
      </c>
    </row>
    <row r="198">
      <c r="A198" s="2">
        <f>IFERROR(__xludf.DUMMYFUNCTION("""COMPUTED_VALUE"""),44636.66666666667)</f>
        <v>44636.66667</v>
      </c>
      <c r="B198" s="1">
        <f>IFERROR(__xludf.DUMMYFUNCTION("""COMPUTED_VALUE"""),157.05)</f>
        <v>157.05</v>
      </c>
      <c r="C198" s="1">
        <f>IFERROR(__xludf.DUMMYFUNCTION("""COMPUTED_VALUE"""),160.0)</f>
        <v>160</v>
      </c>
      <c r="D198" s="1">
        <f>IFERROR(__xludf.DUMMYFUNCTION("""COMPUTED_VALUE"""),154.46)</f>
        <v>154.46</v>
      </c>
      <c r="E198" s="1">
        <f>IFERROR(__xludf.DUMMYFUNCTION("""COMPUTED_VALUE"""),159.59)</f>
        <v>159.59</v>
      </c>
      <c r="F198" s="1">
        <f>IFERROR(__xludf.DUMMYFUNCTION("""COMPUTED_VALUE"""),1.02300157E8)</f>
        <v>102300157</v>
      </c>
    </row>
    <row r="199">
      <c r="A199" s="2">
        <f>IFERROR(__xludf.DUMMYFUNCTION("""COMPUTED_VALUE"""),44637.66666666667)</f>
        <v>44637.66667</v>
      </c>
      <c r="B199" s="1">
        <f>IFERROR(__xludf.DUMMYFUNCTION("""COMPUTED_VALUE"""),158.61)</f>
        <v>158.61</v>
      </c>
      <c r="C199" s="1">
        <f>IFERROR(__xludf.DUMMYFUNCTION("""COMPUTED_VALUE"""),161.0)</f>
        <v>161</v>
      </c>
      <c r="D199" s="1">
        <f>IFERROR(__xludf.DUMMYFUNCTION("""COMPUTED_VALUE"""),157.63)</f>
        <v>157.63</v>
      </c>
      <c r="E199" s="1">
        <f>IFERROR(__xludf.DUMMYFUNCTION("""COMPUTED_VALUE"""),160.62)</f>
        <v>160.62</v>
      </c>
      <c r="F199" s="1">
        <f>IFERROR(__xludf.DUMMYFUNCTION("""COMPUTED_VALUE"""),7.5615376E7)</f>
        <v>75615376</v>
      </c>
    </row>
    <row r="200">
      <c r="A200" s="2">
        <f>IFERROR(__xludf.DUMMYFUNCTION("""COMPUTED_VALUE"""),44638.66666666667)</f>
        <v>44638.66667</v>
      </c>
      <c r="B200" s="1">
        <f>IFERROR(__xludf.DUMMYFUNCTION("""COMPUTED_VALUE"""),160.51)</f>
        <v>160.51</v>
      </c>
      <c r="C200" s="1">
        <f>IFERROR(__xludf.DUMMYFUNCTION("""COMPUTED_VALUE"""),164.48)</f>
        <v>164.48</v>
      </c>
      <c r="D200" s="1">
        <f>IFERROR(__xludf.DUMMYFUNCTION("""COMPUTED_VALUE"""),159.76)</f>
        <v>159.76</v>
      </c>
      <c r="E200" s="1">
        <f>IFERROR(__xludf.DUMMYFUNCTION("""COMPUTED_VALUE"""),163.98)</f>
        <v>163.98</v>
      </c>
      <c r="F200" s="1">
        <f>IFERROR(__xludf.DUMMYFUNCTION("""COMPUTED_VALUE"""),1.23511692E8)</f>
        <v>123511692</v>
      </c>
    </row>
    <row r="201">
      <c r="A201" s="2">
        <f>IFERROR(__xludf.DUMMYFUNCTION("""COMPUTED_VALUE"""),44641.66666666667)</f>
        <v>44641.66667</v>
      </c>
      <c r="B201" s="1">
        <f>IFERROR(__xludf.DUMMYFUNCTION("""COMPUTED_VALUE"""),163.51)</f>
        <v>163.51</v>
      </c>
      <c r="C201" s="1">
        <f>IFERROR(__xludf.DUMMYFUNCTION("""COMPUTED_VALUE"""),166.35)</f>
        <v>166.35</v>
      </c>
      <c r="D201" s="1">
        <f>IFERROR(__xludf.DUMMYFUNCTION("""COMPUTED_VALUE"""),163.01)</f>
        <v>163.01</v>
      </c>
      <c r="E201" s="1">
        <f>IFERROR(__xludf.DUMMYFUNCTION("""COMPUTED_VALUE"""),165.38)</f>
        <v>165.38</v>
      </c>
      <c r="F201" s="1">
        <f>IFERROR(__xludf.DUMMYFUNCTION("""COMPUTED_VALUE"""),9.5811352E7)</f>
        <v>95811352</v>
      </c>
    </row>
    <row r="202">
      <c r="A202" s="2">
        <f>IFERROR(__xludf.DUMMYFUNCTION("""COMPUTED_VALUE"""),44642.66666666667)</f>
        <v>44642.66667</v>
      </c>
      <c r="B202" s="1">
        <f>IFERROR(__xludf.DUMMYFUNCTION("""COMPUTED_VALUE"""),165.51)</f>
        <v>165.51</v>
      </c>
      <c r="C202" s="1">
        <f>IFERROR(__xludf.DUMMYFUNCTION("""COMPUTED_VALUE"""),169.42)</f>
        <v>169.42</v>
      </c>
      <c r="D202" s="1">
        <f>IFERROR(__xludf.DUMMYFUNCTION("""COMPUTED_VALUE"""),164.91)</f>
        <v>164.91</v>
      </c>
      <c r="E202" s="1">
        <f>IFERROR(__xludf.DUMMYFUNCTION("""COMPUTED_VALUE"""),168.82)</f>
        <v>168.82</v>
      </c>
      <c r="F202" s="1">
        <f>IFERROR(__xludf.DUMMYFUNCTION("""COMPUTED_VALUE"""),8.1532007E7)</f>
        <v>81532007</v>
      </c>
    </row>
    <row r="203">
      <c r="A203" s="2">
        <f>IFERROR(__xludf.DUMMYFUNCTION("""COMPUTED_VALUE"""),44643.66666666667)</f>
        <v>44643.66667</v>
      </c>
      <c r="B203" s="1">
        <f>IFERROR(__xludf.DUMMYFUNCTION("""COMPUTED_VALUE"""),167.99)</f>
        <v>167.99</v>
      </c>
      <c r="C203" s="1">
        <f>IFERROR(__xludf.DUMMYFUNCTION("""COMPUTED_VALUE"""),172.64)</f>
        <v>172.64</v>
      </c>
      <c r="D203" s="1">
        <f>IFERROR(__xludf.DUMMYFUNCTION("""COMPUTED_VALUE"""),167.65)</f>
        <v>167.65</v>
      </c>
      <c r="E203" s="1">
        <f>IFERROR(__xludf.DUMMYFUNCTION("""COMPUTED_VALUE"""),170.21)</f>
        <v>170.21</v>
      </c>
      <c r="F203" s="1">
        <f>IFERROR(__xludf.DUMMYFUNCTION("""COMPUTED_VALUE"""),9.8062674E7)</f>
        <v>98062674</v>
      </c>
    </row>
    <row r="204">
      <c r="A204" s="2">
        <f>IFERROR(__xludf.DUMMYFUNCTION("""COMPUTED_VALUE"""),44644.66666666667)</f>
        <v>44644.66667</v>
      </c>
      <c r="B204" s="1">
        <f>IFERROR(__xludf.DUMMYFUNCTION("""COMPUTED_VALUE"""),171.06)</f>
        <v>171.06</v>
      </c>
      <c r="C204" s="1">
        <f>IFERROR(__xludf.DUMMYFUNCTION("""COMPUTED_VALUE"""),174.14)</f>
        <v>174.14</v>
      </c>
      <c r="D204" s="1">
        <f>IFERROR(__xludf.DUMMYFUNCTION("""COMPUTED_VALUE"""),170.21)</f>
        <v>170.21</v>
      </c>
      <c r="E204" s="1">
        <f>IFERROR(__xludf.DUMMYFUNCTION("""COMPUTED_VALUE"""),174.07)</f>
        <v>174.07</v>
      </c>
      <c r="F204" s="1">
        <f>IFERROR(__xludf.DUMMYFUNCTION("""COMPUTED_VALUE"""),9.0131418E7)</f>
        <v>90131418</v>
      </c>
    </row>
    <row r="205">
      <c r="A205" s="2">
        <f>IFERROR(__xludf.DUMMYFUNCTION("""COMPUTED_VALUE"""),44645.66666666667)</f>
        <v>44645.66667</v>
      </c>
      <c r="B205" s="1">
        <f>IFERROR(__xludf.DUMMYFUNCTION("""COMPUTED_VALUE"""),173.88)</f>
        <v>173.88</v>
      </c>
      <c r="C205" s="1">
        <f>IFERROR(__xludf.DUMMYFUNCTION("""COMPUTED_VALUE"""),175.28)</f>
        <v>175.28</v>
      </c>
      <c r="D205" s="1">
        <f>IFERROR(__xludf.DUMMYFUNCTION("""COMPUTED_VALUE"""),172.75)</f>
        <v>172.75</v>
      </c>
      <c r="E205" s="1">
        <f>IFERROR(__xludf.DUMMYFUNCTION("""COMPUTED_VALUE"""),174.72)</f>
        <v>174.72</v>
      </c>
      <c r="F205" s="1">
        <f>IFERROR(__xludf.DUMMYFUNCTION("""COMPUTED_VALUE"""),8.0546156E7)</f>
        <v>80546156</v>
      </c>
    </row>
    <row r="206">
      <c r="A206" s="2">
        <f>IFERROR(__xludf.DUMMYFUNCTION("""COMPUTED_VALUE"""),44648.66666666667)</f>
        <v>44648.66667</v>
      </c>
      <c r="B206" s="1">
        <f>IFERROR(__xludf.DUMMYFUNCTION("""COMPUTED_VALUE"""),172.17)</f>
        <v>172.17</v>
      </c>
      <c r="C206" s="1">
        <f>IFERROR(__xludf.DUMMYFUNCTION("""COMPUTED_VALUE"""),175.73)</f>
        <v>175.73</v>
      </c>
      <c r="D206" s="1">
        <f>IFERROR(__xludf.DUMMYFUNCTION("""COMPUTED_VALUE"""),172.0)</f>
        <v>172</v>
      </c>
      <c r="E206" s="1">
        <f>IFERROR(__xludf.DUMMYFUNCTION("""COMPUTED_VALUE"""),175.6)</f>
        <v>175.6</v>
      </c>
      <c r="F206" s="1">
        <f>IFERROR(__xludf.DUMMYFUNCTION("""COMPUTED_VALUE"""),9.0371916E7)</f>
        <v>90371916</v>
      </c>
    </row>
    <row r="207">
      <c r="A207" s="2">
        <f>IFERROR(__xludf.DUMMYFUNCTION("""COMPUTED_VALUE"""),44649.66666666667)</f>
        <v>44649.66667</v>
      </c>
      <c r="B207" s="1">
        <f>IFERROR(__xludf.DUMMYFUNCTION("""COMPUTED_VALUE"""),176.69)</f>
        <v>176.69</v>
      </c>
      <c r="C207" s="1">
        <f>IFERROR(__xludf.DUMMYFUNCTION("""COMPUTED_VALUE"""),179.01)</f>
        <v>179.01</v>
      </c>
      <c r="D207" s="1">
        <f>IFERROR(__xludf.DUMMYFUNCTION("""COMPUTED_VALUE"""),176.34)</f>
        <v>176.34</v>
      </c>
      <c r="E207" s="1">
        <f>IFERROR(__xludf.DUMMYFUNCTION("""COMPUTED_VALUE"""),178.96)</f>
        <v>178.96</v>
      </c>
      <c r="F207" s="1">
        <f>IFERROR(__xludf.DUMMYFUNCTION("""COMPUTED_VALUE"""),1.0058944E8)</f>
        <v>100589440</v>
      </c>
    </row>
    <row r="208">
      <c r="A208" s="2">
        <f>IFERROR(__xludf.DUMMYFUNCTION("""COMPUTED_VALUE"""),44650.66666666667)</f>
        <v>44650.66667</v>
      </c>
      <c r="B208" s="1">
        <f>IFERROR(__xludf.DUMMYFUNCTION("""COMPUTED_VALUE"""),178.55)</f>
        <v>178.55</v>
      </c>
      <c r="C208" s="1">
        <f>IFERROR(__xludf.DUMMYFUNCTION("""COMPUTED_VALUE"""),179.61)</f>
        <v>179.61</v>
      </c>
      <c r="D208" s="1">
        <f>IFERROR(__xludf.DUMMYFUNCTION("""COMPUTED_VALUE"""),176.7)</f>
        <v>176.7</v>
      </c>
      <c r="E208" s="1">
        <f>IFERROR(__xludf.DUMMYFUNCTION("""COMPUTED_VALUE"""),177.77)</f>
        <v>177.77</v>
      </c>
      <c r="F208" s="1">
        <f>IFERROR(__xludf.DUMMYFUNCTION("""COMPUTED_VALUE"""),9.2633154E7)</f>
        <v>92633154</v>
      </c>
    </row>
    <row r="209">
      <c r="A209" s="2">
        <f>IFERROR(__xludf.DUMMYFUNCTION("""COMPUTED_VALUE"""),44651.66666666667)</f>
        <v>44651.66667</v>
      </c>
      <c r="B209" s="1">
        <f>IFERROR(__xludf.DUMMYFUNCTION("""COMPUTED_VALUE"""),177.84)</f>
        <v>177.84</v>
      </c>
      <c r="C209" s="1">
        <f>IFERROR(__xludf.DUMMYFUNCTION("""COMPUTED_VALUE"""),178.03)</f>
        <v>178.03</v>
      </c>
      <c r="D209" s="1">
        <f>IFERROR(__xludf.DUMMYFUNCTION("""COMPUTED_VALUE"""),174.4)</f>
        <v>174.4</v>
      </c>
      <c r="E209" s="1">
        <f>IFERROR(__xludf.DUMMYFUNCTION("""COMPUTED_VALUE"""),174.61)</f>
        <v>174.61</v>
      </c>
      <c r="F209" s="1">
        <f>IFERROR(__xludf.DUMMYFUNCTION("""COMPUTED_VALUE"""),1.03049285E8)</f>
        <v>103049285</v>
      </c>
    </row>
    <row r="210">
      <c r="A210" s="2">
        <f>IFERROR(__xludf.DUMMYFUNCTION("""COMPUTED_VALUE"""),44652.66666666667)</f>
        <v>44652.66667</v>
      </c>
      <c r="B210" s="1">
        <f>IFERROR(__xludf.DUMMYFUNCTION("""COMPUTED_VALUE"""),174.03)</f>
        <v>174.03</v>
      </c>
      <c r="C210" s="1">
        <f>IFERROR(__xludf.DUMMYFUNCTION("""COMPUTED_VALUE"""),174.88)</f>
        <v>174.88</v>
      </c>
      <c r="D210" s="1">
        <f>IFERROR(__xludf.DUMMYFUNCTION("""COMPUTED_VALUE"""),171.94)</f>
        <v>171.94</v>
      </c>
      <c r="E210" s="1">
        <f>IFERROR(__xludf.DUMMYFUNCTION("""COMPUTED_VALUE"""),174.31)</f>
        <v>174.31</v>
      </c>
      <c r="F210" s="1">
        <f>IFERROR(__xludf.DUMMYFUNCTION("""COMPUTED_VALUE"""),7.8751328E7)</f>
        <v>78751328</v>
      </c>
    </row>
    <row r="211">
      <c r="A211" s="2">
        <f>IFERROR(__xludf.DUMMYFUNCTION("""COMPUTED_VALUE"""),44655.66666666667)</f>
        <v>44655.66667</v>
      </c>
      <c r="B211" s="1">
        <f>IFERROR(__xludf.DUMMYFUNCTION("""COMPUTED_VALUE"""),174.57)</f>
        <v>174.57</v>
      </c>
      <c r="C211" s="1">
        <f>IFERROR(__xludf.DUMMYFUNCTION("""COMPUTED_VALUE"""),178.49)</f>
        <v>178.49</v>
      </c>
      <c r="D211" s="1">
        <f>IFERROR(__xludf.DUMMYFUNCTION("""COMPUTED_VALUE"""),174.44)</f>
        <v>174.44</v>
      </c>
      <c r="E211" s="1">
        <f>IFERROR(__xludf.DUMMYFUNCTION("""COMPUTED_VALUE"""),178.44)</f>
        <v>178.44</v>
      </c>
      <c r="F211" s="1">
        <f>IFERROR(__xludf.DUMMYFUNCTION("""COMPUTED_VALUE"""),7.6545983E7)</f>
        <v>76545983</v>
      </c>
    </row>
    <row r="212">
      <c r="A212" s="2">
        <f>IFERROR(__xludf.DUMMYFUNCTION("""COMPUTED_VALUE"""),44656.66666666667)</f>
        <v>44656.66667</v>
      </c>
      <c r="B212" s="1">
        <f>IFERROR(__xludf.DUMMYFUNCTION("""COMPUTED_VALUE"""),177.5)</f>
        <v>177.5</v>
      </c>
      <c r="C212" s="1">
        <f>IFERROR(__xludf.DUMMYFUNCTION("""COMPUTED_VALUE"""),178.3)</f>
        <v>178.3</v>
      </c>
      <c r="D212" s="1">
        <f>IFERROR(__xludf.DUMMYFUNCTION("""COMPUTED_VALUE"""),174.42)</f>
        <v>174.42</v>
      </c>
      <c r="E212" s="1">
        <f>IFERROR(__xludf.DUMMYFUNCTION("""COMPUTED_VALUE"""),175.06)</f>
        <v>175.06</v>
      </c>
      <c r="F212" s="1">
        <f>IFERROR(__xludf.DUMMYFUNCTION("""COMPUTED_VALUE"""),7.3401786E7)</f>
        <v>73401786</v>
      </c>
    </row>
    <row r="213">
      <c r="A213" s="2">
        <f>IFERROR(__xludf.DUMMYFUNCTION("""COMPUTED_VALUE"""),44657.66666666667)</f>
        <v>44657.66667</v>
      </c>
      <c r="B213" s="1">
        <f>IFERROR(__xludf.DUMMYFUNCTION("""COMPUTED_VALUE"""),172.36)</f>
        <v>172.36</v>
      </c>
      <c r="C213" s="1">
        <f>IFERROR(__xludf.DUMMYFUNCTION("""COMPUTED_VALUE"""),173.63)</f>
        <v>173.63</v>
      </c>
      <c r="D213" s="1">
        <f>IFERROR(__xludf.DUMMYFUNCTION("""COMPUTED_VALUE"""),170.13)</f>
        <v>170.13</v>
      </c>
      <c r="E213" s="1">
        <f>IFERROR(__xludf.DUMMYFUNCTION("""COMPUTED_VALUE"""),171.83)</f>
        <v>171.83</v>
      </c>
      <c r="F213" s="1">
        <f>IFERROR(__xludf.DUMMYFUNCTION("""COMPUTED_VALUE"""),8.9058782E7)</f>
        <v>89058782</v>
      </c>
    </row>
    <row r="214">
      <c r="A214" s="2">
        <f>IFERROR(__xludf.DUMMYFUNCTION("""COMPUTED_VALUE"""),44658.66666666667)</f>
        <v>44658.66667</v>
      </c>
      <c r="B214" s="1">
        <f>IFERROR(__xludf.DUMMYFUNCTION("""COMPUTED_VALUE"""),171.16)</f>
        <v>171.16</v>
      </c>
      <c r="C214" s="1">
        <f>IFERROR(__xludf.DUMMYFUNCTION("""COMPUTED_VALUE"""),173.36)</f>
        <v>173.36</v>
      </c>
      <c r="D214" s="1">
        <f>IFERROR(__xludf.DUMMYFUNCTION("""COMPUTED_VALUE"""),169.85)</f>
        <v>169.85</v>
      </c>
      <c r="E214" s="1">
        <f>IFERROR(__xludf.DUMMYFUNCTION("""COMPUTED_VALUE"""),172.14)</f>
        <v>172.14</v>
      </c>
      <c r="F214" s="1">
        <f>IFERROR(__xludf.DUMMYFUNCTION("""COMPUTED_VALUE"""),7.759465E7)</f>
        <v>77594650</v>
      </c>
    </row>
    <row r="215">
      <c r="A215" s="2">
        <f>IFERROR(__xludf.DUMMYFUNCTION("""COMPUTED_VALUE"""),44659.66666666667)</f>
        <v>44659.66667</v>
      </c>
      <c r="B215" s="1">
        <f>IFERROR(__xludf.DUMMYFUNCTION("""COMPUTED_VALUE"""),171.78)</f>
        <v>171.78</v>
      </c>
      <c r="C215" s="1">
        <f>IFERROR(__xludf.DUMMYFUNCTION("""COMPUTED_VALUE"""),171.78)</f>
        <v>171.78</v>
      </c>
      <c r="D215" s="1">
        <f>IFERROR(__xludf.DUMMYFUNCTION("""COMPUTED_VALUE"""),169.2)</f>
        <v>169.2</v>
      </c>
      <c r="E215" s="1">
        <f>IFERROR(__xludf.DUMMYFUNCTION("""COMPUTED_VALUE"""),170.09)</f>
        <v>170.09</v>
      </c>
      <c r="F215" s="1">
        <f>IFERROR(__xludf.DUMMYFUNCTION("""COMPUTED_VALUE"""),7.6575508E7)</f>
        <v>76575508</v>
      </c>
    </row>
    <row r="216">
      <c r="A216" s="2">
        <f>IFERROR(__xludf.DUMMYFUNCTION("""COMPUTED_VALUE"""),44662.66666666667)</f>
        <v>44662.66667</v>
      </c>
      <c r="B216" s="1">
        <f>IFERROR(__xludf.DUMMYFUNCTION("""COMPUTED_VALUE"""),168.71)</f>
        <v>168.71</v>
      </c>
      <c r="C216" s="1">
        <f>IFERROR(__xludf.DUMMYFUNCTION("""COMPUTED_VALUE"""),169.03)</f>
        <v>169.03</v>
      </c>
      <c r="D216" s="1">
        <f>IFERROR(__xludf.DUMMYFUNCTION("""COMPUTED_VALUE"""),165.5)</f>
        <v>165.5</v>
      </c>
      <c r="E216" s="1">
        <f>IFERROR(__xludf.DUMMYFUNCTION("""COMPUTED_VALUE"""),165.75)</f>
        <v>165.75</v>
      </c>
      <c r="F216" s="1">
        <f>IFERROR(__xludf.DUMMYFUNCTION("""COMPUTED_VALUE"""),7.2246706E7)</f>
        <v>72246706</v>
      </c>
    </row>
    <row r="217">
      <c r="A217" s="2">
        <f>IFERROR(__xludf.DUMMYFUNCTION("""COMPUTED_VALUE"""),44663.66666666667)</f>
        <v>44663.66667</v>
      </c>
      <c r="B217" s="1">
        <f>IFERROR(__xludf.DUMMYFUNCTION("""COMPUTED_VALUE"""),168.02)</f>
        <v>168.02</v>
      </c>
      <c r="C217" s="1">
        <f>IFERROR(__xludf.DUMMYFUNCTION("""COMPUTED_VALUE"""),169.87)</f>
        <v>169.87</v>
      </c>
      <c r="D217" s="1">
        <f>IFERROR(__xludf.DUMMYFUNCTION("""COMPUTED_VALUE"""),166.64)</f>
        <v>166.64</v>
      </c>
      <c r="E217" s="1">
        <f>IFERROR(__xludf.DUMMYFUNCTION("""COMPUTED_VALUE"""),167.66)</f>
        <v>167.66</v>
      </c>
      <c r="F217" s="1">
        <f>IFERROR(__xludf.DUMMYFUNCTION("""COMPUTED_VALUE"""),7.9265181E7)</f>
        <v>79265181</v>
      </c>
    </row>
    <row r="218">
      <c r="A218" s="2">
        <f>IFERROR(__xludf.DUMMYFUNCTION("""COMPUTED_VALUE"""),44664.66666666667)</f>
        <v>44664.66667</v>
      </c>
      <c r="B218" s="1">
        <f>IFERROR(__xludf.DUMMYFUNCTION("""COMPUTED_VALUE"""),167.39)</f>
        <v>167.39</v>
      </c>
      <c r="C218" s="1">
        <f>IFERROR(__xludf.DUMMYFUNCTION("""COMPUTED_VALUE"""),171.04)</f>
        <v>171.04</v>
      </c>
      <c r="D218" s="1">
        <f>IFERROR(__xludf.DUMMYFUNCTION("""COMPUTED_VALUE"""),166.77)</f>
        <v>166.77</v>
      </c>
      <c r="E218" s="1">
        <f>IFERROR(__xludf.DUMMYFUNCTION("""COMPUTED_VALUE"""),170.4)</f>
        <v>170.4</v>
      </c>
      <c r="F218" s="1">
        <f>IFERROR(__xludf.DUMMYFUNCTION("""COMPUTED_VALUE"""),7.0618925E7)</f>
        <v>70618925</v>
      </c>
    </row>
    <row r="219">
      <c r="A219" s="2">
        <f>IFERROR(__xludf.DUMMYFUNCTION("""COMPUTED_VALUE"""),44665.66666666667)</f>
        <v>44665.66667</v>
      </c>
      <c r="B219" s="1">
        <f>IFERROR(__xludf.DUMMYFUNCTION("""COMPUTED_VALUE"""),170.62)</f>
        <v>170.62</v>
      </c>
      <c r="C219" s="1">
        <f>IFERROR(__xludf.DUMMYFUNCTION("""COMPUTED_VALUE"""),171.27)</f>
        <v>171.27</v>
      </c>
      <c r="D219" s="1">
        <f>IFERROR(__xludf.DUMMYFUNCTION("""COMPUTED_VALUE"""),165.04)</f>
        <v>165.04</v>
      </c>
      <c r="E219" s="1">
        <f>IFERROR(__xludf.DUMMYFUNCTION("""COMPUTED_VALUE"""),165.29)</f>
        <v>165.29</v>
      </c>
      <c r="F219" s="1">
        <f>IFERROR(__xludf.DUMMYFUNCTION("""COMPUTED_VALUE"""),7.5329376E7)</f>
        <v>75329376</v>
      </c>
    </row>
    <row r="220">
      <c r="A220" s="2">
        <f>IFERROR(__xludf.DUMMYFUNCTION("""COMPUTED_VALUE"""),44669.66666666667)</f>
        <v>44669.66667</v>
      </c>
      <c r="B220" s="1">
        <f>IFERROR(__xludf.DUMMYFUNCTION("""COMPUTED_VALUE"""),163.92)</f>
        <v>163.92</v>
      </c>
      <c r="C220" s="1">
        <f>IFERROR(__xludf.DUMMYFUNCTION("""COMPUTED_VALUE"""),166.6)</f>
        <v>166.6</v>
      </c>
      <c r="D220" s="1">
        <f>IFERROR(__xludf.DUMMYFUNCTION("""COMPUTED_VALUE"""),163.57)</f>
        <v>163.57</v>
      </c>
      <c r="E220" s="1">
        <f>IFERROR(__xludf.DUMMYFUNCTION("""COMPUTED_VALUE"""),165.07)</f>
        <v>165.07</v>
      </c>
      <c r="F220" s="1">
        <f>IFERROR(__xludf.DUMMYFUNCTION("""COMPUTED_VALUE"""),6.9023941E7)</f>
        <v>69023941</v>
      </c>
    </row>
    <row r="221">
      <c r="A221" s="2">
        <f>IFERROR(__xludf.DUMMYFUNCTION("""COMPUTED_VALUE"""),44670.66666666667)</f>
        <v>44670.66667</v>
      </c>
      <c r="B221" s="1">
        <f>IFERROR(__xludf.DUMMYFUNCTION("""COMPUTED_VALUE"""),165.02)</f>
        <v>165.02</v>
      </c>
      <c r="C221" s="1">
        <f>IFERROR(__xludf.DUMMYFUNCTION("""COMPUTED_VALUE"""),167.82)</f>
        <v>167.82</v>
      </c>
      <c r="D221" s="1">
        <f>IFERROR(__xludf.DUMMYFUNCTION("""COMPUTED_VALUE"""),163.91)</f>
        <v>163.91</v>
      </c>
      <c r="E221" s="1">
        <f>IFERROR(__xludf.DUMMYFUNCTION("""COMPUTED_VALUE"""),167.4)</f>
        <v>167.4</v>
      </c>
      <c r="F221" s="1">
        <f>IFERROR(__xludf.DUMMYFUNCTION("""COMPUTED_VALUE"""),6.7723833E7)</f>
        <v>67723833</v>
      </c>
    </row>
    <row r="222">
      <c r="A222" s="2">
        <f>IFERROR(__xludf.DUMMYFUNCTION("""COMPUTED_VALUE"""),44671.66666666667)</f>
        <v>44671.66667</v>
      </c>
      <c r="B222" s="1">
        <f>IFERROR(__xludf.DUMMYFUNCTION("""COMPUTED_VALUE"""),168.76)</f>
        <v>168.76</v>
      </c>
      <c r="C222" s="1">
        <f>IFERROR(__xludf.DUMMYFUNCTION("""COMPUTED_VALUE"""),168.88)</f>
        <v>168.88</v>
      </c>
      <c r="D222" s="1">
        <f>IFERROR(__xludf.DUMMYFUNCTION("""COMPUTED_VALUE"""),166.1)</f>
        <v>166.1</v>
      </c>
      <c r="E222" s="1">
        <f>IFERROR(__xludf.DUMMYFUNCTION("""COMPUTED_VALUE"""),167.23)</f>
        <v>167.23</v>
      </c>
      <c r="F222" s="1">
        <f>IFERROR(__xludf.DUMMYFUNCTION("""COMPUTED_VALUE"""),6.7929814E7)</f>
        <v>67929814</v>
      </c>
    </row>
    <row r="223">
      <c r="A223" s="2">
        <f>IFERROR(__xludf.DUMMYFUNCTION("""COMPUTED_VALUE"""),44672.66666666667)</f>
        <v>44672.66667</v>
      </c>
      <c r="B223" s="1">
        <f>IFERROR(__xludf.DUMMYFUNCTION("""COMPUTED_VALUE"""),168.91)</f>
        <v>168.91</v>
      </c>
      <c r="C223" s="1">
        <f>IFERROR(__xludf.DUMMYFUNCTION("""COMPUTED_VALUE"""),171.53)</f>
        <v>171.53</v>
      </c>
      <c r="D223" s="1">
        <f>IFERROR(__xludf.DUMMYFUNCTION("""COMPUTED_VALUE"""),165.91)</f>
        <v>165.91</v>
      </c>
      <c r="E223" s="1">
        <f>IFERROR(__xludf.DUMMYFUNCTION("""COMPUTED_VALUE"""),166.42)</f>
        <v>166.42</v>
      </c>
      <c r="F223" s="1">
        <f>IFERROR(__xludf.DUMMYFUNCTION("""COMPUTED_VALUE"""),8.7227768E7)</f>
        <v>87227768</v>
      </c>
    </row>
    <row r="224">
      <c r="A224" s="2">
        <f>IFERROR(__xludf.DUMMYFUNCTION("""COMPUTED_VALUE"""),44673.66666666667)</f>
        <v>44673.66667</v>
      </c>
      <c r="B224" s="1">
        <f>IFERROR(__xludf.DUMMYFUNCTION("""COMPUTED_VALUE"""),166.46)</f>
        <v>166.46</v>
      </c>
      <c r="C224" s="1">
        <f>IFERROR(__xludf.DUMMYFUNCTION("""COMPUTED_VALUE"""),167.87)</f>
        <v>167.87</v>
      </c>
      <c r="D224" s="1">
        <f>IFERROR(__xludf.DUMMYFUNCTION("""COMPUTED_VALUE"""),161.5)</f>
        <v>161.5</v>
      </c>
      <c r="E224" s="1">
        <f>IFERROR(__xludf.DUMMYFUNCTION("""COMPUTED_VALUE"""),161.79)</f>
        <v>161.79</v>
      </c>
      <c r="F224" s="1">
        <f>IFERROR(__xludf.DUMMYFUNCTION("""COMPUTED_VALUE"""),8.4882424E7)</f>
        <v>84882424</v>
      </c>
    </row>
    <row r="225">
      <c r="A225" s="2">
        <f>IFERROR(__xludf.DUMMYFUNCTION("""COMPUTED_VALUE"""),44676.66666666667)</f>
        <v>44676.66667</v>
      </c>
      <c r="B225" s="1">
        <f>IFERROR(__xludf.DUMMYFUNCTION("""COMPUTED_VALUE"""),161.12)</f>
        <v>161.12</v>
      </c>
      <c r="C225" s="1">
        <f>IFERROR(__xludf.DUMMYFUNCTION("""COMPUTED_VALUE"""),163.17)</f>
        <v>163.17</v>
      </c>
      <c r="D225" s="1">
        <f>IFERROR(__xludf.DUMMYFUNCTION("""COMPUTED_VALUE"""),158.46)</f>
        <v>158.46</v>
      </c>
      <c r="E225" s="1">
        <f>IFERROR(__xludf.DUMMYFUNCTION("""COMPUTED_VALUE"""),162.88)</f>
        <v>162.88</v>
      </c>
      <c r="F225" s="1">
        <f>IFERROR(__xludf.DUMMYFUNCTION("""COMPUTED_VALUE"""),9.6046376E7)</f>
        <v>96046376</v>
      </c>
    </row>
    <row r="226">
      <c r="A226" s="2">
        <f>IFERROR(__xludf.DUMMYFUNCTION("""COMPUTED_VALUE"""),44677.66666666667)</f>
        <v>44677.66667</v>
      </c>
      <c r="B226" s="1">
        <f>IFERROR(__xludf.DUMMYFUNCTION("""COMPUTED_VALUE"""),162.25)</f>
        <v>162.25</v>
      </c>
      <c r="C226" s="1">
        <f>IFERROR(__xludf.DUMMYFUNCTION("""COMPUTED_VALUE"""),162.34)</f>
        <v>162.34</v>
      </c>
      <c r="D226" s="1">
        <f>IFERROR(__xludf.DUMMYFUNCTION("""COMPUTED_VALUE"""),156.72)</f>
        <v>156.72</v>
      </c>
      <c r="E226" s="1">
        <f>IFERROR(__xludf.DUMMYFUNCTION("""COMPUTED_VALUE"""),156.8)</f>
        <v>156.8</v>
      </c>
      <c r="F226" s="1">
        <f>IFERROR(__xludf.DUMMYFUNCTION("""COMPUTED_VALUE"""),9.562324E7)</f>
        <v>95623240</v>
      </c>
    </row>
    <row r="227">
      <c r="A227" s="2">
        <f>IFERROR(__xludf.DUMMYFUNCTION("""COMPUTED_VALUE"""),44678.66666666667)</f>
        <v>44678.66667</v>
      </c>
      <c r="B227" s="1">
        <f>IFERROR(__xludf.DUMMYFUNCTION("""COMPUTED_VALUE"""),155.91)</f>
        <v>155.91</v>
      </c>
      <c r="C227" s="1">
        <f>IFERROR(__xludf.DUMMYFUNCTION("""COMPUTED_VALUE"""),159.79)</f>
        <v>159.79</v>
      </c>
      <c r="D227" s="1">
        <f>IFERROR(__xludf.DUMMYFUNCTION("""COMPUTED_VALUE"""),155.38)</f>
        <v>155.38</v>
      </c>
      <c r="E227" s="1">
        <f>IFERROR(__xludf.DUMMYFUNCTION("""COMPUTED_VALUE"""),156.57)</f>
        <v>156.57</v>
      </c>
      <c r="F227" s="1">
        <f>IFERROR(__xludf.DUMMYFUNCTION("""COMPUTED_VALUE"""),8.8063191E7)</f>
        <v>88063191</v>
      </c>
    </row>
    <row r="228">
      <c r="A228" s="2">
        <f>IFERROR(__xludf.DUMMYFUNCTION("""COMPUTED_VALUE"""),44679.66666666667)</f>
        <v>44679.66667</v>
      </c>
      <c r="B228" s="1">
        <f>IFERROR(__xludf.DUMMYFUNCTION("""COMPUTED_VALUE"""),159.25)</f>
        <v>159.25</v>
      </c>
      <c r="C228" s="1">
        <f>IFERROR(__xludf.DUMMYFUNCTION("""COMPUTED_VALUE"""),164.52)</f>
        <v>164.52</v>
      </c>
      <c r="D228" s="1">
        <f>IFERROR(__xludf.DUMMYFUNCTION("""COMPUTED_VALUE"""),158.93)</f>
        <v>158.93</v>
      </c>
      <c r="E228" s="1">
        <f>IFERROR(__xludf.DUMMYFUNCTION("""COMPUTED_VALUE"""),163.64)</f>
        <v>163.64</v>
      </c>
      <c r="F228" s="1">
        <f>IFERROR(__xludf.DUMMYFUNCTION("""COMPUTED_VALUE"""),1.30216792E8)</f>
        <v>130216792</v>
      </c>
    </row>
    <row r="229">
      <c r="A229" s="2">
        <f>IFERROR(__xludf.DUMMYFUNCTION("""COMPUTED_VALUE"""),44680.66666666667)</f>
        <v>44680.66667</v>
      </c>
      <c r="B229" s="1">
        <f>IFERROR(__xludf.DUMMYFUNCTION("""COMPUTED_VALUE"""),161.84)</f>
        <v>161.84</v>
      </c>
      <c r="C229" s="1">
        <f>IFERROR(__xludf.DUMMYFUNCTION("""COMPUTED_VALUE"""),166.2)</f>
        <v>166.2</v>
      </c>
      <c r="D229" s="1">
        <f>IFERROR(__xludf.DUMMYFUNCTION("""COMPUTED_VALUE"""),157.25)</f>
        <v>157.25</v>
      </c>
      <c r="E229" s="1">
        <f>IFERROR(__xludf.DUMMYFUNCTION("""COMPUTED_VALUE"""),157.65)</f>
        <v>157.65</v>
      </c>
      <c r="F229" s="1">
        <f>IFERROR(__xludf.DUMMYFUNCTION("""COMPUTED_VALUE"""),1.31747571E8)</f>
        <v>131747571</v>
      </c>
    </row>
    <row r="230">
      <c r="A230" s="2">
        <f>IFERROR(__xludf.DUMMYFUNCTION("""COMPUTED_VALUE"""),44683.66666666667)</f>
        <v>44683.66667</v>
      </c>
      <c r="B230" s="1">
        <f>IFERROR(__xludf.DUMMYFUNCTION("""COMPUTED_VALUE"""),156.71)</f>
        <v>156.71</v>
      </c>
      <c r="C230" s="1">
        <f>IFERROR(__xludf.DUMMYFUNCTION("""COMPUTED_VALUE"""),158.23)</f>
        <v>158.23</v>
      </c>
      <c r="D230" s="1">
        <f>IFERROR(__xludf.DUMMYFUNCTION("""COMPUTED_VALUE"""),153.27)</f>
        <v>153.27</v>
      </c>
      <c r="E230" s="1">
        <f>IFERROR(__xludf.DUMMYFUNCTION("""COMPUTED_VALUE"""),157.96)</f>
        <v>157.96</v>
      </c>
      <c r="F230" s="1">
        <f>IFERROR(__xludf.DUMMYFUNCTION("""COMPUTED_VALUE"""),1.23055265E8)</f>
        <v>123055265</v>
      </c>
    </row>
    <row r="231">
      <c r="A231" s="2">
        <f>IFERROR(__xludf.DUMMYFUNCTION("""COMPUTED_VALUE"""),44684.66666666667)</f>
        <v>44684.66667</v>
      </c>
      <c r="B231" s="1">
        <f>IFERROR(__xludf.DUMMYFUNCTION("""COMPUTED_VALUE"""),158.15)</f>
        <v>158.15</v>
      </c>
      <c r="C231" s="1">
        <f>IFERROR(__xludf.DUMMYFUNCTION("""COMPUTED_VALUE"""),160.71)</f>
        <v>160.71</v>
      </c>
      <c r="D231" s="1">
        <f>IFERROR(__xludf.DUMMYFUNCTION("""COMPUTED_VALUE"""),156.32)</f>
        <v>156.32</v>
      </c>
      <c r="E231" s="1">
        <f>IFERROR(__xludf.DUMMYFUNCTION("""COMPUTED_VALUE"""),159.48)</f>
        <v>159.48</v>
      </c>
      <c r="F231" s="1">
        <f>IFERROR(__xludf.DUMMYFUNCTION("""COMPUTED_VALUE"""),8.8966526E7)</f>
        <v>88966526</v>
      </c>
    </row>
    <row r="232">
      <c r="A232" s="2">
        <f>IFERROR(__xludf.DUMMYFUNCTION("""COMPUTED_VALUE"""),44685.66666666667)</f>
        <v>44685.66667</v>
      </c>
      <c r="B232" s="1">
        <f>IFERROR(__xludf.DUMMYFUNCTION("""COMPUTED_VALUE"""),159.67)</f>
        <v>159.67</v>
      </c>
      <c r="C232" s="1">
        <f>IFERROR(__xludf.DUMMYFUNCTION("""COMPUTED_VALUE"""),166.48)</f>
        <v>166.48</v>
      </c>
      <c r="D232" s="1">
        <f>IFERROR(__xludf.DUMMYFUNCTION("""COMPUTED_VALUE"""),159.26)</f>
        <v>159.26</v>
      </c>
      <c r="E232" s="1">
        <f>IFERROR(__xludf.DUMMYFUNCTION("""COMPUTED_VALUE"""),166.02)</f>
        <v>166.02</v>
      </c>
      <c r="F232" s="1">
        <f>IFERROR(__xludf.DUMMYFUNCTION("""COMPUTED_VALUE"""),1.08256503E8)</f>
        <v>108256503</v>
      </c>
    </row>
    <row r="233">
      <c r="A233" s="2">
        <f>IFERROR(__xludf.DUMMYFUNCTION("""COMPUTED_VALUE"""),44686.66666666667)</f>
        <v>44686.66667</v>
      </c>
      <c r="B233" s="1">
        <f>IFERROR(__xludf.DUMMYFUNCTION("""COMPUTED_VALUE"""),163.85)</f>
        <v>163.85</v>
      </c>
      <c r="C233" s="1">
        <f>IFERROR(__xludf.DUMMYFUNCTION("""COMPUTED_VALUE"""),164.08)</f>
        <v>164.08</v>
      </c>
      <c r="D233" s="1">
        <f>IFERROR(__xludf.DUMMYFUNCTION("""COMPUTED_VALUE"""),154.95)</f>
        <v>154.95</v>
      </c>
      <c r="E233" s="1">
        <f>IFERROR(__xludf.DUMMYFUNCTION("""COMPUTED_VALUE"""),156.77)</f>
        <v>156.77</v>
      </c>
      <c r="F233" s="1">
        <f>IFERROR(__xludf.DUMMYFUNCTION("""COMPUTED_VALUE"""),1.30525275E8)</f>
        <v>130525275</v>
      </c>
    </row>
    <row r="234">
      <c r="A234" s="2">
        <f>IFERROR(__xludf.DUMMYFUNCTION("""COMPUTED_VALUE"""),44687.66666666667)</f>
        <v>44687.66667</v>
      </c>
      <c r="B234" s="1">
        <f>IFERROR(__xludf.DUMMYFUNCTION("""COMPUTED_VALUE"""),156.01)</f>
        <v>156.01</v>
      </c>
      <c r="C234" s="1">
        <f>IFERROR(__xludf.DUMMYFUNCTION("""COMPUTED_VALUE"""),159.44)</f>
        <v>159.44</v>
      </c>
      <c r="D234" s="1">
        <f>IFERROR(__xludf.DUMMYFUNCTION("""COMPUTED_VALUE"""),154.18)</f>
        <v>154.18</v>
      </c>
      <c r="E234" s="1">
        <f>IFERROR(__xludf.DUMMYFUNCTION("""COMPUTED_VALUE"""),157.28)</f>
        <v>157.28</v>
      </c>
      <c r="F234" s="1">
        <f>IFERROR(__xludf.DUMMYFUNCTION("""COMPUTED_VALUE"""),1.16124647E8)</f>
        <v>116124647</v>
      </c>
    </row>
    <row r="235">
      <c r="A235" s="2">
        <f>IFERROR(__xludf.DUMMYFUNCTION("""COMPUTED_VALUE"""),44690.66666666667)</f>
        <v>44690.66667</v>
      </c>
      <c r="B235" s="1">
        <f>IFERROR(__xludf.DUMMYFUNCTION("""COMPUTED_VALUE"""),154.93)</f>
        <v>154.93</v>
      </c>
      <c r="C235" s="1">
        <f>IFERROR(__xludf.DUMMYFUNCTION("""COMPUTED_VALUE"""),155.83)</f>
        <v>155.83</v>
      </c>
      <c r="D235" s="1">
        <f>IFERROR(__xludf.DUMMYFUNCTION("""COMPUTED_VALUE"""),151.49)</f>
        <v>151.49</v>
      </c>
      <c r="E235" s="1">
        <f>IFERROR(__xludf.DUMMYFUNCTION("""COMPUTED_VALUE"""),152.06)</f>
        <v>152.06</v>
      </c>
      <c r="F235" s="1">
        <f>IFERROR(__xludf.DUMMYFUNCTION("""COMPUTED_VALUE"""),1.31577921E8)</f>
        <v>131577921</v>
      </c>
    </row>
    <row r="236">
      <c r="A236" s="2">
        <f>IFERROR(__xludf.DUMMYFUNCTION("""COMPUTED_VALUE"""),44691.66666666667)</f>
        <v>44691.66667</v>
      </c>
      <c r="B236" s="1">
        <f>IFERROR(__xludf.DUMMYFUNCTION("""COMPUTED_VALUE"""),155.52)</f>
        <v>155.52</v>
      </c>
      <c r="C236" s="1">
        <f>IFERROR(__xludf.DUMMYFUNCTION("""COMPUTED_VALUE"""),156.74)</f>
        <v>156.74</v>
      </c>
      <c r="D236" s="1">
        <f>IFERROR(__xludf.DUMMYFUNCTION("""COMPUTED_VALUE"""),152.93)</f>
        <v>152.93</v>
      </c>
      <c r="E236" s="1">
        <f>IFERROR(__xludf.DUMMYFUNCTION("""COMPUTED_VALUE"""),154.51)</f>
        <v>154.51</v>
      </c>
      <c r="F236" s="1">
        <f>IFERROR(__xludf.DUMMYFUNCTION("""COMPUTED_VALUE"""),1.15366736E8)</f>
        <v>115366736</v>
      </c>
    </row>
    <row r="237">
      <c r="A237" s="2">
        <f>IFERROR(__xludf.DUMMYFUNCTION("""COMPUTED_VALUE"""),44692.66666666667)</f>
        <v>44692.66667</v>
      </c>
      <c r="B237" s="1">
        <f>IFERROR(__xludf.DUMMYFUNCTION("""COMPUTED_VALUE"""),153.5)</f>
        <v>153.5</v>
      </c>
      <c r="C237" s="1">
        <f>IFERROR(__xludf.DUMMYFUNCTION("""COMPUTED_VALUE"""),155.45)</f>
        <v>155.45</v>
      </c>
      <c r="D237" s="1">
        <f>IFERROR(__xludf.DUMMYFUNCTION("""COMPUTED_VALUE"""),145.81)</f>
        <v>145.81</v>
      </c>
      <c r="E237" s="1">
        <f>IFERROR(__xludf.DUMMYFUNCTION("""COMPUTED_VALUE"""),146.5)</f>
        <v>146.5</v>
      </c>
      <c r="F237" s="1">
        <f>IFERROR(__xludf.DUMMYFUNCTION("""COMPUTED_VALUE"""),1.42689825E8)</f>
        <v>142689825</v>
      </c>
    </row>
    <row r="238">
      <c r="A238" s="2">
        <f>IFERROR(__xludf.DUMMYFUNCTION("""COMPUTED_VALUE"""),44693.66666666667)</f>
        <v>44693.66667</v>
      </c>
      <c r="B238" s="1">
        <f>IFERROR(__xludf.DUMMYFUNCTION("""COMPUTED_VALUE"""),142.77)</f>
        <v>142.77</v>
      </c>
      <c r="C238" s="1">
        <f>IFERROR(__xludf.DUMMYFUNCTION("""COMPUTED_VALUE"""),146.2)</f>
        <v>146.2</v>
      </c>
      <c r="D238" s="1">
        <f>IFERROR(__xludf.DUMMYFUNCTION("""COMPUTED_VALUE"""),138.8)</f>
        <v>138.8</v>
      </c>
      <c r="E238" s="1">
        <f>IFERROR(__xludf.DUMMYFUNCTION("""COMPUTED_VALUE"""),142.56)</f>
        <v>142.56</v>
      </c>
      <c r="F238" s="1">
        <f>IFERROR(__xludf.DUMMYFUNCTION("""COMPUTED_VALUE"""),1.82602041E8)</f>
        <v>182602041</v>
      </c>
    </row>
    <row r="239">
      <c r="A239" s="2">
        <f>IFERROR(__xludf.DUMMYFUNCTION("""COMPUTED_VALUE"""),44694.66666666667)</f>
        <v>44694.66667</v>
      </c>
      <c r="B239" s="1">
        <f>IFERROR(__xludf.DUMMYFUNCTION("""COMPUTED_VALUE"""),144.59)</f>
        <v>144.59</v>
      </c>
      <c r="C239" s="1">
        <f>IFERROR(__xludf.DUMMYFUNCTION("""COMPUTED_VALUE"""),148.1)</f>
        <v>148.1</v>
      </c>
      <c r="D239" s="1">
        <f>IFERROR(__xludf.DUMMYFUNCTION("""COMPUTED_VALUE"""),143.11)</f>
        <v>143.11</v>
      </c>
      <c r="E239" s="1">
        <f>IFERROR(__xludf.DUMMYFUNCTION("""COMPUTED_VALUE"""),147.11)</f>
        <v>147.11</v>
      </c>
      <c r="F239" s="1">
        <f>IFERROR(__xludf.DUMMYFUNCTION("""COMPUTED_VALUE"""),1.13990852E8)</f>
        <v>113990852</v>
      </c>
    </row>
    <row r="240">
      <c r="A240" s="2">
        <f>IFERROR(__xludf.DUMMYFUNCTION("""COMPUTED_VALUE"""),44697.66666666667)</f>
        <v>44697.66667</v>
      </c>
      <c r="B240" s="1">
        <f>IFERROR(__xludf.DUMMYFUNCTION("""COMPUTED_VALUE"""),145.55)</f>
        <v>145.55</v>
      </c>
      <c r="C240" s="1">
        <f>IFERROR(__xludf.DUMMYFUNCTION("""COMPUTED_VALUE"""),147.52)</f>
        <v>147.52</v>
      </c>
      <c r="D240" s="1">
        <f>IFERROR(__xludf.DUMMYFUNCTION("""COMPUTED_VALUE"""),144.18)</f>
        <v>144.18</v>
      </c>
      <c r="E240" s="1">
        <f>IFERROR(__xludf.DUMMYFUNCTION("""COMPUTED_VALUE"""),145.54)</f>
        <v>145.54</v>
      </c>
      <c r="F240" s="1">
        <f>IFERROR(__xludf.DUMMYFUNCTION("""COMPUTED_VALUE"""),8.6643781E7)</f>
        <v>86643781</v>
      </c>
    </row>
    <row r="241">
      <c r="A241" s="2">
        <f>IFERROR(__xludf.DUMMYFUNCTION("""COMPUTED_VALUE"""),44698.66666666667)</f>
        <v>44698.66667</v>
      </c>
      <c r="B241" s="1">
        <f>IFERROR(__xludf.DUMMYFUNCTION("""COMPUTED_VALUE"""),148.86)</f>
        <v>148.86</v>
      </c>
      <c r="C241" s="1">
        <f>IFERROR(__xludf.DUMMYFUNCTION("""COMPUTED_VALUE"""),149.77)</f>
        <v>149.77</v>
      </c>
      <c r="D241" s="1">
        <f>IFERROR(__xludf.DUMMYFUNCTION("""COMPUTED_VALUE"""),146.68)</f>
        <v>146.68</v>
      </c>
      <c r="E241" s="1">
        <f>IFERROR(__xludf.DUMMYFUNCTION("""COMPUTED_VALUE"""),149.24)</f>
        <v>149.24</v>
      </c>
      <c r="F241" s="1">
        <f>IFERROR(__xludf.DUMMYFUNCTION("""COMPUTED_VALUE"""),7.8336254E7)</f>
        <v>78336254</v>
      </c>
    </row>
    <row r="242">
      <c r="A242" s="2">
        <f>IFERROR(__xludf.DUMMYFUNCTION("""COMPUTED_VALUE"""),44699.66666666667)</f>
        <v>44699.66667</v>
      </c>
      <c r="B242" s="1">
        <f>IFERROR(__xludf.DUMMYFUNCTION("""COMPUTED_VALUE"""),146.85)</f>
        <v>146.85</v>
      </c>
      <c r="C242" s="1">
        <f>IFERROR(__xludf.DUMMYFUNCTION("""COMPUTED_VALUE"""),147.36)</f>
        <v>147.36</v>
      </c>
      <c r="D242" s="1">
        <f>IFERROR(__xludf.DUMMYFUNCTION("""COMPUTED_VALUE"""),139.9)</f>
        <v>139.9</v>
      </c>
      <c r="E242" s="1">
        <f>IFERROR(__xludf.DUMMYFUNCTION("""COMPUTED_VALUE"""),140.82)</f>
        <v>140.82</v>
      </c>
      <c r="F242" s="1">
        <f>IFERROR(__xludf.DUMMYFUNCTION("""COMPUTED_VALUE"""),1.0974289E8)</f>
        <v>109742890</v>
      </c>
    </row>
    <row r="243">
      <c r="A243" s="2">
        <f>IFERROR(__xludf.DUMMYFUNCTION("""COMPUTED_VALUE"""),44700.66666666667)</f>
        <v>44700.66667</v>
      </c>
      <c r="B243" s="1">
        <f>IFERROR(__xludf.DUMMYFUNCTION("""COMPUTED_VALUE"""),139.88)</f>
        <v>139.88</v>
      </c>
      <c r="C243" s="1">
        <f>IFERROR(__xludf.DUMMYFUNCTION("""COMPUTED_VALUE"""),141.66)</f>
        <v>141.66</v>
      </c>
      <c r="D243" s="1">
        <f>IFERROR(__xludf.DUMMYFUNCTION("""COMPUTED_VALUE"""),136.6)</f>
        <v>136.6</v>
      </c>
      <c r="E243" s="1">
        <f>IFERROR(__xludf.DUMMYFUNCTION("""COMPUTED_VALUE"""),137.35)</f>
        <v>137.35</v>
      </c>
      <c r="F243" s="1">
        <f>IFERROR(__xludf.DUMMYFUNCTION("""COMPUTED_VALUE"""),1.3609564E8)</f>
        <v>136095640</v>
      </c>
    </row>
    <row r="244">
      <c r="A244" s="2">
        <f>IFERROR(__xludf.DUMMYFUNCTION("""COMPUTED_VALUE"""),44701.66666666667)</f>
        <v>44701.66667</v>
      </c>
      <c r="B244" s="1">
        <f>IFERROR(__xludf.DUMMYFUNCTION("""COMPUTED_VALUE"""),139.09)</f>
        <v>139.09</v>
      </c>
      <c r="C244" s="1">
        <f>IFERROR(__xludf.DUMMYFUNCTION("""COMPUTED_VALUE"""),140.7)</f>
        <v>140.7</v>
      </c>
      <c r="D244" s="1">
        <f>IFERROR(__xludf.DUMMYFUNCTION("""COMPUTED_VALUE"""),132.61)</f>
        <v>132.61</v>
      </c>
      <c r="E244" s="1">
        <f>IFERROR(__xludf.DUMMYFUNCTION("""COMPUTED_VALUE"""),137.59)</f>
        <v>137.59</v>
      </c>
      <c r="F244" s="1">
        <f>IFERROR(__xludf.DUMMYFUNCTION("""COMPUTED_VALUE"""),1.37426125E8)</f>
        <v>137426125</v>
      </c>
    </row>
    <row r="245">
      <c r="A245" s="2">
        <f>IFERROR(__xludf.DUMMYFUNCTION("""COMPUTED_VALUE"""),44704.66666666667)</f>
        <v>44704.66667</v>
      </c>
      <c r="B245" s="1">
        <f>IFERROR(__xludf.DUMMYFUNCTION("""COMPUTED_VALUE"""),137.79)</f>
        <v>137.79</v>
      </c>
      <c r="C245" s="1">
        <f>IFERROR(__xludf.DUMMYFUNCTION("""COMPUTED_VALUE"""),143.26)</f>
        <v>143.26</v>
      </c>
      <c r="D245" s="1">
        <f>IFERROR(__xludf.DUMMYFUNCTION("""COMPUTED_VALUE"""),137.65)</f>
        <v>137.65</v>
      </c>
      <c r="E245" s="1">
        <f>IFERROR(__xludf.DUMMYFUNCTION("""COMPUTED_VALUE"""),143.11)</f>
        <v>143.11</v>
      </c>
      <c r="F245" s="1">
        <f>IFERROR(__xludf.DUMMYFUNCTION("""COMPUTED_VALUE"""),1.17726265E8)</f>
        <v>117726265</v>
      </c>
    </row>
    <row r="246">
      <c r="A246" s="2">
        <f>IFERROR(__xludf.DUMMYFUNCTION("""COMPUTED_VALUE"""),44705.66666666667)</f>
        <v>44705.66667</v>
      </c>
      <c r="B246" s="1">
        <f>IFERROR(__xludf.DUMMYFUNCTION("""COMPUTED_VALUE"""),140.81)</f>
        <v>140.81</v>
      </c>
      <c r="C246" s="1">
        <f>IFERROR(__xludf.DUMMYFUNCTION("""COMPUTED_VALUE"""),141.97)</f>
        <v>141.97</v>
      </c>
      <c r="D246" s="1">
        <f>IFERROR(__xludf.DUMMYFUNCTION("""COMPUTED_VALUE"""),137.33)</f>
        <v>137.33</v>
      </c>
      <c r="E246" s="1">
        <f>IFERROR(__xludf.DUMMYFUNCTION("""COMPUTED_VALUE"""),140.36)</f>
        <v>140.36</v>
      </c>
      <c r="F246" s="1">
        <f>IFERROR(__xludf.DUMMYFUNCTION("""COMPUTED_VALUE"""),1.04132746E8)</f>
        <v>104132746</v>
      </c>
    </row>
    <row r="247">
      <c r="A247" s="2">
        <f>IFERROR(__xludf.DUMMYFUNCTION("""COMPUTED_VALUE"""),44706.66666666667)</f>
        <v>44706.66667</v>
      </c>
      <c r="B247" s="1">
        <f>IFERROR(__xludf.DUMMYFUNCTION("""COMPUTED_VALUE"""),138.43)</f>
        <v>138.43</v>
      </c>
      <c r="C247" s="1">
        <f>IFERROR(__xludf.DUMMYFUNCTION("""COMPUTED_VALUE"""),141.79)</f>
        <v>141.79</v>
      </c>
      <c r="D247" s="1">
        <f>IFERROR(__xludf.DUMMYFUNCTION("""COMPUTED_VALUE"""),138.34)</f>
        <v>138.34</v>
      </c>
      <c r="E247" s="1">
        <f>IFERROR(__xludf.DUMMYFUNCTION("""COMPUTED_VALUE"""),140.52)</f>
        <v>140.52</v>
      </c>
      <c r="F247" s="1">
        <f>IFERROR(__xludf.DUMMYFUNCTION("""COMPUTED_VALUE"""),9.2482696E7)</f>
        <v>92482696</v>
      </c>
    </row>
    <row r="248">
      <c r="A248" s="2">
        <f>IFERROR(__xludf.DUMMYFUNCTION("""COMPUTED_VALUE"""),44707.66666666667)</f>
        <v>44707.66667</v>
      </c>
      <c r="B248" s="1">
        <f>IFERROR(__xludf.DUMMYFUNCTION("""COMPUTED_VALUE"""),137.39)</f>
        <v>137.39</v>
      </c>
      <c r="C248" s="1">
        <f>IFERROR(__xludf.DUMMYFUNCTION("""COMPUTED_VALUE"""),144.34)</f>
        <v>144.34</v>
      </c>
      <c r="D248" s="1">
        <f>IFERROR(__xludf.DUMMYFUNCTION("""COMPUTED_VALUE"""),137.14)</f>
        <v>137.14</v>
      </c>
      <c r="E248" s="1">
        <f>IFERROR(__xludf.DUMMYFUNCTION("""COMPUTED_VALUE"""),143.78)</f>
        <v>143.78</v>
      </c>
      <c r="F248" s="1">
        <f>IFERROR(__xludf.DUMMYFUNCTION("""COMPUTED_VALUE"""),9.0601548E7)</f>
        <v>90601548</v>
      </c>
    </row>
    <row r="249">
      <c r="A249" s="2">
        <f>IFERROR(__xludf.DUMMYFUNCTION("""COMPUTED_VALUE"""),44708.66666666667)</f>
        <v>44708.66667</v>
      </c>
      <c r="B249" s="1">
        <f>IFERROR(__xludf.DUMMYFUNCTION("""COMPUTED_VALUE"""),145.39)</f>
        <v>145.39</v>
      </c>
      <c r="C249" s="1">
        <f>IFERROR(__xludf.DUMMYFUNCTION("""COMPUTED_VALUE"""),149.68)</f>
        <v>149.68</v>
      </c>
      <c r="D249" s="1">
        <f>IFERROR(__xludf.DUMMYFUNCTION("""COMPUTED_VALUE"""),145.26)</f>
        <v>145.26</v>
      </c>
      <c r="E249" s="1">
        <f>IFERROR(__xludf.DUMMYFUNCTION("""COMPUTED_VALUE"""),149.64)</f>
        <v>149.64</v>
      </c>
      <c r="F249" s="1">
        <f>IFERROR(__xludf.DUMMYFUNCTION("""COMPUTED_VALUE"""),9.0978503E7)</f>
        <v>90978503</v>
      </c>
    </row>
    <row r="250">
      <c r="A250" s="2">
        <f>IFERROR(__xludf.DUMMYFUNCTION("""COMPUTED_VALUE"""),44712.66666666667)</f>
        <v>44712.66667</v>
      </c>
      <c r="B250" s="1">
        <f>IFERROR(__xludf.DUMMYFUNCTION("""COMPUTED_VALUE"""),149.07)</f>
        <v>149.07</v>
      </c>
      <c r="C250" s="1">
        <f>IFERROR(__xludf.DUMMYFUNCTION("""COMPUTED_VALUE"""),150.66)</f>
        <v>150.66</v>
      </c>
      <c r="D250" s="1">
        <f>IFERROR(__xludf.DUMMYFUNCTION("""COMPUTED_VALUE"""),146.84)</f>
        <v>146.84</v>
      </c>
      <c r="E250" s="1">
        <f>IFERROR(__xludf.DUMMYFUNCTION("""COMPUTED_VALUE"""),148.84)</f>
        <v>148.84</v>
      </c>
      <c r="F250" s="1">
        <f>IFERROR(__xludf.DUMMYFUNCTION("""COMPUTED_VALUE"""),1.03718416E8)</f>
        <v>103718416</v>
      </c>
    </row>
    <row r="251">
      <c r="A251" s="2">
        <f>IFERROR(__xludf.DUMMYFUNCTION("""COMPUTED_VALUE"""),44713.66666666667)</f>
        <v>44713.66667</v>
      </c>
      <c r="B251" s="1">
        <f>IFERROR(__xludf.DUMMYFUNCTION("""COMPUTED_VALUE"""),149.9)</f>
        <v>149.9</v>
      </c>
      <c r="C251" s="1">
        <f>IFERROR(__xludf.DUMMYFUNCTION("""COMPUTED_VALUE"""),151.74)</f>
        <v>151.74</v>
      </c>
      <c r="D251" s="1">
        <f>IFERROR(__xludf.DUMMYFUNCTION("""COMPUTED_VALUE"""),147.68)</f>
        <v>147.68</v>
      </c>
      <c r="E251" s="1">
        <f>IFERROR(__xludf.DUMMYFUNCTION("""COMPUTED_VALUE"""),148.71)</f>
        <v>148.71</v>
      </c>
      <c r="F251" s="1">
        <f>IFERROR(__xludf.DUMMYFUNCTION("""COMPUTED_VALUE"""),7.4286635E7)</f>
        <v>74286635</v>
      </c>
    </row>
    <row r="252">
      <c r="A252" s="2">
        <f>IFERROR(__xludf.DUMMYFUNCTION("""COMPUTED_VALUE"""),44714.66666666667)</f>
        <v>44714.66667</v>
      </c>
      <c r="B252" s="1">
        <f>IFERROR(__xludf.DUMMYFUNCTION("""COMPUTED_VALUE"""),147.83)</f>
        <v>147.83</v>
      </c>
      <c r="C252" s="1">
        <f>IFERROR(__xludf.DUMMYFUNCTION("""COMPUTED_VALUE"""),151.27)</f>
        <v>151.27</v>
      </c>
      <c r="D252" s="1">
        <f>IFERROR(__xludf.DUMMYFUNCTION("""COMPUTED_VALUE"""),146.86)</f>
        <v>146.86</v>
      </c>
      <c r="E252" s="1">
        <f>IFERROR(__xludf.DUMMYFUNCTION("""COMPUTED_VALUE"""),151.21)</f>
        <v>151.21</v>
      </c>
      <c r="F252" s="1">
        <f>IFERROR(__xludf.DUMMYFUNCTION("""COMPUTED_VALUE"""),7.2348055E7)</f>
        <v>72348055</v>
      </c>
    </row>
    <row r="253">
      <c r="A253" s="2">
        <f>IFERROR(__xludf.DUMMYFUNCTION("""COMPUTED_VALUE"""),44715.66666666667)</f>
        <v>44715.66667</v>
      </c>
      <c r="B253" s="1">
        <f>IFERROR(__xludf.DUMMYFUNCTION("""COMPUTED_VALUE"""),146.9)</f>
        <v>146.9</v>
      </c>
      <c r="C253" s="1">
        <f>IFERROR(__xludf.DUMMYFUNCTION("""COMPUTED_VALUE"""),147.97)</f>
        <v>147.97</v>
      </c>
      <c r="D253" s="1">
        <f>IFERROR(__xludf.DUMMYFUNCTION("""COMPUTED_VALUE"""),144.46)</f>
        <v>144.46</v>
      </c>
      <c r="E253" s="1">
        <f>IFERROR(__xludf.DUMMYFUNCTION("""COMPUTED_VALUE"""),145.38)</f>
        <v>145.38</v>
      </c>
      <c r="F253" s="1">
        <f>IFERROR(__xludf.DUMMYFUNCTION("""COMPUTED_VALUE"""),8.8570289E7)</f>
        <v>88570289</v>
      </c>
    </row>
    <row r="254">
      <c r="A254" s="2">
        <f>IFERROR(__xludf.DUMMYFUNCTION("""COMPUTED_VALUE"""),44718.66666666667)</f>
        <v>44718.66667</v>
      </c>
      <c r="B254" s="1">
        <f>IFERROR(__xludf.DUMMYFUNCTION("""COMPUTED_VALUE"""),147.03)</f>
        <v>147.03</v>
      </c>
      <c r="C254" s="1">
        <f>IFERROR(__xludf.DUMMYFUNCTION("""COMPUTED_VALUE"""),148.57)</f>
        <v>148.57</v>
      </c>
      <c r="D254" s="1">
        <f>IFERROR(__xludf.DUMMYFUNCTION("""COMPUTED_VALUE"""),144.9)</f>
        <v>144.9</v>
      </c>
      <c r="E254" s="1">
        <f>IFERROR(__xludf.DUMMYFUNCTION("""COMPUTED_VALUE"""),146.14)</f>
        <v>146.14</v>
      </c>
      <c r="F254" s="1">
        <f>IFERROR(__xludf.DUMMYFUNCTION("""COMPUTED_VALUE"""),7.159838E7)</f>
        <v>71598380</v>
      </c>
    </row>
    <row r="255">
      <c r="A255" s="2">
        <f>IFERROR(__xludf.DUMMYFUNCTION("""COMPUTED_VALUE"""),44719.66666666667)</f>
        <v>44719.66667</v>
      </c>
      <c r="B255" s="1">
        <f>IFERROR(__xludf.DUMMYFUNCTION("""COMPUTED_VALUE"""),144.35)</f>
        <v>144.35</v>
      </c>
      <c r="C255" s="1">
        <f>IFERROR(__xludf.DUMMYFUNCTION("""COMPUTED_VALUE"""),149.0)</f>
        <v>149</v>
      </c>
      <c r="D255" s="1">
        <f>IFERROR(__xludf.DUMMYFUNCTION("""COMPUTED_VALUE"""),144.1)</f>
        <v>144.1</v>
      </c>
      <c r="E255" s="1">
        <f>IFERROR(__xludf.DUMMYFUNCTION("""COMPUTED_VALUE"""),148.71)</f>
        <v>148.71</v>
      </c>
      <c r="F255" s="1">
        <f>IFERROR(__xludf.DUMMYFUNCTION("""COMPUTED_VALUE"""),6.780815E7)</f>
        <v>67808150</v>
      </c>
    </row>
    <row r="256">
      <c r="A256" s="2">
        <f>IFERROR(__xludf.DUMMYFUNCTION("""COMPUTED_VALUE"""),44720.66666666667)</f>
        <v>44720.66667</v>
      </c>
      <c r="B256" s="1">
        <f>IFERROR(__xludf.DUMMYFUNCTION("""COMPUTED_VALUE"""),148.58)</f>
        <v>148.58</v>
      </c>
      <c r="C256" s="1">
        <f>IFERROR(__xludf.DUMMYFUNCTION("""COMPUTED_VALUE"""),149.87)</f>
        <v>149.87</v>
      </c>
      <c r="D256" s="1">
        <f>IFERROR(__xludf.DUMMYFUNCTION("""COMPUTED_VALUE"""),147.46)</f>
        <v>147.46</v>
      </c>
      <c r="E256" s="1">
        <f>IFERROR(__xludf.DUMMYFUNCTION("""COMPUTED_VALUE"""),147.96)</f>
        <v>147.96</v>
      </c>
      <c r="F256" s="1">
        <f>IFERROR(__xludf.DUMMYFUNCTION("""COMPUTED_VALUE"""),5.3950201E7)</f>
        <v>53950201</v>
      </c>
    </row>
    <row r="257">
      <c r="A257" s="2">
        <f>IFERROR(__xludf.DUMMYFUNCTION("""COMPUTED_VALUE"""),44721.66666666667)</f>
        <v>44721.66667</v>
      </c>
      <c r="B257" s="1">
        <f>IFERROR(__xludf.DUMMYFUNCTION("""COMPUTED_VALUE"""),147.08)</f>
        <v>147.08</v>
      </c>
      <c r="C257" s="1">
        <f>IFERROR(__xludf.DUMMYFUNCTION("""COMPUTED_VALUE"""),147.95)</f>
        <v>147.95</v>
      </c>
      <c r="D257" s="1">
        <f>IFERROR(__xludf.DUMMYFUNCTION("""COMPUTED_VALUE"""),142.53)</f>
        <v>142.53</v>
      </c>
      <c r="E257" s="1">
        <f>IFERROR(__xludf.DUMMYFUNCTION("""COMPUTED_VALUE"""),142.64)</f>
        <v>142.64</v>
      </c>
      <c r="F257" s="1">
        <f>IFERROR(__xludf.DUMMYFUNCTION("""COMPUTED_VALUE"""),6.9472976E7)</f>
        <v>69472976</v>
      </c>
    </row>
    <row r="258">
      <c r="A258" s="2">
        <f>IFERROR(__xludf.DUMMYFUNCTION("""COMPUTED_VALUE"""),44722.66666666667)</f>
        <v>44722.66667</v>
      </c>
      <c r="B258" s="1">
        <f>IFERROR(__xludf.DUMMYFUNCTION("""COMPUTED_VALUE"""),140.28)</f>
        <v>140.28</v>
      </c>
      <c r="C258" s="1">
        <f>IFERROR(__xludf.DUMMYFUNCTION("""COMPUTED_VALUE"""),140.76)</f>
        <v>140.76</v>
      </c>
      <c r="D258" s="1">
        <f>IFERROR(__xludf.DUMMYFUNCTION("""COMPUTED_VALUE"""),137.06)</f>
        <v>137.06</v>
      </c>
      <c r="E258" s="1">
        <f>IFERROR(__xludf.DUMMYFUNCTION("""COMPUTED_VALUE"""),137.13)</f>
        <v>137.13</v>
      </c>
      <c r="F258" s="1">
        <f>IFERROR(__xludf.DUMMYFUNCTION("""COMPUTED_VALUE"""),9.1566637E7)</f>
        <v>91566637</v>
      </c>
    </row>
    <row r="259">
      <c r="A259" s="2">
        <f>IFERROR(__xludf.DUMMYFUNCTION("""COMPUTED_VALUE"""),44725.66666666667)</f>
        <v>44725.66667</v>
      </c>
      <c r="B259" s="1">
        <f>IFERROR(__xludf.DUMMYFUNCTION("""COMPUTED_VALUE"""),132.87)</f>
        <v>132.87</v>
      </c>
      <c r="C259" s="1">
        <f>IFERROR(__xludf.DUMMYFUNCTION("""COMPUTED_VALUE"""),135.2)</f>
        <v>135.2</v>
      </c>
      <c r="D259" s="1">
        <f>IFERROR(__xludf.DUMMYFUNCTION("""COMPUTED_VALUE"""),131.44)</f>
        <v>131.44</v>
      </c>
      <c r="E259" s="1">
        <f>IFERROR(__xludf.DUMMYFUNCTION("""COMPUTED_VALUE"""),131.88)</f>
        <v>131.88</v>
      </c>
      <c r="F259" s="1">
        <f>IFERROR(__xludf.DUMMYFUNCTION("""COMPUTED_VALUE"""),1.22207099E8)</f>
        <v>122207099</v>
      </c>
    </row>
    <row r="260">
      <c r="A260" s="2">
        <f>IFERROR(__xludf.DUMMYFUNCTION("""COMPUTED_VALUE"""),44726.66666666667)</f>
        <v>44726.66667</v>
      </c>
      <c r="B260" s="1">
        <f>IFERROR(__xludf.DUMMYFUNCTION("""COMPUTED_VALUE"""),133.13)</f>
        <v>133.13</v>
      </c>
      <c r="C260" s="1">
        <f>IFERROR(__xludf.DUMMYFUNCTION("""COMPUTED_VALUE"""),133.89)</f>
        <v>133.89</v>
      </c>
      <c r="D260" s="1">
        <f>IFERROR(__xludf.DUMMYFUNCTION("""COMPUTED_VALUE"""),131.48)</f>
        <v>131.48</v>
      </c>
      <c r="E260" s="1">
        <f>IFERROR(__xludf.DUMMYFUNCTION("""COMPUTED_VALUE"""),132.76)</f>
        <v>132.76</v>
      </c>
      <c r="F260" s="1">
        <f>IFERROR(__xludf.DUMMYFUNCTION("""COMPUTED_VALUE"""),8.4784326E7)</f>
        <v>84784326</v>
      </c>
    </row>
    <row r="261">
      <c r="A261" s="2">
        <f>IFERROR(__xludf.DUMMYFUNCTION("""COMPUTED_VALUE"""),44727.66666666667)</f>
        <v>44727.66667</v>
      </c>
      <c r="B261" s="1">
        <f>IFERROR(__xludf.DUMMYFUNCTION("""COMPUTED_VALUE"""),134.29)</f>
        <v>134.29</v>
      </c>
      <c r="C261" s="1">
        <f>IFERROR(__xludf.DUMMYFUNCTION("""COMPUTED_VALUE"""),137.34)</f>
        <v>137.34</v>
      </c>
      <c r="D261" s="1">
        <f>IFERROR(__xludf.DUMMYFUNCTION("""COMPUTED_VALUE"""),132.16)</f>
        <v>132.16</v>
      </c>
      <c r="E261" s="1">
        <f>IFERROR(__xludf.DUMMYFUNCTION("""COMPUTED_VALUE"""),135.43)</f>
        <v>135.43</v>
      </c>
      <c r="F261" s="1">
        <f>IFERROR(__xludf.DUMMYFUNCTION("""COMPUTED_VALUE"""),9.1532972E7)</f>
        <v>91532972</v>
      </c>
    </row>
    <row r="262">
      <c r="A262" s="2">
        <f>IFERROR(__xludf.DUMMYFUNCTION("""COMPUTED_VALUE"""),44728.66666666667)</f>
        <v>44728.66667</v>
      </c>
      <c r="B262" s="1">
        <f>IFERROR(__xludf.DUMMYFUNCTION("""COMPUTED_VALUE"""),132.08)</f>
        <v>132.08</v>
      </c>
      <c r="C262" s="1">
        <f>IFERROR(__xludf.DUMMYFUNCTION("""COMPUTED_VALUE"""),132.39)</f>
        <v>132.39</v>
      </c>
      <c r="D262" s="1">
        <f>IFERROR(__xludf.DUMMYFUNCTION("""COMPUTED_VALUE"""),129.04)</f>
        <v>129.04</v>
      </c>
      <c r="E262" s="1">
        <f>IFERROR(__xludf.DUMMYFUNCTION("""COMPUTED_VALUE"""),130.06)</f>
        <v>130.06</v>
      </c>
      <c r="F262" s="1">
        <f>IFERROR(__xludf.DUMMYFUNCTION("""COMPUTED_VALUE"""),1.07961508E8)</f>
        <v>107961508</v>
      </c>
    </row>
    <row r="263">
      <c r="A263" s="2">
        <f>IFERROR(__xludf.DUMMYFUNCTION("""COMPUTED_VALUE"""),44729.66666666667)</f>
        <v>44729.66667</v>
      </c>
      <c r="B263" s="1">
        <f>IFERROR(__xludf.DUMMYFUNCTION("""COMPUTED_VALUE"""),130.07)</f>
        <v>130.07</v>
      </c>
      <c r="C263" s="1">
        <f>IFERROR(__xludf.DUMMYFUNCTION("""COMPUTED_VALUE"""),133.08)</f>
        <v>133.08</v>
      </c>
      <c r="D263" s="1">
        <f>IFERROR(__xludf.DUMMYFUNCTION("""COMPUTED_VALUE"""),129.81)</f>
        <v>129.81</v>
      </c>
      <c r="E263" s="1">
        <f>IFERROR(__xludf.DUMMYFUNCTION("""COMPUTED_VALUE"""),131.56)</f>
        <v>131.56</v>
      </c>
      <c r="F263" s="1">
        <f>IFERROR(__xludf.DUMMYFUNCTION("""COMPUTED_VALUE"""),1.3452029E8)</f>
        <v>134520290</v>
      </c>
    </row>
    <row r="264">
      <c r="A264" s="2">
        <f>IFERROR(__xludf.DUMMYFUNCTION("""COMPUTED_VALUE"""),44733.66666666667)</f>
        <v>44733.66667</v>
      </c>
      <c r="B264" s="1">
        <f>IFERROR(__xludf.DUMMYFUNCTION("""COMPUTED_VALUE"""),133.42)</f>
        <v>133.42</v>
      </c>
      <c r="C264" s="1">
        <f>IFERROR(__xludf.DUMMYFUNCTION("""COMPUTED_VALUE"""),137.06)</f>
        <v>137.06</v>
      </c>
      <c r="D264" s="1">
        <f>IFERROR(__xludf.DUMMYFUNCTION("""COMPUTED_VALUE"""),133.32)</f>
        <v>133.32</v>
      </c>
      <c r="E264" s="1">
        <f>IFERROR(__xludf.DUMMYFUNCTION("""COMPUTED_VALUE"""),135.87)</f>
        <v>135.87</v>
      </c>
      <c r="F264" s="1">
        <f>IFERROR(__xludf.DUMMYFUNCTION("""COMPUTED_VALUE"""),8.1000488E7)</f>
        <v>81000488</v>
      </c>
    </row>
    <row r="265">
      <c r="A265" s="2">
        <f>IFERROR(__xludf.DUMMYFUNCTION("""COMPUTED_VALUE"""),44734.66666666667)</f>
        <v>44734.66667</v>
      </c>
      <c r="B265" s="1">
        <f>IFERROR(__xludf.DUMMYFUNCTION("""COMPUTED_VALUE"""),134.79)</f>
        <v>134.79</v>
      </c>
      <c r="C265" s="1">
        <f>IFERROR(__xludf.DUMMYFUNCTION("""COMPUTED_VALUE"""),137.76)</f>
        <v>137.76</v>
      </c>
      <c r="D265" s="1">
        <f>IFERROR(__xludf.DUMMYFUNCTION("""COMPUTED_VALUE"""),133.91)</f>
        <v>133.91</v>
      </c>
      <c r="E265" s="1">
        <f>IFERROR(__xludf.DUMMYFUNCTION("""COMPUTED_VALUE"""),135.35)</f>
        <v>135.35</v>
      </c>
      <c r="F265" s="1">
        <f>IFERROR(__xludf.DUMMYFUNCTION("""COMPUTED_VALUE"""),7.3409234E7)</f>
        <v>73409234</v>
      </c>
    </row>
    <row r="266">
      <c r="A266" s="2">
        <f>IFERROR(__xludf.DUMMYFUNCTION("""COMPUTED_VALUE"""),44735.66666666667)</f>
        <v>44735.66667</v>
      </c>
      <c r="B266" s="1">
        <f>IFERROR(__xludf.DUMMYFUNCTION("""COMPUTED_VALUE"""),136.82)</f>
        <v>136.82</v>
      </c>
      <c r="C266" s="1">
        <f>IFERROR(__xludf.DUMMYFUNCTION("""COMPUTED_VALUE"""),138.59)</f>
        <v>138.59</v>
      </c>
      <c r="D266" s="1">
        <f>IFERROR(__xludf.DUMMYFUNCTION("""COMPUTED_VALUE"""),135.63)</f>
        <v>135.63</v>
      </c>
      <c r="E266" s="1">
        <f>IFERROR(__xludf.DUMMYFUNCTION("""COMPUTED_VALUE"""),138.27)</f>
        <v>138.27</v>
      </c>
      <c r="F266" s="1">
        <f>IFERROR(__xludf.DUMMYFUNCTION("""COMPUTED_VALUE"""),7.2433768E7)</f>
        <v>72433768</v>
      </c>
    </row>
    <row r="267">
      <c r="A267" s="2">
        <f>IFERROR(__xludf.DUMMYFUNCTION("""COMPUTED_VALUE"""),44736.66666666667)</f>
        <v>44736.66667</v>
      </c>
      <c r="B267" s="1">
        <f>IFERROR(__xludf.DUMMYFUNCTION("""COMPUTED_VALUE"""),139.9)</f>
        <v>139.9</v>
      </c>
      <c r="C267" s="1">
        <f>IFERROR(__xludf.DUMMYFUNCTION("""COMPUTED_VALUE"""),141.91)</f>
        <v>141.91</v>
      </c>
      <c r="D267" s="1">
        <f>IFERROR(__xludf.DUMMYFUNCTION("""COMPUTED_VALUE"""),139.77)</f>
        <v>139.77</v>
      </c>
      <c r="E267" s="1">
        <f>IFERROR(__xludf.DUMMYFUNCTION("""COMPUTED_VALUE"""),141.66)</f>
        <v>141.66</v>
      </c>
      <c r="F267" s="1">
        <f>IFERROR(__xludf.DUMMYFUNCTION("""COMPUTED_VALUE"""),8.9116837E7)</f>
        <v>89116837</v>
      </c>
    </row>
    <row r="268">
      <c r="A268" s="2">
        <f>IFERROR(__xludf.DUMMYFUNCTION("""COMPUTED_VALUE"""),44739.66666666667)</f>
        <v>44739.66667</v>
      </c>
      <c r="B268" s="1">
        <f>IFERROR(__xludf.DUMMYFUNCTION("""COMPUTED_VALUE"""),142.7)</f>
        <v>142.7</v>
      </c>
      <c r="C268" s="1">
        <f>IFERROR(__xludf.DUMMYFUNCTION("""COMPUTED_VALUE"""),143.49)</f>
        <v>143.49</v>
      </c>
      <c r="D268" s="1">
        <f>IFERROR(__xludf.DUMMYFUNCTION("""COMPUTED_VALUE"""),140.97)</f>
        <v>140.97</v>
      </c>
      <c r="E268" s="1">
        <f>IFERROR(__xludf.DUMMYFUNCTION("""COMPUTED_VALUE"""),141.66)</f>
        <v>141.66</v>
      </c>
      <c r="F268" s="1">
        <f>IFERROR(__xludf.DUMMYFUNCTION("""COMPUTED_VALUE"""),7.0207908E7)</f>
        <v>70207908</v>
      </c>
    </row>
    <row r="269">
      <c r="A269" s="2">
        <f>IFERROR(__xludf.DUMMYFUNCTION("""COMPUTED_VALUE"""),44740.66666666667)</f>
        <v>44740.66667</v>
      </c>
      <c r="B269" s="1">
        <f>IFERROR(__xludf.DUMMYFUNCTION("""COMPUTED_VALUE"""),142.13)</f>
        <v>142.13</v>
      </c>
      <c r="C269" s="1">
        <f>IFERROR(__xludf.DUMMYFUNCTION("""COMPUTED_VALUE"""),143.42)</f>
        <v>143.42</v>
      </c>
      <c r="D269" s="1">
        <f>IFERROR(__xludf.DUMMYFUNCTION("""COMPUTED_VALUE"""),137.32)</f>
        <v>137.32</v>
      </c>
      <c r="E269" s="1">
        <f>IFERROR(__xludf.DUMMYFUNCTION("""COMPUTED_VALUE"""),137.44)</f>
        <v>137.44</v>
      </c>
      <c r="F269" s="1">
        <f>IFERROR(__xludf.DUMMYFUNCTION("""COMPUTED_VALUE"""),6.7315328E7)</f>
        <v>67315328</v>
      </c>
    </row>
    <row r="270">
      <c r="A270" s="2">
        <f>IFERROR(__xludf.DUMMYFUNCTION("""COMPUTED_VALUE"""),44741.66666666667)</f>
        <v>44741.66667</v>
      </c>
      <c r="B270" s="1">
        <f>IFERROR(__xludf.DUMMYFUNCTION("""COMPUTED_VALUE"""),137.46)</f>
        <v>137.46</v>
      </c>
      <c r="C270" s="1">
        <f>IFERROR(__xludf.DUMMYFUNCTION("""COMPUTED_VALUE"""),140.67)</f>
        <v>140.67</v>
      </c>
      <c r="D270" s="1">
        <f>IFERROR(__xludf.DUMMYFUNCTION("""COMPUTED_VALUE"""),136.67)</f>
        <v>136.67</v>
      </c>
      <c r="E270" s="1">
        <f>IFERROR(__xludf.DUMMYFUNCTION("""COMPUTED_VALUE"""),139.23)</f>
        <v>139.23</v>
      </c>
      <c r="F270" s="1">
        <f>IFERROR(__xludf.DUMMYFUNCTION("""COMPUTED_VALUE"""),6.6242411E7)</f>
        <v>66242411</v>
      </c>
    </row>
    <row r="271">
      <c r="A271" s="2">
        <f>IFERROR(__xludf.DUMMYFUNCTION("""COMPUTED_VALUE"""),44742.66666666667)</f>
        <v>44742.66667</v>
      </c>
      <c r="B271" s="1">
        <f>IFERROR(__xludf.DUMMYFUNCTION("""COMPUTED_VALUE"""),137.25)</f>
        <v>137.25</v>
      </c>
      <c r="C271" s="1">
        <f>IFERROR(__xludf.DUMMYFUNCTION("""COMPUTED_VALUE"""),138.37)</f>
        <v>138.37</v>
      </c>
      <c r="D271" s="1">
        <f>IFERROR(__xludf.DUMMYFUNCTION("""COMPUTED_VALUE"""),133.77)</f>
        <v>133.77</v>
      </c>
      <c r="E271" s="1">
        <f>IFERROR(__xludf.DUMMYFUNCTION("""COMPUTED_VALUE"""),136.72)</f>
        <v>136.72</v>
      </c>
      <c r="F271" s="1">
        <f>IFERROR(__xludf.DUMMYFUNCTION("""COMPUTED_VALUE"""),9.8964467E7)</f>
        <v>98964467</v>
      </c>
    </row>
    <row r="272">
      <c r="A272" s="2">
        <f>IFERROR(__xludf.DUMMYFUNCTION("""COMPUTED_VALUE"""),44743.66666666667)</f>
        <v>44743.66667</v>
      </c>
      <c r="B272" s="1">
        <f>IFERROR(__xludf.DUMMYFUNCTION("""COMPUTED_VALUE"""),136.04)</f>
        <v>136.04</v>
      </c>
      <c r="C272" s="1">
        <f>IFERROR(__xludf.DUMMYFUNCTION("""COMPUTED_VALUE"""),139.04)</f>
        <v>139.04</v>
      </c>
      <c r="D272" s="1">
        <f>IFERROR(__xludf.DUMMYFUNCTION("""COMPUTED_VALUE"""),135.66)</f>
        <v>135.66</v>
      </c>
      <c r="E272" s="1">
        <f>IFERROR(__xludf.DUMMYFUNCTION("""COMPUTED_VALUE"""),138.93)</f>
        <v>138.93</v>
      </c>
      <c r="F272" s="1">
        <f>IFERROR(__xludf.DUMMYFUNCTION("""COMPUTED_VALUE"""),7.1051552E7)</f>
        <v>71051552</v>
      </c>
    </row>
    <row r="273">
      <c r="A273" s="2">
        <f>IFERROR(__xludf.DUMMYFUNCTION("""COMPUTED_VALUE"""),44747.66666666667)</f>
        <v>44747.66667</v>
      </c>
      <c r="B273" s="1">
        <f>IFERROR(__xludf.DUMMYFUNCTION("""COMPUTED_VALUE"""),137.77)</f>
        <v>137.77</v>
      </c>
      <c r="C273" s="1">
        <f>IFERROR(__xludf.DUMMYFUNCTION("""COMPUTED_VALUE"""),141.61)</f>
        <v>141.61</v>
      </c>
      <c r="D273" s="1">
        <f>IFERROR(__xludf.DUMMYFUNCTION("""COMPUTED_VALUE"""),136.93)</f>
        <v>136.93</v>
      </c>
      <c r="E273" s="1">
        <f>IFERROR(__xludf.DUMMYFUNCTION("""COMPUTED_VALUE"""),141.56)</f>
        <v>141.56</v>
      </c>
      <c r="F273" s="1">
        <f>IFERROR(__xludf.DUMMYFUNCTION("""COMPUTED_VALUE"""),7.3429641E7)</f>
        <v>73429641</v>
      </c>
    </row>
    <row r="274">
      <c r="A274" s="2">
        <f>IFERROR(__xludf.DUMMYFUNCTION("""COMPUTED_VALUE"""),44748.66666666667)</f>
        <v>44748.66667</v>
      </c>
      <c r="B274" s="1">
        <f>IFERROR(__xludf.DUMMYFUNCTION("""COMPUTED_VALUE"""),141.35)</f>
        <v>141.35</v>
      </c>
      <c r="C274" s="1">
        <f>IFERROR(__xludf.DUMMYFUNCTION("""COMPUTED_VALUE"""),144.12)</f>
        <v>144.12</v>
      </c>
      <c r="D274" s="1">
        <f>IFERROR(__xludf.DUMMYFUNCTION("""COMPUTED_VALUE"""),141.08)</f>
        <v>141.08</v>
      </c>
      <c r="E274" s="1">
        <f>IFERROR(__xludf.DUMMYFUNCTION("""COMPUTED_VALUE"""),142.92)</f>
        <v>142.92</v>
      </c>
      <c r="F274" s="1">
        <f>IFERROR(__xludf.DUMMYFUNCTION("""COMPUTED_VALUE"""),7.4064254E7)</f>
        <v>74064254</v>
      </c>
    </row>
    <row r="275">
      <c r="A275" s="2">
        <f>IFERROR(__xludf.DUMMYFUNCTION("""COMPUTED_VALUE"""),44749.66666666667)</f>
        <v>44749.66667</v>
      </c>
      <c r="B275" s="1">
        <f>IFERROR(__xludf.DUMMYFUNCTION("""COMPUTED_VALUE"""),143.29)</f>
        <v>143.29</v>
      </c>
      <c r="C275" s="1">
        <f>IFERROR(__xludf.DUMMYFUNCTION("""COMPUTED_VALUE"""),146.55)</f>
        <v>146.55</v>
      </c>
      <c r="D275" s="1">
        <f>IFERROR(__xludf.DUMMYFUNCTION("""COMPUTED_VALUE"""),143.28)</f>
        <v>143.28</v>
      </c>
      <c r="E275" s="1">
        <f>IFERROR(__xludf.DUMMYFUNCTION("""COMPUTED_VALUE"""),146.35)</f>
        <v>146.35</v>
      </c>
      <c r="F275" s="1">
        <f>IFERROR(__xludf.DUMMYFUNCTION("""COMPUTED_VALUE"""),6.6253709E7)</f>
        <v>66253709</v>
      </c>
    </row>
    <row r="276">
      <c r="A276" s="2">
        <f>IFERROR(__xludf.DUMMYFUNCTION("""COMPUTED_VALUE"""),44750.66666666667)</f>
        <v>44750.66667</v>
      </c>
      <c r="B276" s="1">
        <f>IFERROR(__xludf.DUMMYFUNCTION("""COMPUTED_VALUE"""),145.26)</f>
        <v>145.26</v>
      </c>
      <c r="C276" s="1">
        <f>IFERROR(__xludf.DUMMYFUNCTION("""COMPUTED_VALUE"""),147.55)</f>
        <v>147.55</v>
      </c>
      <c r="D276" s="1">
        <f>IFERROR(__xludf.DUMMYFUNCTION("""COMPUTED_VALUE"""),145.0)</f>
        <v>145</v>
      </c>
      <c r="E276" s="1">
        <f>IFERROR(__xludf.DUMMYFUNCTION("""COMPUTED_VALUE"""),147.04)</f>
        <v>147.04</v>
      </c>
      <c r="F276" s="1">
        <f>IFERROR(__xludf.DUMMYFUNCTION("""COMPUTED_VALUE"""),6.4547798E7)</f>
        <v>64547798</v>
      </c>
    </row>
    <row r="277">
      <c r="A277" s="2">
        <f>IFERROR(__xludf.DUMMYFUNCTION("""COMPUTED_VALUE"""),44753.66666666667)</f>
        <v>44753.66667</v>
      </c>
      <c r="B277" s="1">
        <f>IFERROR(__xludf.DUMMYFUNCTION("""COMPUTED_VALUE"""),145.67)</f>
        <v>145.67</v>
      </c>
      <c r="C277" s="1">
        <f>IFERROR(__xludf.DUMMYFUNCTION("""COMPUTED_VALUE"""),146.64)</f>
        <v>146.64</v>
      </c>
      <c r="D277" s="1">
        <f>IFERROR(__xludf.DUMMYFUNCTION("""COMPUTED_VALUE"""),143.78)</f>
        <v>143.78</v>
      </c>
      <c r="E277" s="1">
        <f>IFERROR(__xludf.DUMMYFUNCTION("""COMPUTED_VALUE"""),144.87)</f>
        <v>144.87</v>
      </c>
      <c r="F277" s="1">
        <f>IFERROR(__xludf.DUMMYFUNCTION("""COMPUTED_VALUE"""),6.3305113E7)</f>
        <v>63305113</v>
      </c>
    </row>
    <row r="278">
      <c r="A278" s="2">
        <f>IFERROR(__xludf.DUMMYFUNCTION("""COMPUTED_VALUE"""),44754.66666666667)</f>
        <v>44754.66667</v>
      </c>
      <c r="B278" s="1">
        <f>IFERROR(__xludf.DUMMYFUNCTION("""COMPUTED_VALUE"""),145.76)</f>
        <v>145.76</v>
      </c>
      <c r="C278" s="1">
        <f>IFERROR(__xludf.DUMMYFUNCTION("""COMPUTED_VALUE"""),148.45)</f>
        <v>148.45</v>
      </c>
      <c r="D278" s="1">
        <f>IFERROR(__xludf.DUMMYFUNCTION("""COMPUTED_VALUE"""),145.05)</f>
        <v>145.05</v>
      </c>
      <c r="E278" s="1">
        <f>IFERROR(__xludf.DUMMYFUNCTION("""COMPUTED_VALUE"""),145.86)</f>
        <v>145.86</v>
      </c>
      <c r="F278" s="1">
        <f>IFERROR(__xludf.DUMMYFUNCTION("""COMPUTED_VALUE"""),7.7588759E7)</f>
        <v>77588759</v>
      </c>
    </row>
    <row r="279">
      <c r="A279" s="2">
        <f>IFERROR(__xludf.DUMMYFUNCTION("""COMPUTED_VALUE"""),44755.66666666667)</f>
        <v>44755.66667</v>
      </c>
      <c r="B279" s="1">
        <f>IFERROR(__xludf.DUMMYFUNCTION("""COMPUTED_VALUE"""),142.99)</f>
        <v>142.99</v>
      </c>
      <c r="C279" s="1">
        <f>IFERROR(__xludf.DUMMYFUNCTION("""COMPUTED_VALUE"""),146.45)</f>
        <v>146.45</v>
      </c>
      <c r="D279" s="1">
        <f>IFERROR(__xludf.DUMMYFUNCTION("""COMPUTED_VALUE"""),142.12)</f>
        <v>142.12</v>
      </c>
      <c r="E279" s="1">
        <f>IFERROR(__xludf.DUMMYFUNCTION("""COMPUTED_VALUE"""),145.49)</f>
        <v>145.49</v>
      </c>
      <c r="F279" s="1">
        <f>IFERROR(__xludf.DUMMYFUNCTION("""COMPUTED_VALUE"""),7.118556E7)</f>
        <v>71185560</v>
      </c>
    </row>
    <row r="280">
      <c r="A280" s="2">
        <f>IFERROR(__xludf.DUMMYFUNCTION("""COMPUTED_VALUE"""),44756.66666666667)</f>
        <v>44756.66667</v>
      </c>
      <c r="B280" s="1">
        <f>IFERROR(__xludf.DUMMYFUNCTION("""COMPUTED_VALUE"""),144.08)</f>
        <v>144.08</v>
      </c>
      <c r="C280" s="1">
        <f>IFERROR(__xludf.DUMMYFUNCTION("""COMPUTED_VALUE"""),148.95)</f>
        <v>148.95</v>
      </c>
      <c r="D280" s="1">
        <f>IFERROR(__xludf.DUMMYFUNCTION("""COMPUTED_VALUE"""),143.25)</f>
        <v>143.25</v>
      </c>
      <c r="E280" s="1">
        <f>IFERROR(__xludf.DUMMYFUNCTION("""COMPUTED_VALUE"""),148.47)</f>
        <v>148.47</v>
      </c>
      <c r="F280" s="1">
        <f>IFERROR(__xludf.DUMMYFUNCTION("""COMPUTED_VALUE"""),7.8140744E7)</f>
        <v>78140744</v>
      </c>
    </row>
    <row r="281">
      <c r="A281" s="2">
        <f>IFERROR(__xludf.DUMMYFUNCTION("""COMPUTED_VALUE"""),44757.66666666667)</f>
        <v>44757.66667</v>
      </c>
      <c r="B281" s="1">
        <f>IFERROR(__xludf.DUMMYFUNCTION("""COMPUTED_VALUE"""),149.78)</f>
        <v>149.78</v>
      </c>
      <c r="C281" s="1">
        <f>IFERROR(__xludf.DUMMYFUNCTION("""COMPUTED_VALUE"""),150.86)</f>
        <v>150.86</v>
      </c>
      <c r="D281" s="1">
        <f>IFERROR(__xludf.DUMMYFUNCTION("""COMPUTED_VALUE"""),148.2)</f>
        <v>148.2</v>
      </c>
      <c r="E281" s="1">
        <f>IFERROR(__xludf.DUMMYFUNCTION("""COMPUTED_VALUE"""),150.17)</f>
        <v>150.17</v>
      </c>
      <c r="F281" s="1">
        <f>IFERROR(__xludf.DUMMYFUNCTION("""COMPUTED_VALUE"""),7.6259931E7)</f>
        <v>76259931</v>
      </c>
    </row>
    <row r="282">
      <c r="A282" s="2">
        <f>IFERROR(__xludf.DUMMYFUNCTION("""COMPUTED_VALUE"""),44760.66666666667)</f>
        <v>44760.66667</v>
      </c>
      <c r="B282" s="1">
        <f>IFERROR(__xludf.DUMMYFUNCTION("""COMPUTED_VALUE"""),150.74)</f>
        <v>150.74</v>
      </c>
      <c r="C282" s="1">
        <f>IFERROR(__xludf.DUMMYFUNCTION("""COMPUTED_VALUE"""),151.57)</f>
        <v>151.57</v>
      </c>
      <c r="D282" s="1">
        <f>IFERROR(__xludf.DUMMYFUNCTION("""COMPUTED_VALUE"""),146.7)</f>
        <v>146.7</v>
      </c>
      <c r="E282" s="1">
        <f>IFERROR(__xludf.DUMMYFUNCTION("""COMPUTED_VALUE"""),147.07)</f>
        <v>147.07</v>
      </c>
      <c r="F282" s="1">
        <f>IFERROR(__xludf.DUMMYFUNCTION("""COMPUTED_VALUE"""),8.1420868E7)</f>
        <v>81420868</v>
      </c>
    </row>
    <row r="283">
      <c r="A283" s="2">
        <f>IFERROR(__xludf.DUMMYFUNCTION("""COMPUTED_VALUE"""),44761.66666666667)</f>
        <v>44761.66667</v>
      </c>
      <c r="B283" s="1">
        <f>IFERROR(__xludf.DUMMYFUNCTION("""COMPUTED_VALUE"""),147.92)</f>
        <v>147.92</v>
      </c>
      <c r="C283" s="1">
        <f>IFERROR(__xludf.DUMMYFUNCTION("""COMPUTED_VALUE"""),151.23)</f>
        <v>151.23</v>
      </c>
      <c r="D283" s="1">
        <f>IFERROR(__xludf.DUMMYFUNCTION("""COMPUTED_VALUE"""),146.91)</f>
        <v>146.91</v>
      </c>
      <c r="E283" s="1">
        <f>IFERROR(__xludf.DUMMYFUNCTION("""COMPUTED_VALUE"""),151.0)</f>
        <v>151</v>
      </c>
      <c r="F283" s="1">
        <f>IFERROR(__xludf.DUMMYFUNCTION("""COMPUTED_VALUE"""),8.2982367E7)</f>
        <v>82982367</v>
      </c>
    </row>
    <row r="284">
      <c r="A284" s="2">
        <f>IFERROR(__xludf.DUMMYFUNCTION("""COMPUTED_VALUE"""),44762.66666666667)</f>
        <v>44762.66667</v>
      </c>
      <c r="B284" s="1">
        <f>IFERROR(__xludf.DUMMYFUNCTION("""COMPUTED_VALUE"""),151.12)</f>
        <v>151.12</v>
      </c>
      <c r="C284" s="1">
        <f>IFERROR(__xludf.DUMMYFUNCTION("""COMPUTED_VALUE"""),153.72)</f>
        <v>153.72</v>
      </c>
      <c r="D284" s="1">
        <f>IFERROR(__xludf.DUMMYFUNCTION("""COMPUTED_VALUE"""),150.37)</f>
        <v>150.37</v>
      </c>
      <c r="E284" s="1">
        <f>IFERROR(__xludf.DUMMYFUNCTION("""COMPUTED_VALUE"""),153.04)</f>
        <v>153.04</v>
      </c>
      <c r="F284" s="1">
        <f>IFERROR(__xludf.DUMMYFUNCTION("""COMPUTED_VALUE"""),6.4823413E7)</f>
        <v>64823413</v>
      </c>
    </row>
    <row r="285">
      <c r="A285" s="2">
        <f>IFERROR(__xludf.DUMMYFUNCTION("""COMPUTED_VALUE"""),44763.66666666667)</f>
        <v>44763.66667</v>
      </c>
      <c r="B285" s="1">
        <f>IFERROR(__xludf.DUMMYFUNCTION("""COMPUTED_VALUE"""),154.5)</f>
        <v>154.5</v>
      </c>
      <c r="C285" s="1">
        <f>IFERROR(__xludf.DUMMYFUNCTION("""COMPUTED_VALUE"""),155.57)</f>
        <v>155.57</v>
      </c>
      <c r="D285" s="1">
        <f>IFERROR(__xludf.DUMMYFUNCTION("""COMPUTED_VALUE"""),151.94)</f>
        <v>151.94</v>
      </c>
      <c r="E285" s="1">
        <f>IFERROR(__xludf.DUMMYFUNCTION("""COMPUTED_VALUE"""),155.35)</f>
        <v>155.35</v>
      </c>
      <c r="F285" s="1">
        <f>IFERROR(__xludf.DUMMYFUNCTION("""COMPUTED_VALUE"""),6.5086636E7)</f>
        <v>65086636</v>
      </c>
    </row>
    <row r="286">
      <c r="A286" s="2">
        <f>IFERROR(__xludf.DUMMYFUNCTION("""COMPUTED_VALUE"""),44764.66666666667)</f>
        <v>44764.66667</v>
      </c>
      <c r="B286" s="1">
        <f>IFERROR(__xludf.DUMMYFUNCTION("""COMPUTED_VALUE"""),155.39)</f>
        <v>155.39</v>
      </c>
      <c r="C286" s="1">
        <f>IFERROR(__xludf.DUMMYFUNCTION("""COMPUTED_VALUE"""),156.28)</f>
        <v>156.28</v>
      </c>
      <c r="D286" s="1">
        <f>IFERROR(__xludf.DUMMYFUNCTION("""COMPUTED_VALUE"""),153.41)</f>
        <v>153.41</v>
      </c>
      <c r="E286" s="1">
        <f>IFERROR(__xludf.DUMMYFUNCTION("""COMPUTED_VALUE"""),154.09)</f>
        <v>154.09</v>
      </c>
      <c r="F286" s="1">
        <f>IFERROR(__xludf.DUMMYFUNCTION("""COMPUTED_VALUE"""),6.6675408E7)</f>
        <v>66675408</v>
      </c>
    </row>
    <row r="287">
      <c r="A287" s="2">
        <f>IFERROR(__xludf.DUMMYFUNCTION("""COMPUTED_VALUE"""),44767.66666666667)</f>
        <v>44767.66667</v>
      </c>
      <c r="B287" s="1">
        <f>IFERROR(__xludf.DUMMYFUNCTION("""COMPUTED_VALUE"""),154.01)</f>
        <v>154.01</v>
      </c>
      <c r="C287" s="1">
        <f>IFERROR(__xludf.DUMMYFUNCTION("""COMPUTED_VALUE"""),155.04)</f>
        <v>155.04</v>
      </c>
      <c r="D287" s="1">
        <f>IFERROR(__xludf.DUMMYFUNCTION("""COMPUTED_VALUE"""),152.28)</f>
        <v>152.28</v>
      </c>
      <c r="E287" s="1">
        <f>IFERROR(__xludf.DUMMYFUNCTION("""COMPUTED_VALUE"""),152.95)</f>
        <v>152.95</v>
      </c>
      <c r="F287" s="1">
        <f>IFERROR(__xludf.DUMMYFUNCTION("""COMPUTED_VALUE"""),5.3623945E7)</f>
        <v>53623945</v>
      </c>
    </row>
    <row r="288">
      <c r="A288" s="2">
        <f>IFERROR(__xludf.DUMMYFUNCTION("""COMPUTED_VALUE"""),44768.66666666667)</f>
        <v>44768.66667</v>
      </c>
      <c r="B288" s="1">
        <f>IFERROR(__xludf.DUMMYFUNCTION("""COMPUTED_VALUE"""),152.26)</f>
        <v>152.26</v>
      </c>
      <c r="C288" s="1">
        <f>IFERROR(__xludf.DUMMYFUNCTION("""COMPUTED_VALUE"""),153.09)</f>
        <v>153.09</v>
      </c>
      <c r="D288" s="1">
        <f>IFERROR(__xludf.DUMMYFUNCTION("""COMPUTED_VALUE"""),150.8)</f>
        <v>150.8</v>
      </c>
      <c r="E288" s="1">
        <f>IFERROR(__xludf.DUMMYFUNCTION("""COMPUTED_VALUE"""),151.6)</f>
        <v>151.6</v>
      </c>
      <c r="F288" s="1">
        <f>IFERROR(__xludf.DUMMYFUNCTION("""COMPUTED_VALUE"""),5.5138691E7)</f>
        <v>55138691</v>
      </c>
    </row>
    <row r="289">
      <c r="A289" s="2">
        <f>IFERROR(__xludf.DUMMYFUNCTION("""COMPUTED_VALUE"""),44769.66666666667)</f>
        <v>44769.66667</v>
      </c>
      <c r="B289" s="1">
        <f>IFERROR(__xludf.DUMMYFUNCTION("""COMPUTED_VALUE"""),152.58)</f>
        <v>152.58</v>
      </c>
      <c r="C289" s="1">
        <f>IFERROR(__xludf.DUMMYFUNCTION("""COMPUTED_VALUE"""),157.33)</f>
        <v>157.33</v>
      </c>
      <c r="D289" s="1">
        <f>IFERROR(__xludf.DUMMYFUNCTION("""COMPUTED_VALUE"""),152.16)</f>
        <v>152.16</v>
      </c>
      <c r="E289" s="1">
        <f>IFERROR(__xludf.DUMMYFUNCTION("""COMPUTED_VALUE"""),156.79)</f>
        <v>156.79</v>
      </c>
      <c r="F289" s="1">
        <f>IFERROR(__xludf.DUMMYFUNCTION("""COMPUTED_VALUE"""),7.8620688E7)</f>
        <v>78620688</v>
      </c>
    </row>
    <row r="290">
      <c r="A290" s="2">
        <f>IFERROR(__xludf.DUMMYFUNCTION("""COMPUTED_VALUE"""),44770.66666666667)</f>
        <v>44770.66667</v>
      </c>
      <c r="B290" s="1">
        <f>IFERROR(__xludf.DUMMYFUNCTION("""COMPUTED_VALUE"""),156.98)</f>
        <v>156.98</v>
      </c>
      <c r="C290" s="1">
        <f>IFERROR(__xludf.DUMMYFUNCTION("""COMPUTED_VALUE"""),157.64)</f>
        <v>157.64</v>
      </c>
      <c r="D290" s="1">
        <f>IFERROR(__xludf.DUMMYFUNCTION("""COMPUTED_VALUE"""),154.41)</f>
        <v>154.41</v>
      </c>
      <c r="E290" s="1">
        <f>IFERROR(__xludf.DUMMYFUNCTION("""COMPUTED_VALUE"""),157.35)</f>
        <v>157.35</v>
      </c>
      <c r="F290" s="1">
        <f>IFERROR(__xludf.DUMMYFUNCTION("""COMPUTED_VALUE"""),8.1378731E7)</f>
        <v>81378731</v>
      </c>
    </row>
    <row r="291">
      <c r="A291" s="2">
        <f>IFERROR(__xludf.DUMMYFUNCTION("""COMPUTED_VALUE"""),44771.66666666667)</f>
        <v>44771.66667</v>
      </c>
      <c r="B291" s="1">
        <f>IFERROR(__xludf.DUMMYFUNCTION("""COMPUTED_VALUE"""),161.24)</f>
        <v>161.24</v>
      </c>
      <c r="C291" s="1">
        <f>IFERROR(__xludf.DUMMYFUNCTION("""COMPUTED_VALUE"""),163.63)</f>
        <v>163.63</v>
      </c>
      <c r="D291" s="1">
        <f>IFERROR(__xludf.DUMMYFUNCTION("""COMPUTED_VALUE"""),159.5)</f>
        <v>159.5</v>
      </c>
      <c r="E291" s="1">
        <f>IFERROR(__xludf.DUMMYFUNCTION("""COMPUTED_VALUE"""),162.51)</f>
        <v>162.51</v>
      </c>
      <c r="F291" s="1">
        <f>IFERROR(__xludf.DUMMYFUNCTION("""COMPUTED_VALUE"""),1.0178686E8)</f>
        <v>101786860</v>
      </c>
    </row>
    <row r="292">
      <c r="A292" s="2">
        <f>IFERROR(__xludf.DUMMYFUNCTION("""COMPUTED_VALUE"""),44774.66666666667)</f>
        <v>44774.66667</v>
      </c>
      <c r="B292" s="1">
        <f>IFERROR(__xludf.DUMMYFUNCTION("""COMPUTED_VALUE"""),161.01)</f>
        <v>161.01</v>
      </c>
      <c r="C292" s="1">
        <f>IFERROR(__xludf.DUMMYFUNCTION("""COMPUTED_VALUE"""),163.59)</f>
        <v>163.59</v>
      </c>
      <c r="D292" s="1">
        <f>IFERROR(__xludf.DUMMYFUNCTION("""COMPUTED_VALUE"""),160.89)</f>
        <v>160.89</v>
      </c>
      <c r="E292" s="1">
        <f>IFERROR(__xludf.DUMMYFUNCTION("""COMPUTED_VALUE"""),161.51)</f>
        <v>161.51</v>
      </c>
      <c r="F292" s="1">
        <f>IFERROR(__xludf.DUMMYFUNCTION("""COMPUTED_VALUE"""),6.7829379E7)</f>
        <v>67829379</v>
      </c>
    </row>
    <row r="293">
      <c r="A293" s="2">
        <f>IFERROR(__xludf.DUMMYFUNCTION("""COMPUTED_VALUE"""),44775.66666666667)</f>
        <v>44775.66667</v>
      </c>
      <c r="B293" s="1">
        <f>IFERROR(__xludf.DUMMYFUNCTION("""COMPUTED_VALUE"""),160.1)</f>
        <v>160.1</v>
      </c>
      <c r="C293" s="1">
        <f>IFERROR(__xludf.DUMMYFUNCTION("""COMPUTED_VALUE"""),162.41)</f>
        <v>162.41</v>
      </c>
      <c r="D293" s="1">
        <f>IFERROR(__xludf.DUMMYFUNCTION("""COMPUTED_VALUE"""),159.63)</f>
        <v>159.63</v>
      </c>
      <c r="E293" s="1">
        <f>IFERROR(__xludf.DUMMYFUNCTION("""COMPUTED_VALUE"""),160.01)</f>
        <v>160.01</v>
      </c>
      <c r="F293" s="1">
        <f>IFERROR(__xludf.DUMMYFUNCTION("""COMPUTED_VALUE"""),5.9907025E7)</f>
        <v>59907025</v>
      </c>
    </row>
    <row r="294">
      <c r="A294" s="2">
        <f>IFERROR(__xludf.DUMMYFUNCTION("""COMPUTED_VALUE"""),44776.66666666667)</f>
        <v>44776.66667</v>
      </c>
      <c r="B294" s="1">
        <f>IFERROR(__xludf.DUMMYFUNCTION("""COMPUTED_VALUE"""),160.84)</f>
        <v>160.84</v>
      </c>
      <c r="C294" s="1">
        <f>IFERROR(__xludf.DUMMYFUNCTION("""COMPUTED_VALUE"""),166.59)</f>
        <v>166.59</v>
      </c>
      <c r="D294" s="1">
        <f>IFERROR(__xludf.DUMMYFUNCTION("""COMPUTED_VALUE"""),160.75)</f>
        <v>160.75</v>
      </c>
      <c r="E294" s="1">
        <f>IFERROR(__xludf.DUMMYFUNCTION("""COMPUTED_VALUE"""),166.13)</f>
        <v>166.13</v>
      </c>
      <c r="F294" s="1">
        <f>IFERROR(__xludf.DUMMYFUNCTION("""COMPUTED_VALUE"""),8.2507488E7)</f>
        <v>82507488</v>
      </c>
    </row>
    <row r="295">
      <c r="A295" s="2">
        <f>IFERROR(__xludf.DUMMYFUNCTION("""COMPUTED_VALUE"""),44777.66666666667)</f>
        <v>44777.66667</v>
      </c>
      <c r="B295" s="1">
        <f>IFERROR(__xludf.DUMMYFUNCTION("""COMPUTED_VALUE"""),166.01)</f>
        <v>166.01</v>
      </c>
      <c r="C295" s="1">
        <f>IFERROR(__xludf.DUMMYFUNCTION("""COMPUTED_VALUE"""),167.19)</f>
        <v>167.19</v>
      </c>
      <c r="D295" s="1">
        <f>IFERROR(__xludf.DUMMYFUNCTION("""COMPUTED_VALUE"""),164.43)</f>
        <v>164.43</v>
      </c>
      <c r="E295" s="1">
        <f>IFERROR(__xludf.DUMMYFUNCTION("""COMPUTED_VALUE"""),165.81)</f>
        <v>165.81</v>
      </c>
      <c r="F295" s="1">
        <f>IFERROR(__xludf.DUMMYFUNCTION("""COMPUTED_VALUE"""),5.5474144E7)</f>
        <v>55474144</v>
      </c>
    </row>
    <row r="296">
      <c r="A296" s="2">
        <f>IFERROR(__xludf.DUMMYFUNCTION("""COMPUTED_VALUE"""),44778.66666666667)</f>
        <v>44778.66667</v>
      </c>
      <c r="B296" s="1">
        <f>IFERROR(__xludf.DUMMYFUNCTION("""COMPUTED_VALUE"""),163.21)</f>
        <v>163.21</v>
      </c>
      <c r="C296" s="1">
        <f>IFERROR(__xludf.DUMMYFUNCTION("""COMPUTED_VALUE"""),165.85)</f>
        <v>165.85</v>
      </c>
      <c r="D296" s="1">
        <f>IFERROR(__xludf.DUMMYFUNCTION("""COMPUTED_VALUE"""),163.0)</f>
        <v>163</v>
      </c>
      <c r="E296" s="1">
        <f>IFERROR(__xludf.DUMMYFUNCTION("""COMPUTED_VALUE"""),165.35)</f>
        <v>165.35</v>
      </c>
      <c r="F296" s="1">
        <f>IFERROR(__xludf.DUMMYFUNCTION("""COMPUTED_VALUE"""),5.6696985E7)</f>
        <v>56696985</v>
      </c>
    </row>
    <row r="297">
      <c r="A297" s="2">
        <f>IFERROR(__xludf.DUMMYFUNCTION("""COMPUTED_VALUE"""),44781.66666666667)</f>
        <v>44781.66667</v>
      </c>
      <c r="B297" s="1">
        <f>IFERROR(__xludf.DUMMYFUNCTION("""COMPUTED_VALUE"""),166.37)</f>
        <v>166.37</v>
      </c>
      <c r="C297" s="1">
        <f>IFERROR(__xludf.DUMMYFUNCTION("""COMPUTED_VALUE"""),167.81)</f>
        <v>167.81</v>
      </c>
      <c r="D297" s="1">
        <f>IFERROR(__xludf.DUMMYFUNCTION("""COMPUTED_VALUE"""),164.2)</f>
        <v>164.2</v>
      </c>
      <c r="E297" s="1">
        <f>IFERROR(__xludf.DUMMYFUNCTION("""COMPUTED_VALUE"""),164.87)</f>
        <v>164.87</v>
      </c>
      <c r="F297" s="1">
        <f>IFERROR(__xludf.DUMMYFUNCTION("""COMPUTED_VALUE"""),6.0362338E7)</f>
        <v>60362338</v>
      </c>
    </row>
    <row r="298">
      <c r="A298" s="2">
        <f>IFERROR(__xludf.DUMMYFUNCTION("""COMPUTED_VALUE"""),44782.66666666667)</f>
        <v>44782.66667</v>
      </c>
      <c r="B298" s="1">
        <f>IFERROR(__xludf.DUMMYFUNCTION("""COMPUTED_VALUE"""),164.02)</f>
        <v>164.02</v>
      </c>
      <c r="C298" s="1">
        <f>IFERROR(__xludf.DUMMYFUNCTION("""COMPUTED_VALUE"""),165.82)</f>
        <v>165.82</v>
      </c>
      <c r="D298" s="1">
        <f>IFERROR(__xludf.DUMMYFUNCTION("""COMPUTED_VALUE"""),163.25)</f>
        <v>163.25</v>
      </c>
      <c r="E298" s="1">
        <f>IFERROR(__xludf.DUMMYFUNCTION("""COMPUTED_VALUE"""),164.92)</f>
        <v>164.92</v>
      </c>
      <c r="F298" s="1">
        <f>IFERROR(__xludf.DUMMYFUNCTION("""COMPUTED_VALUE"""),6.3135503E7)</f>
        <v>63135503</v>
      </c>
    </row>
    <row r="299">
      <c r="A299" s="2">
        <f>IFERROR(__xludf.DUMMYFUNCTION("""COMPUTED_VALUE"""),44783.66666666667)</f>
        <v>44783.66667</v>
      </c>
      <c r="B299" s="1">
        <f>IFERROR(__xludf.DUMMYFUNCTION("""COMPUTED_VALUE"""),167.68)</f>
        <v>167.68</v>
      </c>
      <c r="C299" s="1">
        <f>IFERROR(__xludf.DUMMYFUNCTION("""COMPUTED_VALUE"""),169.34)</f>
        <v>169.34</v>
      </c>
      <c r="D299" s="1">
        <f>IFERROR(__xludf.DUMMYFUNCTION("""COMPUTED_VALUE"""),166.9)</f>
        <v>166.9</v>
      </c>
      <c r="E299" s="1">
        <f>IFERROR(__xludf.DUMMYFUNCTION("""COMPUTED_VALUE"""),169.24)</f>
        <v>169.24</v>
      </c>
      <c r="F299" s="1">
        <f>IFERROR(__xludf.DUMMYFUNCTION("""COMPUTED_VALUE"""),7.017054E7)</f>
        <v>70170540</v>
      </c>
    </row>
    <row r="300">
      <c r="A300" s="2">
        <f>IFERROR(__xludf.DUMMYFUNCTION("""COMPUTED_VALUE"""),44784.66666666667)</f>
        <v>44784.66667</v>
      </c>
      <c r="B300" s="1">
        <f>IFERROR(__xludf.DUMMYFUNCTION("""COMPUTED_VALUE"""),170.06)</f>
        <v>170.06</v>
      </c>
      <c r="C300" s="1">
        <f>IFERROR(__xludf.DUMMYFUNCTION("""COMPUTED_VALUE"""),170.99)</f>
        <v>170.99</v>
      </c>
      <c r="D300" s="1">
        <f>IFERROR(__xludf.DUMMYFUNCTION("""COMPUTED_VALUE"""),168.19)</f>
        <v>168.19</v>
      </c>
      <c r="E300" s="1">
        <f>IFERROR(__xludf.DUMMYFUNCTION("""COMPUTED_VALUE"""),168.49)</f>
        <v>168.49</v>
      </c>
      <c r="F300" s="1">
        <f>IFERROR(__xludf.DUMMYFUNCTION("""COMPUTED_VALUE"""),5.7149159E7)</f>
        <v>57149159</v>
      </c>
    </row>
    <row r="301">
      <c r="A301" s="2">
        <f>IFERROR(__xludf.DUMMYFUNCTION("""COMPUTED_VALUE"""),44785.66666666667)</f>
        <v>44785.66667</v>
      </c>
      <c r="B301" s="1">
        <f>IFERROR(__xludf.DUMMYFUNCTION("""COMPUTED_VALUE"""),169.82)</f>
        <v>169.82</v>
      </c>
      <c r="C301" s="1">
        <f>IFERROR(__xludf.DUMMYFUNCTION("""COMPUTED_VALUE"""),172.17)</f>
        <v>172.17</v>
      </c>
      <c r="D301" s="1">
        <f>IFERROR(__xludf.DUMMYFUNCTION("""COMPUTED_VALUE"""),169.4)</f>
        <v>169.4</v>
      </c>
      <c r="E301" s="1">
        <f>IFERROR(__xludf.DUMMYFUNCTION("""COMPUTED_VALUE"""),172.1)</f>
        <v>172.1</v>
      </c>
      <c r="F301" s="1">
        <f>IFERROR(__xludf.DUMMYFUNCTION("""COMPUTED_VALUE"""),6.8039382E7)</f>
        <v>68039382</v>
      </c>
    </row>
    <row r="302">
      <c r="A302" s="2">
        <f>IFERROR(__xludf.DUMMYFUNCTION("""COMPUTED_VALUE"""),44788.66666666667)</f>
        <v>44788.66667</v>
      </c>
      <c r="B302" s="1">
        <f>IFERROR(__xludf.DUMMYFUNCTION("""COMPUTED_VALUE"""),171.52)</f>
        <v>171.52</v>
      </c>
      <c r="C302" s="1">
        <f>IFERROR(__xludf.DUMMYFUNCTION("""COMPUTED_VALUE"""),173.39)</f>
        <v>173.39</v>
      </c>
      <c r="D302" s="1">
        <f>IFERROR(__xludf.DUMMYFUNCTION("""COMPUTED_VALUE"""),171.35)</f>
        <v>171.35</v>
      </c>
      <c r="E302" s="1">
        <f>IFERROR(__xludf.DUMMYFUNCTION("""COMPUTED_VALUE"""),173.19)</f>
        <v>173.19</v>
      </c>
      <c r="F302" s="1">
        <f>IFERROR(__xludf.DUMMYFUNCTION("""COMPUTED_VALUE"""),5.4091694E7)</f>
        <v>54091694</v>
      </c>
    </row>
    <row r="303">
      <c r="A303" s="2">
        <f>IFERROR(__xludf.DUMMYFUNCTION("""COMPUTED_VALUE"""),44789.66666666667)</f>
        <v>44789.66667</v>
      </c>
      <c r="B303" s="1">
        <f>IFERROR(__xludf.DUMMYFUNCTION("""COMPUTED_VALUE"""),172.78)</f>
        <v>172.78</v>
      </c>
      <c r="C303" s="1">
        <f>IFERROR(__xludf.DUMMYFUNCTION("""COMPUTED_VALUE"""),173.71)</f>
        <v>173.71</v>
      </c>
      <c r="D303" s="1">
        <f>IFERROR(__xludf.DUMMYFUNCTION("""COMPUTED_VALUE"""),171.66)</f>
        <v>171.66</v>
      </c>
      <c r="E303" s="1">
        <f>IFERROR(__xludf.DUMMYFUNCTION("""COMPUTED_VALUE"""),173.03)</f>
        <v>173.03</v>
      </c>
      <c r="F303" s="1">
        <f>IFERROR(__xludf.DUMMYFUNCTION("""COMPUTED_VALUE"""),5.637705E7)</f>
        <v>56377050</v>
      </c>
    </row>
    <row r="304">
      <c r="A304" s="2">
        <f>IFERROR(__xludf.DUMMYFUNCTION("""COMPUTED_VALUE"""),44790.66666666667)</f>
        <v>44790.66667</v>
      </c>
      <c r="B304" s="1">
        <f>IFERROR(__xludf.DUMMYFUNCTION("""COMPUTED_VALUE"""),172.77)</f>
        <v>172.77</v>
      </c>
      <c r="C304" s="1">
        <f>IFERROR(__xludf.DUMMYFUNCTION("""COMPUTED_VALUE"""),176.15)</f>
        <v>176.15</v>
      </c>
      <c r="D304" s="1">
        <f>IFERROR(__xludf.DUMMYFUNCTION("""COMPUTED_VALUE"""),172.57)</f>
        <v>172.57</v>
      </c>
      <c r="E304" s="1">
        <f>IFERROR(__xludf.DUMMYFUNCTION("""COMPUTED_VALUE"""),174.55)</f>
        <v>174.55</v>
      </c>
      <c r="F304" s="1">
        <f>IFERROR(__xludf.DUMMYFUNCTION("""COMPUTED_VALUE"""),7.9542037E7)</f>
        <v>79542037</v>
      </c>
    </row>
    <row r="305">
      <c r="A305" s="2">
        <f>IFERROR(__xludf.DUMMYFUNCTION("""COMPUTED_VALUE"""),44791.66666666667)</f>
        <v>44791.66667</v>
      </c>
      <c r="B305" s="1">
        <f>IFERROR(__xludf.DUMMYFUNCTION("""COMPUTED_VALUE"""),173.75)</f>
        <v>173.75</v>
      </c>
      <c r="C305" s="1">
        <f>IFERROR(__xludf.DUMMYFUNCTION("""COMPUTED_VALUE"""),174.9)</f>
        <v>174.9</v>
      </c>
      <c r="D305" s="1">
        <f>IFERROR(__xludf.DUMMYFUNCTION("""COMPUTED_VALUE"""),173.12)</f>
        <v>173.12</v>
      </c>
      <c r="E305" s="1">
        <f>IFERROR(__xludf.DUMMYFUNCTION("""COMPUTED_VALUE"""),174.15)</f>
        <v>174.15</v>
      </c>
      <c r="F305" s="1">
        <f>IFERROR(__xludf.DUMMYFUNCTION("""COMPUTED_VALUE"""),6.2290075E7)</f>
        <v>62290075</v>
      </c>
    </row>
    <row r="306">
      <c r="A306" s="2">
        <f>IFERROR(__xludf.DUMMYFUNCTION("""COMPUTED_VALUE"""),44792.66666666667)</f>
        <v>44792.66667</v>
      </c>
      <c r="B306" s="1">
        <f>IFERROR(__xludf.DUMMYFUNCTION("""COMPUTED_VALUE"""),173.03)</f>
        <v>173.03</v>
      </c>
      <c r="C306" s="1">
        <f>IFERROR(__xludf.DUMMYFUNCTION("""COMPUTED_VALUE"""),173.74)</f>
        <v>173.74</v>
      </c>
      <c r="D306" s="1">
        <f>IFERROR(__xludf.DUMMYFUNCTION("""COMPUTED_VALUE"""),171.31)</f>
        <v>171.31</v>
      </c>
      <c r="E306" s="1">
        <f>IFERROR(__xludf.DUMMYFUNCTION("""COMPUTED_VALUE"""),171.52)</f>
        <v>171.52</v>
      </c>
      <c r="F306" s="1">
        <f>IFERROR(__xludf.DUMMYFUNCTION("""COMPUTED_VALUE"""),7.0346295E7)</f>
        <v>70346295</v>
      </c>
    </row>
    <row r="307">
      <c r="A307" s="2">
        <f>IFERROR(__xludf.DUMMYFUNCTION("""COMPUTED_VALUE"""),44795.66666666667)</f>
        <v>44795.66667</v>
      </c>
      <c r="B307" s="1">
        <f>IFERROR(__xludf.DUMMYFUNCTION("""COMPUTED_VALUE"""),169.69)</f>
        <v>169.69</v>
      </c>
      <c r="C307" s="1">
        <f>IFERROR(__xludf.DUMMYFUNCTION("""COMPUTED_VALUE"""),169.86)</f>
        <v>169.86</v>
      </c>
      <c r="D307" s="1">
        <f>IFERROR(__xludf.DUMMYFUNCTION("""COMPUTED_VALUE"""),167.14)</f>
        <v>167.14</v>
      </c>
      <c r="E307" s="1">
        <f>IFERROR(__xludf.DUMMYFUNCTION("""COMPUTED_VALUE"""),167.57)</f>
        <v>167.57</v>
      </c>
      <c r="F307" s="1">
        <f>IFERROR(__xludf.DUMMYFUNCTION("""COMPUTED_VALUE"""),6.9026809E7)</f>
        <v>69026809</v>
      </c>
    </row>
    <row r="308">
      <c r="A308" s="2">
        <f>IFERROR(__xludf.DUMMYFUNCTION("""COMPUTED_VALUE"""),44796.66666666667)</f>
        <v>44796.66667</v>
      </c>
      <c r="B308" s="1">
        <f>IFERROR(__xludf.DUMMYFUNCTION("""COMPUTED_VALUE"""),167.08)</f>
        <v>167.08</v>
      </c>
      <c r="C308" s="1">
        <f>IFERROR(__xludf.DUMMYFUNCTION("""COMPUTED_VALUE"""),168.71)</f>
        <v>168.71</v>
      </c>
      <c r="D308" s="1">
        <f>IFERROR(__xludf.DUMMYFUNCTION("""COMPUTED_VALUE"""),166.65)</f>
        <v>166.65</v>
      </c>
      <c r="E308" s="1">
        <f>IFERROR(__xludf.DUMMYFUNCTION("""COMPUTED_VALUE"""),167.23)</f>
        <v>167.23</v>
      </c>
      <c r="F308" s="1">
        <f>IFERROR(__xludf.DUMMYFUNCTION("""COMPUTED_VALUE"""),5.4147079E7)</f>
        <v>54147079</v>
      </c>
    </row>
    <row r="309">
      <c r="A309" s="2">
        <f>IFERROR(__xludf.DUMMYFUNCTION("""COMPUTED_VALUE"""),44797.66666666667)</f>
        <v>44797.66667</v>
      </c>
      <c r="B309" s="1">
        <f>IFERROR(__xludf.DUMMYFUNCTION("""COMPUTED_VALUE"""),167.32)</f>
        <v>167.32</v>
      </c>
      <c r="C309" s="1">
        <f>IFERROR(__xludf.DUMMYFUNCTION("""COMPUTED_VALUE"""),168.11)</f>
        <v>168.11</v>
      </c>
      <c r="D309" s="1">
        <f>IFERROR(__xludf.DUMMYFUNCTION("""COMPUTED_VALUE"""),166.25)</f>
        <v>166.25</v>
      </c>
      <c r="E309" s="1">
        <f>IFERROR(__xludf.DUMMYFUNCTION("""COMPUTED_VALUE"""),167.53)</f>
        <v>167.53</v>
      </c>
      <c r="F309" s="1">
        <f>IFERROR(__xludf.DUMMYFUNCTION("""COMPUTED_VALUE"""),5.3841524E7)</f>
        <v>53841524</v>
      </c>
    </row>
    <row r="310">
      <c r="A310" s="2">
        <f>IFERROR(__xludf.DUMMYFUNCTION("""COMPUTED_VALUE"""),44798.66666666667)</f>
        <v>44798.66667</v>
      </c>
      <c r="B310" s="1">
        <f>IFERROR(__xludf.DUMMYFUNCTION("""COMPUTED_VALUE"""),168.78)</f>
        <v>168.78</v>
      </c>
      <c r="C310" s="1">
        <f>IFERROR(__xludf.DUMMYFUNCTION("""COMPUTED_VALUE"""),170.14)</f>
        <v>170.14</v>
      </c>
      <c r="D310" s="1">
        <f>IFERROR(__xludf.DUMMYFUNCTION("""COMPUTED_VALUE"""),168.35)</f>
        <v>168.35</v>
      </c>
      <c r="E310" s="1">
        <f>IFERROR(__xludf.DUMMYFUNCTION("""COMPUTED_VALUE"""),170.03)</f>
        <v>170.03</v>
      </c>
      <c r="F310" s="1">
        <f>IFERROR(__xludf.DUMMYFUNCTION("""COMPUTED_VALUE"""),5.1218209E7)</f>
        <v>51218209</v>
      </c>
    </row>
    <row r="311">
      <c r="A311" s="2">
        <f>IFERROR(__xludf.DUMMYFUNCTION("""COMPUTED_VALUE"""),44799.66666666667)</f>
        <v>44799.66667</v>
      </c>
      <c r="B311" s="1">
        <f>IFERROR(__xludf.DUMMYFUNCTION("""COMPUTED_VALUE"""),170.57)</f>
        <v>170.57</v>
      </c>
      <c r="C311" s="1">
        <f>IFERROR(__xludf.DUMMYFUNCTION("""COMPUTED_VALUE"""),171.05)</f>
        <v>171.05</v>
      </c>
      <c r="D311" s="1">
        <f>IFERROR(__xludf.DUMMYFUNCTION("""COMPUTED_VALUE"""),163.56)</f>
        <v>163.56</v>
      </c>
      <c r="E311" s="1">
        <f>IFERROR(__xludf.DUMMYFUNCTION("""COMPUTED_VALUE"""),163.62)</f>
        <v>163.62</v>
      </c>
      <c r="F311" s="1">
        <f>IFERROR(__xludf.DUMMYFUNCTION("""COMPUTED_VALUE"""),7.896098E7)</f>
        <v>78960980</v>
      </c>
    </row>
    <row r="312">
      <c r="A312" s="2">
        <f>IFERROR(__xludf.DUMMYFUNCTION("""COMPUTED_VALUE"""),44802.66666666667)</f>
        <v>44802.66667</v>
      </c>
      <c r="B312" s="1">
        <f>IFERROR(__xludf.DUMMYFUNCTION("""COMPUTED_VALUE"""),161.15)</f>
        <v>161.15</v>
      </c>
      <c r="C312" s="1">
        <f>IFERROR(__xludf.DUMMYFUNCTION("""COMPUTED_VALUE"""),162.9)</f>
        <v>162.9</v>
      </c>
      <c r="D312" s="1">
        <f>IFERROR(__xludf.DUMMYFUNCTION("""COMPUTED_VALUE"""),159.82)</f>
        <v>159.82</v>
      </c>
      <c r="E312" s="1">
        <f>IFERROR(__xludf.DUMMYFUNCTION("""COMPUTED_VALUE"""),161.38)</f>
        <v>161.38</v>
      </c>
      <c r="F312" s="1">
        <f>IFERROR(__xludf.DUMMYFUNCTION("""COMPUTED_VALUE"""),7.3313953E7)</f>
        <v>73313953</v>
      </c>
    </row>
    <row r="313">
      <c r="A313" s="2">
        <f>IFERROR(__xludf.DUMMYFUNCTION("""COMPUTED_VALUE"""),44803.66666666667)</f>
        <v>44803.66667</v>
      </c>
      <c r="B313" s="1">
        <f>IFERROR(__xludf.DUMMYFUNCTION("""COMPUTED_VALUE"""),162.13)</f>
        <v>162.13</v>
      </c>
      <c r="C313" s="1">
        <f>IFERROR(__xludf.DUMMYFUNCTION("""COMPUTED_VALUE"""),162.56)</f>
        <v>162.56</v>
      </c>
      <c r="D313" s="1">
        <f>IFERROR(__xludf.DUMMYFUNCTION("""COMPUTED_VALUE"""),157.72)</f>
        <v>157.72</v>
      </c>
      <c r="E313" s="1">
        <f>IFERROR(__xludf.DUMMYFUNCTION("""COMPUTED_VALUE"""),158.91)</f>
        <v>158.91</v>
      </c>
      <c r="F313" s="1">
        <f>IFERROR(__xludf.DUMMYFUNCTION("""COMPUTED_VALUE"""),7.7906197E7)</f>
        <v>77906197</v>
      </c>
    </row>
    <row r="314">
      <c r="A314" s="2">
        <f>IFERROR(__xludf.DUMMYFUNCTION("""COMPUTED_VALUE"""),44804.66666666667)</f>
        <v>44804.66667</v>
      </c>
      <c r="B314" s="1">
        <f>IFERROR(__xludf.DUMMYFUNCTION("""COMPUTED_VALUE"""),160.31)</f>
        <v>160.31</v>
      </c>
      <c r="C314" s="1">
        <f>IFERROR(__xludf.DUMMYFUNCTION("""COMPUTED_VALUE"""),160.58)</f>
        <v>160.58</v>
      </c>
      <c r="D314" s="1">
        <f>IFERROR(__xludf.DUMMYFUNCTION("""COMPUTED_VALUE"""),157.14)</f>
        <v>157.14</v>
      </c>
      <c r="E314" s="1">
        <f>IFERROR(__xludf.DUMMYFUNCTION("""COMPUTED_VALUE"""),157.22)</f>
        <v>157.22</v>
      </c>
      <c r="F314" s="1">
        <f>IFERROR(__xludf.DUMMYFUNCTION("""COMPUTED_VALUE"""),8.7991091E7)</f>
        <v>87991091</v>
      </c>
    </row>
    <row r="315">
      <c r="A315" s="2">
        <f>IFERROR(__xludf.DUMMYFUNCTION("""COMPUTED_VALUE"""),44805.66666666667)</f>
        <v>44805.66667</v>
      </c>
      <c r="B315" s="1">
        <f>IFERROR(__xludf.DUMMYFUNCTION("""COMPUTED_VALUE"""),156.64)</f>
        <v>156.64</v>
      </c>
      <c r="C315" s="1">
        <f>IFERROR(__xludf.DUMMYFUNCTION("""COMPUTED_VALUE"""),158.42)</f>
        <v>158.42</v>
      </c>
      <c r="D315" s="1">
        <f>IFERROR(__xludf.DUMMYFUNCTION("""COMPUTED_VALUE"""),154.67)</f>
        <v>154.67</v>
      </c>
      <c r="E315" s="1">
        <f>IFERROR(__xludf.DUMMYFUNCTION("""COMPUTED_VALUE"""),157.96)</f>
        <v>157.96</v>
      </c>
      <c r="F315" s="1">
        <f>IFERROR(__xludf.DUMMYFUNCTION("""COMPUTED_VALUE"""),7.4229896E7)</f>
        <v>74229896</v>
      </c>
    </row>
    <row r="316">
      <c r="A316" s="2">
        <f>IFERROR(__xludf.DUMMYFUNCTION("""COMPUTED_VALUE"""),44806.66666666667)</f>
        <v>44806.66667</v>
      </c>
      <c r="B316" s="1">
        <f>IFERROR(__xludf.DUMMYFUNCTION("""COMPUTED_VALUE"""),159.75)</f>
        <v>159.75</v>
      </c>
      <c r="C316" s="1">
        <f>IFERROR(__xludf.DUMMYFUNCTION("""COMPUTED_VALUE"""),160.36)</f>
        <v>160.36</v>
      </c>
      <c r="D316" s="1">
        <f>IFERROR(__xludf.DUMMYFUNCTION("""COMPUTED_VALUE"""),154.97)</f>
        <v>154.97</v>
      </c>
      <c r="E316" s="1">
        <f>IFERROR(__xludf.DUMMYFUNCTION("""COMPUTED_VALUE"""),155.81)</f>
        <v>155.81</v>
      </c>
      <c r="F316" s="1">
        <f>IFERROR(__xludf.DUMMYFUNCTION("""COMPUTED_VALUE"""),7.6957768E7)</f>
        <v>76957768</v>
      </c>
    </row>
    <row r="317">
      <c r="A317" s="2">
        <f>IFERROR(__xludf.DUMMYFUNCTION("""COMPUTED_VALUE"""),44810.66666666667)</f>
        <v>44810.66667</v>
      </c>
      <c r="B317" s="1">
        <f>IFERROR(__xludf.DUMMYFUNCTION("""COMPUTED_VALUE"""),156.47)</f>
        <v>156.47</v>
      </c>
      <c r="C317" s="1">
        <f>IFERROR(__xludf.DUMMYFUNCTION("""COMPUTED_VALUE"""),157.09)</f>
        <v>157.09</v>
      </c>
      <c r="D317" s="1">
        <f>IFERROR(__xludf.DUMMYFUNCTION("""COMPUTED_VALUE"""),153.69)</f>
        <v>153.69</v>
      </c>
      <c r="E317" s="1">
        <f>IFERROR(__xludf.DUMMYFUNCTION("""COMPUTED_VALUE"""),154.53)</f>
        <v>154.53</v>
      </c>
      <c r="F317" s="1">
        <f>IFERROR(__xludf.DUMMYFUNCTION("""COMPUTED_VALUE"""),7.3714843E7)</f>
        <v>73714843</v>
      </c>
    </row>
    <row r="318">
      <c r="A318" s="2">
        <f>IFERROR(__xludf.DUMMYFUNCTION("""COMPUTED_VALUE"""),44811.66666666667)</f>
        <v>44811.66667</v>
      </c>
      <c r="B318" s="1">
        <f>IFERROR(__xludf.DUMMYFUNCTION("""COMPUTED_VALUE"""),154.82)</f>
        <v>154.82</v>
      </c>
      <c r="C318" s="1">
        <f>IFERROR(__xludf.DUMMYFUNCTION("""COMPUTED_VALUE"""),156.67)</f>
        <v>156.67</v>
      </c>
      <c r="D318" s="1">
        <f>IFERROR(__xludf.DUMMYFUNCTION("""COMPUTED_VALUE"""),153.61)</f>
        <v>153.61</v>
      </c>
      <c r="E318" s="1">
        <f>IFERROR(__xludf.DUMMYFUNCTION("""COMPUTED_VALUE"""),155.96)</f>
        <v>155.96</v>
      </c>
      <c r="F318" s="1">
        <f>IFERROR(__xludf.DUMMYFUNCTION("""COMPUTED_VALUE"""),8.7449574E7)</f>
        <v>87449574</v>
      </c>
    </row>
    <row r="319">
      <c r="A319" s="2">
        <f>IFERROR(__xludf.DUMMYFUNCTION("""COMPUTED_VALUE"""),44812.66666666667)</f>
        <v>44812.66667</v>
      </c>
      <c r="B319" s="1">
        <f>IFERROR(__xludf.DUMMYFUNCTION("""COMPUTED_VALUE"""),154.64)</f>
        <v>154.64</v>
      </c>
      <c r="C319" s="1">
        <f>IFERROR(__xludf.DUMMYFUNCTION("""COMPUTED_VALUE"""),156.36)</f>
        <v>156.36</v>
      </c>
      <c r="D319" s="1">
        <f>IFERROR(__xludf.DUMMYFUNCTION("""COMPUTED_VALUE"""),152.68)</f>
        <v>152.68</v>
      </c>
      <c r="E319" s="1">
        <f>IFERROR(__xludf.DUMMYFUNCTION("""COMPUTED_VALUE"""),154.46)</f>
        <v>154.46</v>
      </c>
      <c r="F319" s="1">
        <f>IFERROR(__xludf.DUMMYFUNCTION("""COMPUTED_VALUE"""),8.4923847E7)</f>
        <v>84923847</v>
      </c>
    </row>
    <row r="320">
      <c r="A320" s="2">
        <f>IFERROR(__xludf.DUMMYFUNCTION("""COMPUTED_VALUE"""),44813.66666666667)</f>
        <v>44813.66667</v>
      </c>
      <c r="B320" s="1">
        <f>IFERROR(__xludf.DUMMYFUNCTION("""COMPUTED_VALUE"""),155.47)</f>
        <v>155.47</v>
      </c>
      <c r="C320" s="1">
        <f>IFERROR(__xludf.DUMMYFUNCTION("""COMPUTED_VALUE"""),157.82)</f>
        <v>157.82</v>
      </c>
      <c r="D320" s="1">
        <f>IFERROR(__xludf.DUMMYFUNCTION("""COMPUTED_VALUE"""),154.75)</f>
        <v>154.75</v>
      </c>
      <c r="E320" s="1">
        <f>IFERROR(__xludf.DUMMYFUNCTION("""COMPUTED_VALUE"""),157.37)</f>
        <v>157.37</v>
      </c>
      <c r="F320" s="1">
        <f>IFERROR(__xludf.DUMMYFUNCTION("""COMPUTED_VALUE"""),6.8081006E7)</f>
        <v>68081006</v>
      </c>
    </row>
    <row r="321">
      <c r="A321" s="2">
        <f>IFERROR(__xludf.DUMMYFUNCTION("""COMPUTED_VALUE"""),44816.66666666667)</f>
        <v>44816.66667</v>
      </c>
      <c r="B321" s="1">
        <f>IFERROR(__xludf.DUMMYFUNCTION("""COMPUTED_VALUE"""),159.59)</f>
        <v>159.59</v>
      </c>
      <c r="C321" s="1">
        <f>IFERROR(__xludf.DUMMYFUNCTION("""COMPUTED_VALUE"""),164.26)</f>
        <v>164.26</v>
      </c>
      <c r="D321" s="1">
        <f>IFERROR(__xludf.DUMMYFUNCTION("""COMPUTED_VALUE"""),159.3)</f>
        <v>159.3</v>
      </c>
      <c r="E321" s="1">
        <f>IFERROR(__xludf.DUMMYFUNCTION("""COMPUTED_VALUE"""),163.43)</f>
        <v>163.43</v>
      </c>
      <c r="F321" s="1">
        <f>IFERROR(__xludf.DUMMYFUNCTION("""COMPUTED_VALUE"""),1.04955962E8)</f>
        <v>104955962</v>
      </c>
    </row>
    <row r="322">
      <c r="A322" s="2">
        <f>IFERROR(__xludf.DUMMYFUNCTION("""COMPUTED_VALUE"""),44817.66666666667)</f>
        <v>44817.66667</v>
      </c>
      <c r="B322" s="1">
        <f>IFERROR(__xludf.DUMMYFUNCTION("""COMPUTED_VALUE"""),159.9)</f>
        <v>159.9</v>
      </c>
      <c r="C322" s="1">
        <f>IFERROR(__xludf.DUMMYFUNCTION("""COMPUTED_VALUE"""),160.54)</f>
        <v>160.54</v>
      </c>
      <c r="D322" s="1">
        <f>IFERROR(__xludf.DUMMYFUNCTION("""COMPUTED_VALUE"""),153.37)</f>
        <v>153.37</v>
      </c>
      <c r="E322" s="1">
        <f>IFERROR(__xludf.DUMMYFUNCTION("""COMPUTED_VALUE"""),153.84)</f>
        <v>153.84</v>
      </c>
      <c r="F322" s="1">
        <f>IFERROR(__xludf.DUMMYFUNCTION("""COMPUTED_VALUE"""),1.22656614E8)</f>
        <v>122656614</v>
      </c>
    </row>
    <row r="323">
      <c r="A323" s="2">
        <f>IFERROR(__xludf.DUMMYFUNCTION("""COMPUTED_VALUE"""),44818.66666666667)</f>
        <v>44818.66667</v>
      </c>
      <c r="B323" s="1">
        <f>IFERROR(__xludf.DUMMYFUNCTION("""COMPUTED_VALUE"""),154.79)</f>
        <v>154.79</v>
      </c>
      <c r="C323" s="1">
        <f>IFERROR(__xludf.DUMMYFUNCTION("""COMPUTED_VALUE"""),157.1)</f>
        <v>157.1</v>
      </c>
      <c r="D323" s="1">
        <f>IFERROR(__xludf.DUMMYFUNCTION("""COMPUTED_VALUE"""),153.61)</f>
        <v>153.61</v>
      </c>
      <c r="E323" s="1">
        <f>IFERROR(__xludf.DUMMYFUNCTION("""COMPUTED_VALUE"""),155.31)</f>
        <v>155.31</v>
      </c>
      <c r="F323" s="1">
        <f>IFERROR(__xludf.DUMMYFUNCTION("""COMPUTED_VALUE"""),8.7965409E7)</f>
        <v>87965409</v>
      </c>
    </row>
    <row r="324">
      <c r="A324" s="2">
        <f>IFERROR(__xludf.DUMMYFUNCTION("""COMPUTED_VALUE"""),44819.66666666667)</f>
        <v>44819.66667</v>
      </c>
      <c r="B324" s="1">
        <f>IFERROR(__xludf.DUMMYFUNCTION("""COMPUTED_VALUE"""),154.65)</f>
        <v>154.65</v>
      </c>
      <c r="C324" s="1">
        <f>IFERROR(__xludf.DUMMYFUNCTION("""COMPUTED_VALUE"""),155.24)</f>
        <v>155.24</v>
      </c>
      <c r="D324" s="1">
        <f>IFERROR(__xludf.DUMMYFUNCTION("""COMPUTED_VALUE"""),151.38)</f>
        <v>151.38</v>
      </c>
      <c r="E324" s="1">
        <f>IFERROR(__xludf.DUMMYFUNCTION("""COMPUTED_VALUE"""),152.37)</f>
        <v>152.37</v>
      </c>
      <c r="F324" s="1">
        <f>IFERROR(__xludf.DUMMYFUNCTION("""COMPUTED_VALUE"""),9.048111E7)</f>
        <v>90481110</v>
      </c>
    </row>
    <row r="325">
      <c r="A325" s="2">
        <f>IFERROR(__xludf.DUMMYFUNCTION("""COMPUTED_VALUE"""),44820.66666666667)</f>
        <v>44820.66667</v>
      </c>
      <c r="B325" s="1">
        <f>IFERROR(__xludf.DUMMYFUNCTION("""COMPUTED_VALUE"""),151.21)</f>
        <v>151.21</v>
      </c>
      <c r="C325" s="1">
        <f>IFERROR(__xludf.DUMMYFUNCTION("""COMPUTED_VALUE"""),151.35)</f>
        <v>151.35</v>
      </c>
      <c r="D325" s="1">
        <f>IFERROR(__xludf.DUMMYFUNCTION("""COMPUTED_VALUE"""),148.37)</f>
        <v>148.37</v>
      </c>
      <c r="E325" s="1">
        <f>IFERROR(__xludf.DUMMYFUNCTION("""COMPUTED_VALUE"""),150.7)</f>
        <v>150.7</v>
      </c>
      <c r="F325" s="1">
        <f>IFERROR(__xludf.DUMMYFUNCTION("""COMPUTED_VALUE"""),1.62278841E8)</f>
        <v>162278841</v>
      </c>
    </row>
    <row r="326">
      <c r="A326" s="2">
        <f>IFERROR(__xludf.DUMMYFUNCTION("""COMPUTED_VALUE"""),44823.66666666667)</f>
        <v>44823.66667</v>
      </c>
      <c r="B326" s="1">
        <f>IFERROR(__xludf.DUMMYFUNCTION("""COMPUTED_VALUE"""),149.31)</f>
        <v>149.31</v>
      </c>
      <c r="C326" s="1">
        <f>IFERROR(__xludf.DUMMYFUNCTION("""COMPUTED_VALUE"""),154.56)</f>
        <v>154.56</v>
      </c>
      <c r="D326" s="1">
        <f>IFERROR(__xludf.DUMMYFUNCTION("""COMPUTED_VALUE"""),149.1)</f>
        <v>149.1</v>
      </c>
      <c r="E326" s="1">
        <f>IFERROR(__xludf.DUMMYFUNCTION("""COMPUTED_VALUE"""),154.48)</f>
        <v>154.48</v>
      </c>
      <c r="F326" s="1">
        <f>IFERROR(__xludf.DUMMYFUNCTION("""COMPUTED_VALUE"""),8.1474246E7)</f>
        <v>81474246</v>
      </c>
    </row>
    <row r="327">
      <c r="A327" s="2">
        <f>IFERROR(__xludf.DUMMYFUNCTION("""COMPUTED_VALUE"""),44824.66666666667)</f>
        <v>44824.66667</v>
      </c>
      <c r="B327" s="1">
        <f>IFERROR(__xludf.DUMMYFUNCTION("""COMPUTED_VALUE"""),153.4)</f>
        <v>153.4</v>
      </c>
      <c r="C327" s="1">
        <f>IFERROR(__xludf.DUMMYFUNCTION("""COMPUTED_VALUE"""),158.08)</f>
        <v>158.08</v>
      </c>
      <c r="D327" s="1">
        <f>IFERROR(__xludf.DUMMYFUNCTION("""COMPUTED_VALUE"""),153.08)</f>
        <v>153.08</v>
      </c>
      <c r="E327" s="1">
        <f>IFERROR(__xludf.DUMMYFUNCTION("""COMPUTED_VALUE"""),156.9)</f>
        <v>156.9</v>
      </c>
      <c r="F327" s="1">
        <f>IFERROR(__xludf.DUMMYFUNCTION("""COMPUTED_VALUE"""),1.07689796E8)</f>
        <v>107689796</v>
      </c>
    </row>
    <row r="328">
      <c r="A328" s="2">
        <f>IFERROR(__xludf.DUMMYFUNCTION("""COMPUTED_VALUE"""),44825.66666666667)</f>
        <v>44825.66667</v>
      </c>
      <c r="B328" s="1">
        <f>IFERROR(__xludf.DUMMYFUNCTION("""COMPUTED_VALUE"""),157.34)</f>
        <v>157.34</v>
      </c>
      <c r="C328" s="1">
        <f>IFERROR(__xludf.DUMMYFUNCTION("""COMPUTED_VALUE"""),158.74)</f>
        <v>158.74</v>
      </c>
      <c r="D328" s="1">
        <f>IFERROR(__xludf.DUMMYFUNCTION("""COMPUTED_VALUE"""),153.6)</f>
        <v>153.6</v>
      </c>
      <c r="E328" s="1">
        <f>IFERROR(__xludf.DUMMYFUNCTION("""COMPUTED_VALUE"""),153.72)</f>
        <v>153.72</v>
      </c>
      <c r="F328" s="1">
        <f>IFERROR(__xludf.DUMMYFUNCTION("""COMPUTED_VALUE"""),1.0169679E8)</f>
        <v>101696790</v>
      </c>
    </row>
    <row r="329">
      <c r="A329" s="2">
        <f>IFERROR(__xludf.DUMMYFUNCTION("""COMPUTED_VALUE"""),44826.66666666667)</f>
        <v>44826.66667</v>
      </c>
      <c r="B329" s="1">
        <f>IFERROR(__xludf.DUMMYFUNCTION("""COMPUTED_VALUE"""),152.38)</f>
        <v>152.38</v>
      </c>
      <c r="C329" s="1">
        <f>IFERROR(__xludf.DUMMYFUNCTION("""COMPUTED_VALUE"""),154.47)</f>
        <v>154.47</v>
      </c>
      <c r="D329" s="1">
        <f>IFERROR(__xludf.DUMMYFUNCTION("""COMPUTED_VALUE"""),150.91)</f>
        <v>150.91</v>
      </c>
      <c r="E329" s="1">
        <f>IFERROR(__xludf.DUMMYFUNCTION("""COMPUTED_VALUE"""),152.74)</f>
        <v>152.74</v>
      </c>
      <c r="F329" s="1">
        <f>IFERROR(__xludf.DUMMYFUNCTION("""COMPUTED_VALUE"""),8.6652542E7)</f>
        <v>86652542</v>
      </c>
    </row>
    <row r="330">
      <c r="A330" s="2">
        <f>IFERROR(__xludf.DUMMYFUNCTION("""COMPUTED_VALUE"""),44827.66666666667)</f>
        <v>44827.66667</v>
      </c>
      <c r="B330" s="1">
        <f>IFERROR(__xludf.DUMMYFUNCTION("""COMPUTED_VALUE"""),151.19)</f>
        <v>151.19</v>
      </c>
      <c r="C330" s="1">
        <f>IFERROR(__xludf.DUMMYFUNCTION("""COMPUTED_VALUE"""),151.47)</f>
        <v>151.47</v>
      </c>
      <c r="D330" s="1">
        <f>IFERROR(__xludf.DUMMYFUNCTION("""COMPUTED_VALUE"""),148.56)</f>
        <v>148.56</v>
      </c>
      <c r="E330" s="1">
        <f>IFERROR(__xludf.DUMMYFUNCTION("""COMPUTED_VALUE"""),150.43)</f>
        <v>150.43</v>
      </c>
      <c r="F330" s="1">
        <f>IFERROR(__xludf.DUMMYFUNCTION("""COMPUTED_VALUE"""),9.6029909E7)</f>
        <v>96029909</v>
      </c>
    </row>
    <row r="331">
      <c r="A331" s="2">
        <f>IFERROR(__xludf.DUMMYFUNCTION("""COMPUTED_VALUE"""),44830.66666666667)</f>
        <v>44830.66667</v>
      </c>
      <c r="B331" s="1">
        <f>IFERROR(__xludf.DUMMYFUNCTION("""COMPUTED_VALUE"""),149.66)</f>
        <v>149.66</v>
      </c>
      <c r="C331" s="1">
        <f>IFERROR(__xludf.DUMMYFUNCTION("""COMPUTED_VALUE"""),153.77)</f>
        <v>153.77</v>
      </c>
      <c r="D331" s="1">
        <f>IFERROR(__xludf.DUMMYFUNCTION("""COMPUTED_VALUE"""),149.64)</f>
        <v>149.64</v>
      </c>
      <c r="E331" s="1">
        <f>IFERROR(__xludf.DUMMYFUNCTION("""COMPUTED_VALUE"""),150.77)</f>
        <v>150.77</v>
      </c>
      <c r="F331" s="1">
        <f>IFERROR(__xludf.DUMMYFUNCTION("""COMPUTED_VALUE"""),9.3339409E7)</f>
        <v>93339409</v>
      </c>
    </row>
    <row r="332">
      <c r="A332" s="2">
        <f>IFERROR(__xludf.DUMMYFUNCTION("""COMPUTED_VALUE"""),44831.66666666667)</f>
        <v>44831.66667</v>
      </c>
      <c r="B332" s="1">
        <f>IFERROR(__xludf.DUMMYFUNCTION("""COMPUTED_VALUE"""),152.74)</f>
        <v>152.74</v>
      </c>
      <c r="C332" s="1">
        <f>IFERROR(__xludf.DUMMYFUNCTION("""COMPUTED_VALUE"""),154.72)</f>
        <v>154.72</v>
      </c>
      <c r="D332" s="1">
        <f>IFERROR(__xludf.DUMMYFUNCTION("""COMPUTED_VALUE"""),149.95)</f>
        <v>149.95</v>
      </c>
      <c r="E332" s="1">
        <f>IFERROR(__xludf.DUMMYFUNCTION("""COMPUTED_VALUE"""),151.76)</f>
        <v>151.76</v>
      </c>
      <c r="F332" s="1">
        <f>IFERROR(__xludf.DUMMYFUNCTION("""COMPUTED_VALUE"""),8.4442741E7)</f>
        <v>84442741</v>
      </c>
    </row>
    <row r="333">
      <c r="A333" s="2">
        <f>IFERROR(__xludf.DUMMYFUNCTION("""COMPUTED_VALUE"""),44832.66666666667)</f>
        <v>44832.66667</v>
      </c>
      <c r="B333" s="1">
        <f>IFERROR(__xludf.DUMMYFUNCTION("""COMPUTED_VALUE"""),147.64)</f>
        <v>147.64</v>
      </c>
      <c r="C333" s="1">
        <f>IFERROR(__xludf.DUMMYFUNCTION("""COMPUTED_VALUE"""),150.64)</f>
        <v>150.64</v>
      </c>
      <c r="D333" s="1">
        <f>IFERROR(__xludf.DUMMYFUNCTION("""COMPUTED_VALUE"""),144.84)</f>
        <v>144.84</v>
      </c>
      <c r="E333" s="1">
        <f>IFERROR(__xludf.DUMMYFUNCTION("""COMPUTED_VALUE"""),149.84)</f>
        <v>149.84</v>
      </c>
      <c r="F333" s="1">
        <f>IFERROR(__xludf.DUMMYFUNCTION("""COMPUTED_VALUE"""),1.46691387E8)</f>
        <v>146691387</v>
      </c>
    </row>
    <row r="334">
      <c r="A334" s="2">
        <f>IFERROR(__xludf.DUMMYFUNCTION("""COMPUTED_VALUE"""),44833.66666666667)</f>
        <v>44833.66667</v>
      </c>
      <c r="B334" s="1">
        <f>IFERROR(__xludf.DUMMYFUNCTION("""COMPUTED_VALUE"""),146.1)</f>
        <v>146.1</v>
      </c>
      <c r="C334" s="1">
        <f>IFERROR(__xludf.DUMMYFUNCTION("""COMPUTED_VALUE"""),146.72)</f>
        <v>146.72</v>
      </c>
      <c r="D334" s="1">
        <f>IFERROR(__xludf.DUMMYFUNCTION("""COMPUTED_VALUE"""),140.68)</f>
        <v>140.68</v>
      </c>
      <c r="E334" s="1">
        <f>IFERROR(__xludf.DUMMYFUNCTION("""COMPUTED_VALUE"""),142.48)</f>
        <v>142.48</v>
      </c>
      <c r="F334" s="1">
        <f>IFERROR(__xludf.DUMMYFUNCTION("""COMPUTED_VALUE"""),1.28138237E8)</f>
        <v>128138237</v>
      </c>
    </row>
    <row r="335">
      <c r="A335" s="2">
        <f>IFERROR(__xludf.DUMMYFUNCTION("""COMPUTED_VALUE"""),44834.66666666667)</f>
        <v>44834.66667</v>
      </c>
      <c r="B335" s="1">
        <f>IFERROR(__xludf.DUMMYFUNCTION("""COMPUTED_VALUE"""),141.28)</f>
        <v>141.28</v>
      </c>
      <c r="C335" s="1">
        <f>IFERROR(__xludf.DUMMYFUNCTION("""COMPUTED_VALUE"""),143.1)</f>
        <v>143.1</v>
      </c>
      <c r="D335" s="1">
        <f>IFERROR(__xludf.DUMMYFUNCTION("""COMPUTED_VALUE"""),138.0)</f>
        <v>138</v>
      </c>
      <c r="E335" s="1">
        <f>IFERROR(__xludf.DUMMYFUNCTION("""COMPUTED_VALUE"""),138.2)</f>
        <v>138.2</v>
      </c>
      <c r="F335" s="1">
        <f>IFERROR(__xludf.DUMMYFUNCTION("""COMPUTED_VALUE"""),1.24925274E8)</f>
        <v>124925274</v>
      </c>
    </row>
    <row r="336">
      <c r="A336" s="2">
        <f>IFERROR(__xludf.DUMMYFUNCTION("""COMPUTED_VALUE"""),44837.66666666667)</f>
        <v>44837.66667</v>
      </c>
      <c r="B336" s="1">
        <f>IFERROR(__xludf.DUMMYFUNCTION("""COMPUTED_VALUE"""),138.21)</f>
        <v>138.21</v>
      </c>
      <c r="C336" s="1">
        <f>IFERROR(__xludf.DUMMYFUNCTION("""COMPUTED_VALUE"""),143.07)</f>
        <v>143.07</v>
      </c>
      <c r="D336" s="1">
        <f>IFERROR(__xludf.DUMMYFUNCTION("""COMPUTED_VALUE"""),137.69)</f>
        <v>137.69</v>
      </c>
      <c r="E336" s="1">
        <f>IFERROR(__xludf.DUMMYFUNCTION("""COMPUTED_VALUE"""),142.45)</f>
        <v>142.45</v>
      </c>
      <c r="F336" s="1">
        <f>IFERROR(__xludf.DUMMYFUNCTION("""COMPUTED_VALUE"""),1.14311663E8)</f>
        <v>114311663</v>
      </c>
    </row>
    <row r="337">
      <c r="A337" s="2">
        <f>IFERROR(__xludf.DUMMYFUNCTION("""COMPUTED_VALUE"""),44838.66666666667)</f>
        <v>44838.66667</v>
      </c>
      <c r="B337" s="1">
        <f>IFERROR(__xludf.DUMMYFUNCTION("""COMPUTED_VALUE"""),145.03)</f>
        <v>145.03</v>
      </c>
      <c r="C337" s="1">
        <f>IFERROR(__xludf.DUMMYFUNCTION("""COMPUTED_VALUE"""),146.22)</f>
        <v>146.22</v>
      </c>
      <c r="D337" s="1">
        <f>IFERROR(__xludf.DUMMYFUNCTION("""COMPUTED_VALUE"""),144.26)</f>
        <v>144.26</v>
      </c>
      <c r="E337" s="1">
        <f>IFERROR(__xludf.DUMMYFUNCTION("""COMPUTED_VALUE"""),146.1)</f>
        <v>146.1</v>
      </c>
      <c r="F337" s="1">
        <f>IFERROR(__xludf.DUMMYFUNCTION("""COMPUTED_VALUE"""),8.7830064E7)</f>
        <v>87830064</v>
      </c>
    </row>
    <row r="338">
      <c r="A338" s="2">
        <f>IFERROR(__xludf.DUMMYFUNCTION("""COMPUTED_VALUE"""),44839.66666666667)</f>
        <v>44839.66667</v>
      </c>
      <c r="B338" s="1">
        <f>IFERROR(__xludf.DUMMYFUNCTION("""COMPUTED_VALUE"""),144.07)</f>
        <v>144.07</v>
      </c>
      <c r="C338" s="1">
        <f>IFERROR(__xludf.DUMMYFUNCTION("""COMPUTED_VALUE"""),147.38)</f>
        <v>147.38</v>
      </c>
      <c r="D338" s="1">
        <f>IFERROR(__xludf.DUMMYFUNCTION("""COMPUTED_VALUE"""),143.01)</f>
        <v>143.01</v>
      </c>
      <c r="E338" s="1">
        <f>IFERROR(__xludf.DUMMYFUNCTION("""COMPUTED_VALUE"""),146.4)</f>
        <v>146.4</v>
      </c>
      <c r="F338" s="1">
        <f>IFERROR(__xludf.DUMMYFUNCTION("""COMPUTED_VALUE"""),7.9470968E7)</f>
        <v>79470968</v>
      </c>
    </row>
    <row r="339">
      <c r="A339" s="2">
        <f>IFERROR(__xludf.DUMMYFUNCTION("""COMPUTED_VALUE"""),44840.66666666667)</f>
        <v>44840.66667</v>
      </c>
      <c r="B339" s="1">
        <f>IFERROR(__xludf.DUMMYFUNCTION("""COMPUTED_VALUE"""),145.81)</f>
        <v>145.81</v>
      </c>
      <c r="C339" s="1">
        <f>IFERROR(__xludf.DUMMYFUNCTION("""COMPUTED_VALUE"""),147.54)</f>
        <v>147.54</v>
      </c>
      <c r="D339" s="1">
        <f>IFERROR(__xludf.DUMMYFUNCTION("""COMPUTED_VALUE"""),145.22)</f>
        <v>145.22</v>
      </c>
      <c r="E339" s="1">
        <f>IFERROR(__xludf.DUMMYFUNCTION("""COMPUTED_VALUE"""),145.43)</f>
        <v>145.43</v>
      </c>
      <c r="F339" s="1">
        <f>IFERROR(__xludf.DUMMYFUNCTION("""COMPUTED_VALUE"""),6.8402169E7)</f>
        <v>68402169</v>
      </c>
    </row>
    <row r="340">
      <c r="A340" s="2">
        <f>IFERROR(__xludf.DUMMYFUNCTION("""COMPUTED_VALUE"""),44841.66666666667)</f>
        <v>44841.66667</v>
      </c>
      <c r="B340" s="1">
        <f>IFERROR(__xludf.DUMMYFUNCTION("""COMPUTED_VALUE"""),142.54)</f>
        <v>142.54</v>
      </c>
      <c r="C340" s="1">
        <f>IFERROR(__xludf.DUMMYFUNCTION("""COMPUTED_VALUE"""),143.1)</f>
        <v>143.1</v>
      </c>
      <c r="D340" s="1">
        <f>IFERROR(__xludf.DUMMYFUNCTION("""COMPUTED_VALUE"""),139.45)</f>
        <v>139.45</v>
      </c>
      <c r="E340" s="1">
        <f>IFERROR(__xludf.DUMMYFUNCTION("""COMPUTED_VALUE"""),140.09)</f>
        <v>140.09</v>
      </c>
      <c r="F340" s="1">
        <f>IFERROR(__xludf.DUMMYFUNCTION("""COMPUTED_VALUE"""),8.5925559E7)</f>
        <v>85925559</v>
      </c>
    </row>
    <row r="341">
      <c r="A341" s="2">
        <f>IFERROR(__xludf.DUMMYFUNCTION("""COMPUTED_VALUE"""),44844.66666666667)</f>
        <v>44844.66667</v>
      </c>
      <c r="B341" s="1">
        <f>IFERROR(__xludf.DUMMYFUNCTION("""COMPUTED_VALUE"""),140.42)</f>
        <v>140.42</v>
      </c>
      <c r="C341" s="1">
        <f>IFERROR(__xludf.DUMMYFUNCTION("""COMPUTED_VALUE"""),141.89)</f>
        <v>141.89</v>
      </c>
      <c r="D341" s="1">
        <f>IFERROR(__xludf.DUMMYFUNCTION("""COMPUTED_VALUE"""),138.57)</f>
        <v>138.57</v>
      </c>
      <c r="E341" s="1">
        <f>IFERROR(__xludf.DUMMYFUNCTION("""COMPUTED_VALUE"""),140.42)</f>
        <v>140.42</v>
      </c>
      <c r="F341" s="1">
        <f>IFERROR(__xludf.DUMMYFUNCTION("""COMPUTED_VALUE"""),7.4899002E7)</f>
        <v>74899002</v>
      </c>
    </row>
    <row r="342">
      <c r="A342" s="2">
        <f>IFERROR(__xludf.DUMMYFUNCTION("""COMPUTED_VALUE"""),44845.66666666667)</f>
        <v>44845.66667</v>
      </c>
      <c r="B342" s="1">
        <f>IFERROR(__xludf.DUMMYFUNCTION("""COMPUTED_VALUE"""),139.9)</f>
        <v>139.9</v>
      </c>
      <c r="C342" s="1">
        <f>IFERROR(__xludf.DUMMYFUNCTION("""COMPUTED_VALUE"""),141.35)</f>
        <v>141.35</v>
      </c>
      <c r="D342" s="1">
        <f>IFERROR(__xludf.DUMMYFUNCTION("""COMPUTED_VALUE"""),138.22)</f>
        <v>138.22</v>
      </c>
      <c r="E342" s="1">
        <f>IFERROR(__xludf.DUMMYFUNCTION("""COMPUTED_VALUE"""),138.98)</f>
        <v>138.98</v>
      </c>
      <c r="F342" s="1">
        <f>IFERROR(__xludf.DUMMYFUNCTION("""COMPUTED_VALUE"""),7.7033672E7)</f>
        <v>77033672</v>
      </c>
    </row>
    <row r="343">
      <c r="A343" s="2">
        <f>IFERROR(__xludf.DUMMYFUNCTION("""COMPUTED_VALUE"""),44846.66666666667)</f>
        <v>44846.66667</v>
      </c>
      <c r="B343" s="1">
        <f>IFERROR(__xludf.DUMMYFUNCTION("""COMPUTED_VALUE"""),139.13)</f>
        <v>139.13</v>
      </c>
      <c r="C343" s="1">
        <f>IFERROR(__xludf.DUMMYFUNCTION("""COMPUTED_VALUE"""),140.36)</f>
        <v>140.36</v>
      </c>
      <c r="D343" s="1">
        <f>IFERROR(__xludf.DUMMYFUNCTION("""COMPUTED_VALUE"""),138.16)</f>
        <v>138.16</v>
      </c>
      <c r="E343" s="1">
        <f>IFERROR(__xludf.DUMMYFUNCTION("""COMPUTED_VALUE"""),138.34)</f>
        <v>138.34</v>
      </c>
      <c r="F343" s="1">
        <f>IFERROR(__xludf.DUMMYFUNCTION("""COMPUTED_VALUE"""),7.0433744E7)</f>
        <v>70433744</v>
      </c>
    </row>
    <row r="344">
      <c r="A344" s="2">
        <f>IFERROR(__xludf.DUMMYFUNCTION("""COMPUTED_VALUE"""),44847.66666666667)</f>
        <v>44847.66667</v>
      </c>
      <c r="B344" s="1">
        <f>IFERROR(__xludf.DUMMYFUNCTION("""COMPUTED_VALUE"""),134.99)</f>
        <v>134.99</v>
      </c>
      <c r="C344" s="1">
        <f>IFERROR(__xludf.DUMMYFUNCTION("""COMPUTED_VALUE"""),143.59)</f>
        <v>143.59</v>
      </c>
      <c r="D344" s="1">
        <f>IFERROR(__xludf.DUMMYFUNCTION("""COMPUTED_VALUE"""),134.37)</f>
        <v>134.37</v>
      </c>
      <c r="E344" s="1">
        <f>IFERROR(__xludf.DUMMYFUNCTION("""COMPUTED_VALUE"""),142.99)</f>
        <v>142.99</v>
      </c>
      <c r="F344" s="1">
        <f>IFERROR(__xludf.DUMMYFUNCTION("""COMPUTED_VALUE"""),1.13223975E8)</f>
        <v>113223975</v>
      </c>
    </row>
    <row r="345">
      <c r="A345" s="2">
        <f>IFERROR(__xludf.DUMMYFUNCTION("""COMPUTED_VALUE"""),44848.66666666667)</f>
        <v>44848.66667</v>
      </c>
      <c r="B345" s="1">
        <f>IFERROR(__xludf.DUMMYFUNCTION("""COMPUTED_VALUE"""),144.31)</f>
        <v>144.31</v>
      </c>
      <c r="C345" s="1">
        <f>IFERROR(__xludf.DUMMYFUNCTION("""COMPUTED_VALUE"""),144.52)</f>
        <v>144.52</v>
      </c>
      <c r="D345" s="1">
        <f>IFERROR(__xludf.DUMMYFUNCTION("""COMPUTED_VALUE"""),138.19)</f>
        <v>138.19</v>
      </c>
      <c r="E345" s="1">
        <f>IFERROR(__xludf.DUMMYFUNCTION("""COMPUTED_VALUE"""),138.38)</f>
        <v>138.38</v>
      </c>
      <c r="F345" s="1">
        <f>IFERROR(__xludf.DUMMYFUNCTION("""COMPUTED_VALUE"""),8.8597969E7)</f>
        <v>88597969</v>
      </c>
    </row>
    <row r="346">
      <c r="A346" s="2">
        <f>IFERROR(__xludf.DUMMYFUNCTION("""COMPUTED_VALUE"""),44851.66666666667)</f>
        <v>44851.66667</v>
      </c>
      <c r="B346" s="1">
        <f>IFERROR(__xludf.DUMMYFUNCTION("""COMPUTED_VALUE"""),141.07)</f>
        <v>141.07</v>
      </c>
      <c r="C346" s="1">
        <f>IFERROR(__xludf.DUMMYFUNCTION("""COMPUTED_VALUE"""),142.9)</f>
        <v>142.9</v>
      </c>
      <c r="D346" s="1">
        <f>IFERROR(__xludf.DUMMYFUNCTION("""COMPUTED_VALUE"""),140.27)</f>
        <v>140.27</v>
      </c>
      <c r="E346" s="1">
        <f>IFERROR(__xludf.DUMMYFUNCTION("""COMPUTED_VALUE"""),142.41)</f>
        <v>142.41</v>
      </c>
      <c r="F346" s="1">
        <f>IFERROR(__xludf.DUMMYFUNCTION("""COMPUTED_VALUE"""),8.5250939E7)</f>
        <v>85250939</v>
      </c>
    </row>
    <row r="347">
      <c r="A347" s="2">
        <f>IFERROR(__xludf.DUMMYFUNCTION("""COMPUTED_VALUE"""),44852.66666666667)</f>
        <v>44852.66667</v>
      </c>
      <c r="B347" s="1">
        <f>IFERROR(__xludf.DUMMYFUNCTION("""COMPUTED_VALUE"""),145.49)</f>
        <v>145.49</v>
      </c>
      <c r="C347" s="1">
        <f>IFERROR(__xludf.DUMMYFUNCTION("""COMPUTED_VALUE"""),146.7)</f>
        <v>146.7</v>
      </c>
      <c r="D347" s="1">
        <f>IFERROR(__xludf.DUMMYFUNCTION("""COMPUTED_VALUE"""),140.61)</f>
        <v>140.61</v>
      </c>
      <c r="E347" s="1">
        <f>IFERROR(__xludf.DUMMYFUNCTION("""COMPUTED_VALUE"""),143.75)</f>
        <v>143.75</v>
      </c>
      <c r="F347" s="1">
        <f>IFERROR(__xludf.DUMMYFUNCTION("""COMPUTED_VALUE"""),9.913661E7)</f>
        <v>99136610</v>
      </c>
    </row>
    <row r="348">
      <c r="A348" s="2">
        <f>IFERROR(__xludf.DUMMYFUNCTION("""COMPUTED_VALUE"""),44853.66666666667)</f>
        <v>44853.66667</v>
      </c>
      <c r="B348" s="1">
        <f>IFERROR(__xludf.DUMMYFUNCTION("""COMPUTED_VALUE"""),141.69)</f>
        <v>141.69</v>
      </c>
      <c r="C348" s="1">
        <f>IFERROR(__xludf.DUMMYFUNCTION("""COMPUTED_VALUE"""),144.95)</f>
        <v>144.95</v>
      </c>
      <c r="D348" s="1">
        <f>IFERROR(__xludf.DUMMYFUNCTION("""COMPUTED_VALUE"""),141.5)</f>
        <v>141.5</v>
      </c>
      <c r="E348" s="1">
        <f>IFERROR(__xludf.DUMMYFUNCTION("""COMPUTED_VALUE"""),143.86)</f>
        <v>143.86</v>
      </c>
      <c r="F348" s="1">
        <f>IFERROR(__xludf.DUMMYFUNCTION("""COMPUTED_VALUE"""),6.175834E7)</f>
        <v>61758340</v>
      </c>
    </row>
    <row r="349">
      <c r="A349" s="2">
        <f>IFERROR(__xludf.DUMMYFUNCTION("""COMPUTED_VALUE"""),44854.66666666667)</f>
        <v>44854.66667</v>
      </c>
      <c r="B349" s="1">
        <f>IFERROR(__xludf.DUMMYFUNCTION("""COMPUTED_VALUE"""),143.02)</f>
        <v>143.02</v>
      </c>
      <c r="C349" s="1">
        <f>IFERROR(__xludf.DUMMYFUNCTION("""COMPUTED_VALUE"""),145.89)</f>
        <v>145.89</v>
      </c>
      <c r="D349" s="1">
        <f>IFERROR(__xludf.DUMMYFUNCTION("""COMPUTED_VALUE"""),142.65)</f>
        <v>142.65</v>
      </c>
      <c r="E349" s="1">
        <f>IFERROR(__xludf.DUMMYFUNCTION("""COMPUTED_VALUE"""),143.39)</f>
        <v>143.39</v>
      </c>
      <c r="F349" s="1">
        <f>IFERROR(__xludf.DUMMYFUNCTION("""COMPUTED_VALUE"""),6.4521989E7)</f>
        <v>64521989</v>
      </c>
    </row>
    <row r="350">
      <c r="A350" s="2">
        <f>IFERROR(__xludf.DUMMYFUNCTION("""COMPUTED_VALUE"""),44855.66666666667)</f>
        <v>44855.66667</v>
      </c>
      <c r="B350" s="1">
        <f>IFERROR(__xludf.DUMMYFUNCTION("""COMPUTED_VALUE"""),142.87)</f>
        <v>142.87</v>
      </c>
      <c r="C350" s="1">
        <f>IFERROR(__xludf.DUMMYFUNCTION("""COMPUTED_VALUE"""),147.85)</f>
        <v>147.85</v>
      </c>
      <c r="D350" s="1">
        <f>IFERROR(__xludf.DUMMYFUNCTION("""COMPUTED_VALUE"""),142.65)</f>
        <v>142.65</v>
      </c>
      <c r="E350" s="1">
        <f>IFERROR(__xludf.DUMMYFUNCTION("""COMPUTED_VALUE"""),147.27)</f>
        <v>147.27</v>
      </c>
      <c r="F350" s="1">
        <f>IFERROR(__xludf.DUMMYFUNCTION("""COMPUTED_VALUE"""),8.6548609E7)</f>
        <v>86548609</v>
      </c>
    </row>
    <row r="351">
      <c r="A351" s="2">
        <f>IFERROR(__xludf.DUMMYFUNCTION("""COMPUTED_VALUE"""),44858.66666666667)</f>
        <v>44858.66667</v>
      </c>
      <c r="B351" s="1">
        <f>IFERROR(__xludf.DUMMYFUNCTION("""COMPUTED_VALUE"""),147.19)</f>
        <v>147.19</v>
      </c>
      <c r="C351" s="1">
        <f>IFERROR(__xludf.DUMMYFUNCTION("""COMPUTED_VALUE"""),150.23)</f>
        <v>150.23</v>
      </c>
      <c r="D351" s="1">
        <f>IFERROR(__xludf.DUMMYFUNCTION("""COMPUTED_VALUE"""),146.0)</f>
        <v>146</v>
      </c>
      <c r="E351" s="1">
        <f>IFERROR(__xludf.DUMMYFUNCTION("""COMPUTED_VALUE"""),149.45)</f>
        <v>149.45</v>
      </c>
      <c r="F351" s="1">
        <f>IFERROR(__xludf.DUMMYFUNCTION("""COMPUTED_VALUE"""),7.5981918E7)</f>
        <v>75981918</v>
      </c>
    </row>
    <row r="352">
      <c r="A352" s="2">
        <f>IFERROR(__xludf.DUMMYFUNCTION("""COMPUTED_VALUE"""),44859.66666666667)</f>
        <v>44859.66667</v>
      </c>
      <c r="B352" s="1">
        <f>IFERROR(__xludf.DUMMYFUNCTION("""COMPUTED_VALUE"""),150.09)</f>
        <v>150.09</v>
      </c>
      <c r="C352" s="1">
        <f>IFERROR(__xludf.DUMMYFUNCTION("""COMPUTED_VALUE"""),152.49)</f>
        <v>152.49</v>
      </c>
      <c r="D352" s="1">
        <f>IFERROR(__xludf.DUMMYFUNCTION("""COMPUTED_VALUE"""),149.36)</f>
        <v>149.36</v>
      </c>
      <c r="E352" s="1">
        <f>IFERROR(__xludf.DUMMYFUNCTION("""COMPUTED_VALUE"""),152.34)</f>
        <v>152.34</v>
      </c>
      <c r="F352" s="1">
        <f>IFERROR(__xludf.DUMMYFUNCTION("""COMPUTED_VALUE"""),7.473229E7)</f>
        <v>74732290</v>
      </c>
    </row>
    <row r="353">
      <c r="A353" s="2">
        <f>IFERROR(__xludf.DUMMYFUNCTION("""COMPUTED_VALUE"""),44860.66666666667)</f>
        <v>44860.66667</v>
      </c>
      <c r="B353" s="1">
        <f>IFERROR(__xludf.DUMMYFUNCTION("""COMPUTED_VALUE"""),150.96)</f>
        <v>150.96</v>
      </c>
      <c r="C353" s="1">
        <f>IFERROR(__xludf.DUMMYFUNCTION("""COMPUTED_VALUE"""),151.99)</f>
        <v>151.99</v>
      </c>
      <c r="D353" s="1">
        <f>IFERROR(__xludf.DUMMYFUNCTION("""COMPUTED_VALUE"""),148.04)</f>
        <v>148.04</v>
      </c>
      <c r="E353" s="1">
        <f>IFERROR(__xludf.DUMMYFUNCTION("""COMPUTED_VALUE"""),149.35)</f>
        <v>149.35</v>
      </c>
      <c r="F353" s="1">
        <f>IFERROR(__xludf.DUMMYFUNCTION("""COMPUTED_VALUE"""),8.8436172E7)</f>
        <v>88436172</v>
      </c>
    </row>
    <row r="354">
      <c r="A354" s="2">
        <f>IFERROR(__xludf.DUMMYFUNCTION("""COMPUTED_VALUE"""),44861.66666666667)</f>
        <v>44861.66667</v>
      </c>
      <c r="B354" s="1">
        <f>IFERROR(__xludf.DUMMYFUNCTION("""COMPUTED_VALUE"""),148.07)</f>
        <v>148.07</v>
      </c>
      <c r="C354" s="1">
        <f>IFERROR(__xludf.DUMMYFUNCTION("""COMPUTED_VALUE"""),149.05)</f>
        <v>149.05</v>
      </c>
      <c r="D354" s="1">
        <f>IFERROR(__xludf.DUMMYFUNCTION("""COMPUTED_VALUE"""),144.13)</f>
        <v>144.13</v>
      </c>
      <c r="E354" s="1">
        <f>IFERROR(__xludf.DUMMYFUNCTION("""COMPUTED_VALUE"""),144.8)</f>
        <v>144.8</v>
      </c>
      <c r="F354" s="1">
        <f>IFERROR(__xludf.DUMMYFUNCTION("""COMPUTED_VALUE"""),1.0918015E8)</f>
        <v>109180150</v>
      </c>
    </row>
    <row r="355">
      <c r="A355" s="2">
        <f>IFERROR(__xludf.DUMMYFUNCTION("""COMPUTED_VALUE"""),44862.66666666667)</f>
        <v>44862.66667</v>
      </c>
      <c r="B355" s="1">
        <f>IFERROR(__xludf.DUMMYFUNCTION("""COMPUTED_VALUE"""),148.2)</f>
        <v>148.2</v>
      </c>
      <c r="C355" s="1">
        <f>IFERROR(__xludf.DUMMYFUNCTION("""COMPUTED_VALUE"""),157.5)</f>
        <v>157.5</v>
      </c>
      <c r="D355" s="1">
        <f>IFERROR(__xludf.DUMMYFUNCTION("""COMPUTED_VALUE"""),147.82)</f>
        <v>147.82</v>
      </c>
      <c r="E355" s="1">
        <f>IFERROR(__xludf.DUMMYFUNCTION("""COMPUTED_VALUE"""),155.74)</f>
        <v>155.74</v>
      </c>
      <c r="F355" s="1">
        <f>IFERROR(__xludf.DUMMYFUNCTION("""COMPUTED_VALUE"""),1.64762371E8)</f>
        <v>164762371</v>
      </c>
    </row>
    <row r="356">
      <c r="A356" s="2">
        <f>IFERROR(__xludf.DUMMYFUNCTION("""COMPUTED_VALUE"""),44865.66666666667)</f>
        <v>44865.66667</v>
      </c>
      <c r="B356" s="1">
        <f>IFERROR(__xludf.DUMMYFUNCTION("""COMPUTED_VALUE"""),153.16)</f>
        <v>153.16</v>
      </c>
      <c r="C356" s="1">
        <f>IFERROR(__xludf.DUMMYFUNCTION("""COMPUTED_VALUE"""),154.24)</f>
        <v>154.24</v>
      </c>
      <c r="D356" s="1">
        <f>IFERROR(__xludf.DUMMYFUNCTION("""COMPUTED_VALUE"""),151.92)</f>
        <v>151.92</v>
      </c>
      <c r="E356" s="1">
        <f>IFERROR(__xludf.DUMMYFUNCTION("""COMPUTED_VALUE"""),153.34)</f>
        <v>153.34</v>
      </c>
      <c r="F356" s="1">
        <f>IFERROR(__xludf.DUMMYFUNCTION("""COMPUTED_VALUE"""),9.7943171E7)</f>
        <v>97943171</v>
      </c>
    </row>
    <row r="357">
      <c r="A357" s="2">
        <f>IFERROR(__xludf.DUMMYFUNCTION("""COMPUTED_VALUE"""),44866.66666666667)</f>
        <v>44866.66667</v>
      </c>
      <c r="B357" s="1">
        <f>IFERROR(__xludf.DUMMYFUNCTION("""COMPUTED_VALUE"""),155.08)</f>
        <v>155.08</v>
      </c>
      <c r="C357" s="1">
        <f>IFERROR(__xludf.DUMMYFUNCTION("""COMPUTED_VALUE"""),155.45)</f>
        <v>155.45</v>
      </c>
      <c r="D357" s="1">
        <f>IFERROR(__xludf.DUMMYFUNCTION("""COMPUTED_VALUE"""),149.13)</f>
        <v>149.13</v>
      </c>
      <c r="E357" s="1">
        <f>IFERROR(__xludf.DUMMYFUNCTION("""COMPUTED_VALUE"""),150.65)</f>
        <v>150.65</v>
      </c>
      <c r="F357" s="1">
        <f>IFERROR(__xludf.DUMMYFUNCTION("""COMPUTED_VALUE"""),8.0379345E7)</f>
        <v>80379345</v>
      </c>
    </row>
    <row r="358">
      <c r="A358" s="2">
        <f>IFERROR(__xludf.DUMMYFUNCTION("""COMPUTED_VALUE"""),44867.66666666667)</f>
        <v>44867.66667</v>
      </c>
      <c r="B358" s="1">
        <f>IFERROR(__xludf.DUMMYFUNCTION("""COMPUTED_VALUE"""),148.95)</f>
        <v>148.95</v>
      </c>
      <c r="C358" s="1">
        <f>IFERROR(__xludf.DUMMYFUNCTION("""COMPUTED_VALUE"""),152.17)</f>
        <v>152.17</v>
      </c>
      <c r="D358" s="1">
        <f>IFERROR(__xludf.DUMMYFUNCTION("""COMPUTED_VALUE"""),145.0)</f>
        <v>145</v>
      </c>
      <c r="E358" s="1">
        <f>IFERROR(__xludf.DUMMYFUNCTION("""COMPUTED_VALUE"""),145.03)</f>
        <v>145.03</v>
      </c>
      <c r="F358" s="1">
        <f>IFERROR(__xludf.DUMMYFUNCTION("""COMPUTED_VALUE"""),9.3604623E7)</f>
        <v>93604623</v>
      </c>
    </row>
    <row r="359">
      <c r="A359" s="2">
        <f>IFERROR(__xludf.DUMMYFUNCTION("""COMPUTED_VALUE"""),44868.66666666667)</f>
        <v>44868.66667</v>
      </c>
      <c r="B359" s="1">
        <f>IFERROR(__xludf.DUMMYFUNCTION("""COMPUTED_VALUE"""),142.06)</f>
        <v>142.06</v>
      </c>
      <c r="C359" s="1">
        <f>IFERROR(__xludf.DUMMYFUNCTION("""COMPUTED_VALUE"""),142.8)</f>
        <v>142.8</v>
      </c>
      <c r="D359" s="1">
        <f>IFERROR(__xludf.DUMMYFUNCTION("""COMPUTED_VALUE"""),138.75)</f>
        <v>138.75</v>
      </c>
      <c r="E359" s="1">
        <f>IFERROR(__xludf.DUMMYFUNCTION("""COMPUTED_VALUE"""),138.88)</f>
        <v>138.88</v>
      </c>
      <c r="F359" s="1">
        <f>IFERROR(__xludf.DUMMYFUNCTION("""COMPUTED_VALUE"""),9.7918516E7)</f>
        <v>97918516</v>
      </c>
    </row>
    <row r="360">
      <c r="A360" s="2">
        <f>IFERROR(__xludf.DUMMYFUNCTION("""COMPUTED_VALUE"""),44869.66666666667)</f>
        <v>44869.66667</v>
      </c>
      <c r="B360" s="1">
        <f>IFERROR(__xludf.DUMMYFUNCTION("""COMPUTED_VALUE"""),142.09)</f>
        <v>142.09</v>
      </c>
      <c r="C360" s="1">
        <f>IFERROR(__xludf.DUMMYFUNCTION("""COMPUTED_VALUE"""),142.67)</f>
        <v>142.67</v>
      </c>
      <c r="D360" s="1">
        <f>IFERROR(__xludf.DUMMYFUNCTION("""COMPUTED_VALUE"""),134.38)</f>
        <v>134.38</v>
      </c>
      <c r="E360" s="1">
        <f>IFERROR(__xludf.DUMMYFUNCTION("""COMPUTED_VALUE"""),138.38)</f>
        <v>138.38</v>
      </c>
      <c r="F360" s="1">
        <f>IFERROR(__xludf.DUMMYFUNCTION("""COMPUTED_VALUE"""),1.40814796E8)</f>
        <v>140814796</v>
      </c>
    </row>
    <row r="361">
      <c r="A361" s="2">
        <f>IFERROR(__xludf.DUMMYFUNCTION("""COMPUTED_VALUE"""),44872.66666666667)</f>
        <v>44872.66667</v>
      </c>
      <c r="B361" s="1">
        <f>IFERROR(__xludf.DUMMYFUNCTION("""COMPUTED_VALUE"""),137.11)</f>
        <v>137.11</v>
      </c>
      <c r="C361" s="1">
        <f>IFERROR(__xludf.DUMMYFUNCTION("""COMPUTED_VALUE"""),139.15)</f>
        <v>139.15</v>
      </c>
      <c r="D361" s="1">
        <f>IFERROR(__xludf.DUMMYFUNCTION("""COMPUTED_VALUE"""),135.67)</f>
        <v>135.67</v>
      </c>
      <c r="E361" s="1">
        <f>IFERROR(__xludf.DUMMYFUNCTION("""COMPUTED_VALUE"""),138.92)</f>
        <v>138.92</v>
      </c>
      <c r="F361" s="1">
        <f>IFERROR(__xludf.DUMMYFUNCTION("""COMPUTED_VALUE"""),8.3374628E7)</f>
        <v>83374628</v>
      </c>
    </row>
    <row r="362">
      <c r="A362" s="2">
        <f>IFERROR(__xludf.DUMMYFUNCTION("""COMPUTED_VALUE"""),44873.66666666667)</f>
        <v>44873.66667</v>
      </c>
      <c r="B362" s="1">
        <f>IFERROR(__xludf.DUMMYFUNCTION("""COMPUTED_VALUE"""),140.41)</f>
        <v>140.41</v>
      </c>
      <c r="C362" s="1">
        <f>IFERROR(__xludf.DUMMYFUNCTION("""COMPUTED_VALUE"""),141.43)</f>
        <v>141.43</v>
      </c>
      <c r="D362" s="1">
        <f>IFERROR(__xludf.DUMMYFUNCTION("""COMPUTED_VALUE"""),137.49)</f>
        <v>137.49</v>
      </c>
      <c r="E362" s="1">
        <f>IFERROR(__xludf.DUMMYFUNCTION("""COMPUTED_VALUE"""),139.5)</f>
        <v>139.5</v>
      </c>
      <c r="F362" s="1">
        <f>IFERROR(__xludf.DUMMYFUNCTION("""COMPUTED_VALUE"""),8.9908477E7)</f>
        <v>89908477</v>
      </c>
    </row>
    <row r="363">
      <c r="A363" s="2">
        <f>IFERROR(__xludf.DUMMYFUNCTION("""COMPUTED_VALUE"""),44874.66666666667)</f>
        <v>44874.66667</v>
      </c>
      <c r="B363" s="1">
        <f>IFERROR(__xludf.DUMMYFUNCTION("""COMPUTED_VALUE"""),138.5)</f>
        <v>138.5</v>
      </c>
      <c r="C363" s="1">
        <f>IFERROR(__xludf.DUMMYFUNCTION("""COMPUTED_VALUE"""),138.55)</f>
        <v>138.55</v>
      </c>
      <c r="D363" s="1">
        <f>IFERROR(__xludf.DUMMYFUNCTION("""COMPUTED_VALUE"""),134.59)</f>
        <v>134.59</v>
      </c>
      <c r="E363" s="1">
        <f>IFERROR(__xludf.DUMMYFUNCTION("""COMPUTED_VALUE"""),134.87)</f>
        <v>134.87</v>
      </c>
      <c r="F363" s="1">
        <f>IFERROR(__xludf.DUMMYFUNCTION("""COMPUTED_VALUE"""),7.4917794E7)</f>
        <v>74917794</v>
      </c>
    </row>
    <row r="364">
      <c r="A364" s="2">
        <f>IFERROR(__xludf.DUMMYFUNCTION("""COMPUTED_VALUE"""),44875.66666666667)</f>
        <v>44875.66667</v>
      </c>
      <c r="B364" s="1">
        <f>IFERROR(__xludf.DUMMYFUNCTION("""COMPUTED_VALUE"""),141.24)</f>
        <v>141.24</v>
      </c>
      <c r="C364" s="1">
        <f>IFERROR(__xludf.DUMMYFUNCTION("""COMPUTED_VALUE"""),146.87)</f>
        <v>146.87</v>
      </c>
      <c r="D364" s="1">
        <f>IFERROR(__xludf.DUMMYFUNCTION("""COMPUTED_VALUE"""),139.5)</f>
        <v>139.5</v>
      </c>
      <c r="E364" s="1">
        <f>IFERROR(__xludf.DUMMYFUNCTION("""COMPUTED_VALUE"""),146.87)</f>
        <v>146.87</v>
      </c>
      <c r="F364" s="1">
        <f>IFERROR(__xludf.DUMMYFUNCTION("""COMPUTED_VALUE"""),1.18854028E8)</f>
        <v>118854028</v>
      </c>
    </row>
    <row r="365">
      <c r="A365" s="2">
        <f>IFERROR(__xludf.DUMMYFUNCTION("""COMPUTED_VALUE"""),44876.66666666667)</f>
        <v>44876.66667</v>
      </c>
      <c r="B365" s="1">
        <f>IFERROR(__xludf.DUMMYFUNCTION("""COMPUTED_VALUE"""),145.82)</f>
        <v>145.82</v>
      </c>
      <c r="C365" s="1">
        <f>IFERROR(__xludf.DUMMYFUNCTION("""COMPUTED_VALUE"""),150.01)</f>
        <v>150.01</v>
      </c>
      <c r="D365" s="1">
        <f>IFERROR(__xludf.DUMMYFUNCTION("""COMPUTED_VALUE"""),144.37)</f>
        <v>144.37</v>
      </c>
      <c r="E365" s="1">
        <f>IFERROR(__xludf.DUMMYFUNCTION("""COMPUTED_VALUE"""),149.7)</f>
        <v>149.7</v>
      </c>
      <c r="F365" s="1">
        <f>IFERROR(__xludf.DUMMYFUNCTION("""COMPUTED_VALUE"""),9.3979665E7)</f>
        <v>93979665</v>
      </c>
    </row>
    <row r="366">
      <c r="A366" s="2">
        <f>IFERROR(__xludf.DUMMYFUNCTION("""COMPUTED_VALUE"""),44879.66666666667)</f>
        <v>44879.66667</v>
      </c>
      <c r="B366" s="1">
        <f>IFERROR(__xludf.DUMMYFUNCTION("""COMPUTED_VALUE"""),148.97)</f>
        <v>148.97</v>
      </c>
      <c r="C366" s="1">
        <f>IFERROR(__xludf.DUMMYFUNCTION("""COMPUTED_VALUE"""),150.28)</f>
        <v>150.28</v>
      </c>
      <c r="D366" s="1">
        <f>IFERROR(__xludf.DUMMYFUNCTION("""COMPUTED_VALUE"""),147.43)</f>
        <v>147.43</v>
      </c>
      <c r="E366" s="1">
        <f>IFERROR(__xludf.DUMMYFUNCTION("""COMPUTED_VALUE"""),148.28)</f>
        <v>148.28</v>
      </c>
      <c r="F366" s="1">
        <f>IFERROR(__xludf.DUMMYFUNCTION("""COMPUTED_VALUE"""),7.3374114E7)</f>
        <v>73374114</v>
      </c>
    </row>
    <row r="367">
      <c r="A367" s="2">
        <f>IFERROR(__xludf.DUMMYFUNCTION("""COMPUTED_VALUE"""),44880.66666666667)</f>
        <v>44880.66667</v>
      </c>
      <c r="B367" s="1">
        <f>IFERROR(__xludf.DUMMYFUNCTION("""COMPUTED_VALUE"""),152.22)</f>
        <v>152.22</v>
      </c>
      <c r="C367" s="1">
        <f>IFERROR(__xludf.DUMMYFUNCTION("""COMPUTED_VALUE"""),153.59)</f>
        <v>153.59</v>
      </c>
      <c r="D367" s="1">
        <f>IFERROR(__xludf.DUMMYFUNCTION("""COMPUTED_VALUE"""),148.56)</f>
        <v>148.56</v>
      </c>
      <c r="E367" s="1">
        <f>IFERROR(__xludf.DUMMYFUNCTION("""COMPUTED_VALUE"""),150.04)</f>
        <v>150.04</v>
      </c>
      <c r="F367" s="1">
        <f>IFERROR(__xludf.DUMMYFUNCTION("""COMPUTED_VALUE"""),8.9868332E7)</f>
        <v>89868332</v>
      </c>
    </row>
    <row r="368">
      <c r="A368" s="2">
        <f>IFERROR(__xludf.DUMMYFUNCTION("""COMPUTED_VALUE"""),44881.66666666667)</f>
        <v>44881.66667</v>
      </c>
      <c r="B368" s="1">
        <f>IFERROR(__xludf.DUMMYFUNCTION("""COMPUTED_VALUE"""),149.13)</f>
        <v>149.13</v>
      </c>
      <c r="C368" s="1">
        <f>IFERROR(__xludf.DUMMYFUNCTION("""COMPUTED_VALUE"""),149.87)</f>
        <v>149.87</v>
      </c>
      <c r="D368" s="1">
        <f>IFERROR(__xludf.DUMMYFUNCTION("""COMPUTED_VALUE"""),147.29)</f>
        <v>147.29</v>
      </c>
      <c r="E368" s="1">
        <f>IFERROR(__xludf.DUMMYFUNCTION("""COMPUTED_VALUE"""),148.79)</f>
        <v>148.79</v>
      </c>
      <c r="F368" s="1">
        <f>IFERROR(__xludf.DUMMYFUNCTION("""COMPUTED_VALUE"""),6.4218266E7)</f>
        <v>64218266</v>
      </c>
    </row>
    <row r="369">
      <c r="A369" s="2">
        <f>IFERROR(__xludf.DUMMYFUNCTION("""COMPUTED_VALUE"""),44882.66666666667)</f>
        <v>44882.66667</v>
      </c>
      <c r="B369" s="1">
        <f>IFERROR(__xludf.DUMMYFUNCTION("""COMPUTED_VALUE"""),146.43)</f>
        <v>146.43</v>
      </c>
      <c r="C369" s="1">
        <f>IFERROR(__xludf.DUMMYFUNCTION("""COMPUTED_VALUE"""),151.48)</f>
        <v>151.48</v>
      </c>
      <c r="D369" s="1">
        <f>IFERROR(__xludf.DUMMYFUNCTION("""COMPUTED_VALUE"""),146.15)</f>
        <v>146.15</v>
      </c>
      <c r="E369" s="1">
        <f>IFERROR(__xludf.DUMMYFUNCTION("""COMPUTED_VALUE"""),150.72)</f>
        <v>150.72</v>
      </c>
      <c r="F369" s="1">
        <f>IFERROR(__xludf.DUMMYFUNCTION("""COMPUTED_VALUE"""),8.03894E7)</f>
        <v>80389400</v>
      </c>
    </row>
    <row r="370">
      <c r="A370" s="2">
        <f>IFERROR(__xludf.DUMMYFUNCTION("""COMPUTED_VALUE"""),44883.66666666667)</f>
        <v>44883.66667</v>
      </c>
      <c r="B370" s="1">
        <f>IFERROR(__xludf.DUMMYFUNCTION("""COMPUTED_VALUE"""),152.31)</f>
        <v>152.31</v>
      </c>
      <c r="C370" s="1">
        <f>IFERROR(__xludf.DUMMYFUNCTION("""COMPUTED_VALUE"""),152.7)</f>
        <v>152.7</v>
      </c>
      <c r="D370" s="1">
        <f>IFERROR(__xludf.DUMMYFUNCTION("""COMPUTED_VALUE"""),149.97)</f>
        <v>149.97</v>
      </c>
      <c r="E370" s="1">
        <f>IFERROR(__xludf.DUMMYFUNCTION("""COMPUTED_VALUE"""),151.29)</f>
        <v>151.29</v>
      </c>
      <c r="F370" s="1">
        <f>IFERROR(__xludf.DUMMYFUNCTION("""COMPUTED_VALUE"""),7.4829573E7)</f>
        <v>74829573</v>
      </c>
    </row>
    <row r="371">
      <c r="A371" s="2">
        <f>IFERROR(__xludf.DUMMYFUNCTION("""COMPUTED_VALUE"""),44886.66666666667)</f>
        <v>44886.66667</v>
      </c>
      <c r="B371" s="1">
        <f>IFERROR(__xludf.DUMMYFUNCTION("""COMPUTED_VALUE"""),150.16)</f>
        <v>150.16</v>
      </c>
      <c r="C371" s="1">
        <f>IFERROR(__xludf.DUMMYFUNCTION("""COMPUTED_VALUE"""),150.37)</f>
        <v>150.37</v>
      </c>
      <c r="D371" s="1">
        <f>IFERROR(__xludf.DUMMYFUNCTION("""COMPUTED_VALUE"""),147.72)</f>
        <v>147.72</v>
      </c>
      <c r="E371" s="1">
        <f>IFERROR(__xludf.DUMMYFUNCTION("""COMPUTED_VALUE"""),148.01)</f>
        <v>148.01</v>
      </c>
      <c r="F371" s="1">
        <f>IFERROR(__xludf.DUMMYFUNCTION("""COMPUTED_VALUE"""),5.872407E7)</f>
        <v>58724070</v>
      </c>
    </row>
    <row r="372">
      <c r="A372" s="2">
        <f>IFERROR(__xludf.DUMMYFUNCTION("""COMPUTED_VALUE"""),44887.66666666667)</f>
        <v>44887.66667</v>
      </c>
      <c r="B372" s="1">
        <f>IFERROR(__xludf.DUMMYFUNCTION("""COMPUTED_VALUE"""),148.13)</f>
        <v>148.13</v>
      </c>
      <c r="C372" s="1">
        <f>IFERROR(__xludf.DUMMYFUNCTION("""COMPUTED_VALUE"""),150.42)</f>
        <v>150.42</v>
      </c>
      <c r="D372" s="1">
        <f>IFERROR(__xludf.DUMMYFUNCTION("""COMPUTED_VALUE"""),146.93)</f>
        <v>146.93</v>
      </c>
      <c r="E372" s="1">
        <f>IFERROR(__xludf.DUMMYFUNCTION("""COMPUTED_VALUE"""),150.18)</f>
        <v>150.18</v>
      </c>
      <c r="F372" s="1">
        <f>IFERROR(__xludf.DUMMYFUNCTION("""COMPUTED_VALUE"""),5.1804132E7)</f>
        <v>51804132</v>
      </c>
    </row>
    <row r="373">
      <c r="A373" s="2">
        <f>IFERROR(__xludf.DUMMYFUNCTION("""COMPUTED_VALUE"""),44888.66666666667)</f>
        <v>44888.66667</v>
      </c>
      <c r="B373" s="1">
        <f>IFERROR(__xludf.DUMMYFUNCTION("""COMPUTED_VALUE"""),149.45)</f>
        <v>149.45</v>
      </c>
      <c r="C373" s="1">
        <f>IFERROR(__xludf.DUMMYFUNCTION("""COMPUTED_VALUE"""),151.83)</f>
        <v>151.83</v>
      </c>
      <c r="D373" s="1">
        <f>IFERROR(__xludf.DUMMYFUNCTION("""COMPUTED_VALUE"""),149.34)</f>
        <v>149.34</v>
      </c>
      <c r="E373" s="1">
        <f>IFERROR(__xludf.DUMMYFUNCTION("""COMPUTED_VALUE"""),151.07)</f>
        <v>151.07</v>
      </c>
      <c r="F373" s="1">
        <f>IFERROR(__xludf.DUMMYFUNCTION("""COMPUTED_VALUE"""),5.8301395E7)</f>
        <v>58301395</v>
      </c>
    </row>
    <row r="374">
      <c r="A374" s="2">
        <f>IFERROR(__xludf.DUMMYFUNCTION("""COMPUTED_VALUE"""),44890.54513888889)</f>
        <v>44890.54514</v>
      </c>
      <c r="B374" s="1">
        <f>IFERROR(__xludf.DUMMYFUNCTION("""COMPUTED_VALUE"""),148.31)</f>
        <v>148.31</v>
      </c>
      <c r="C374" s="1">
        <f>IFERROR(__xludf.DUMMYFUNCTION("""COMPUTED_VALUE"""),148.88)</f>
        <v>148.88</v>
      </c>
      <c r="D374" s="1">
        <f>IFERROR(__xludf.DUMMYFUNCTION("""COMPUTED_VALUE"""),147.12)</f>
        <v>147.12</v>
      </c>
      <c r="E374" s="1">
        <f>IFERROR(__xludf.DUMMYFUNCTION("""COMPUTED_VALUE"""),148.11)</f>
        <v>148.11</v>
      </c>
      <c r="F374" s="1">
        <f>IFERROR(__xludf.DUMMYFUNCTION("""COMPUTED_VALUE"""),3.519586E7)</f>
        <v>35195860</v>
      </c>
    </row>
    <row r="375">
      <c r="A375" s="2">
        <f>IFERROR(__xludf.DUMMYFUNCTION("""COMPUTED_VALUE"""),44893.66666666667)</f>
        <v>44893.66667</v>
      </c>
      <c r="B375" s="1">
        <f>IFERROR(__xludf.DUMMYFUNCTION("""COMPUTED_VALUE"""),145.14)</f>
        <v>145.14</v>
      </c>
      <c r="C375" s="1">
        <f>IFERROR(__xludf.DUMMYFUNCTION("""COMPUTED_VALUE"""),146.64)</f>
        <v>146.64</v>
      </c>
      <c r="D375" s="1">
        <f>IFERROR(__xludf.DUMMYFUNCTION("""COMPUTED_VALUE"""),143.38)</f>
        <v>143.38</v>
      </c>
      <c r="E375" s="1">
        <f>IFERROR(__xludf.DUMMYFUNCTION("""COMPUTED_VALUE"""),144.22)</f>
        <v>144.22</v>
      </c>
      <c r="F375" s="1">
        <f>IFERROR(__xludf.DUMMYFUNCTION("""COMPUTED_VALUE"""),6.9346522E7)</f>
        <v>69346522</v>
      </c>
    </row>
    <row r="376">
      <c r="A376" s="2">
        <f>IFERROR(__xludf.DUMMYFUNCTION("""COMPUTED_VALUE"""),44894.66666666667)</f>
        <v>44894.66667</v>
      </c>
      <c r="B376" s="1">
        <f>IFERROR(__xludf.DUMMYFUNCTION("""COMPUTED_VALUE"""),144.29)</f>
        <v>144.29</v>
      </c>
      <c r="C376" s="1">
        <f>IFERROR(__xludf.DUMMYFUNCTION("""COMPUTED_VALUE"""),144.81)</f>
        <v>144.81</v>
      </c>
      <c r="D376" s="1">
        <f>IFERROR(__xludf.DUMMYFUNCTION("""COMPUTED_VALUE"""),140.35)</f>
        <v>140.35</v>
      </c>
      <c r="E376" s="1">
        <f>IFERROR(__xludf.DUMMYFUNCTION("""COMPUTED_VALUE"""),141.17)</f>
        <v>141.17</v>
      </c>
      <c r="F376" s="1">
        <f>IFERROR(__xludf.DUMMYFUNCTION("""COMPUTED_VALUE"""),8.3763803E7)</f>
        <v>83763803</v>
      </c>
    </row>
    <row r="377">
      <c r="A377" s="2">
        <f>IFERROR(__xludf.DUMMYFUNCTION("""COMPUTED_VALUE"""),44895.66666666667)</f>
        <v>44895.66667</v>
      </c>
      <c r="B377" s="1">
        <f>IFERROR(__xludf.DUMMYFUNCTION("""COMPUTED_VALUE"""),141.4)</f>
        <v>141.4</v>
      </c>
      <c r="C377" s="1">
        <f>IFERROR(__xludf.DUMMYFUNCTION("""COMPUTED_VALUE"""),148.72)</f>
        <v>148.72</v>
      </c>
      <c r="D377" s="1">
        <f>IFERROR(__xludf.DUMMYFUNCTION("""COMPUTED_VALUE"""),140.55)</f>
        <v>140.55</v>
      </c>
      <c r="E377" s="1">
        <f>IFERROR(__xludf.DUMMYFUNCTION("""COMPUTED_VALUE"""),148.03)</f>
        <v>148.03</v>
      </c>
      <c r="F377" s="1">
        <f>IFERROR(__xludf.DUMMYFUNCTION("""COMPUTED_VALUE"""),1.1138088E8)</f>
        <v>111380880</v>
      </c>
    </row>
    <row r="378">
      <c r="A378" s="2">
        <f>IFERROR(__xludf.DUMMYFUNCTION("""COMPUTED_VALUE"""),44896.66666666667)</f>
        <v>44896.66667</v>
      </c>
      <c r="B378" s="1">
        <f>IFERROR(__xludf.DUMMYFUNCTION("""COMPUTED_VALUE"""),148.21)</f>
        <v>148.21</v>
      </c>
      <c r="C378" s="1">
        <f>IFERROR(__xludf.DUMMYFUNCTION("""COMPUTED_VALUE"""),149.13)</f>
        <v>149.13</v>
      </c>
      <c r="D378" s="1">
        <f>IFERROR(__xludf.DUMMYFUNCTION("""COMPUTED_VALUE"""),146.61)</f>
        <v>146.61</v>
      </c>
      <c r="E378" s="1">
        <f>IFERROR(__xludf.DUMMYFUNCTION("""COMPUTED_VALUE"""),148.31)</f>
        <v>148.31</v>
      </c>
      <c r="F378" s="1">
        <f>IFERROR(__xludf.DUMMYFUNCTION("""COMPUTED_VALUE"""),7.1250416E7)</f>
        <v>71250416</v>
      </c>
    </row>
    <row r="379">
      <c r="A379" s="2">
        <f>IFERROR(__xludf.DUMMYFUNCTION("""COMPUTED_VALUE"""),44897.66666666667)</f>
        <v>44897.66667</v>
      </c>
      <c r="B379" s="1">
        <f>IFERROR(__xludf.DUMMYFUNCTION("""COMPUTED_VALUE"""),145.96)</f>
        <v>145.96</v>
      </c>
      <c r="C379" s="1">
        <f>IFERROR(__xludf.DUMMYFUNCTION("""COMPUTED_VALUE"""),148.0)</f>
        <v>148</v>
      </c>
      <c r="D379" s="1">
        <f>IFERROR(__xludf.DUMMYFUNCTION("""COMPUTED_VALUE"""),145.65)</f>
        <v>145.65</v>
      </c>
      <c r="E379" s="1">
        <f>IFERROR(__xludf.DUMMYFUNCTION("""COMPUTED_VALUE"""),147.81)</f>
        <v>147.81</v>
      </c>
      <c r="F379" s="1">
        <f>IFERROR(__xludf.DUMMYFUNCTION("""COMPUTED_VALUE"""),6.5447446E7)</f>
        <v>65447446</v>
      </c>
    </row>
    <row r="380">
      <c r="A380" s="2">
        <f>IFERROR(__xludf.DUMMYFUNCTION("""COMPUTED_VALUE"""),44900.66666666667)</f>
        <v>44900.66667</v>
      </c>
      <c r="B380" s="1">
        <f>IFERROR(__xludf.DUMMYFUNCTION("""COMPUTED_VALUE"""),147.77)</f>
        <v>147.77</v>
      </c>
      <c r="C380" s="1">
        <f>IFERROR(__xludf.DUMMYFUNCTION("""COMPUTED_VALUE"""),150.92)</f>
        <v>150.92</v>
      </c>
      <c r="D380" s="1">
        <f>IFERROR(__xludf.DUMMYFUNCTION("""COMPUTED_VALUE"""),145.77)</f>
        <v>145.77</v>
      </c>
      <c r="E380" s="1">
        <f>IFERROR(__xludf.DUMMYFUNCTION("""COMPUTED_VALUE"""),146.63)</f>
        <v>146.63</v>
      </c>
      <c r="F380" s="1">
        <f>IFERROR(__xludf.DUMMYFUNCTION("""COMPUTED_VALUE"""),6.8826442E7)</f>
        <v>68826442</v>
      </c>
    </row>
    <row r="381">
      <c r="A381" s="2">
        <f>IFERROR(__xludf.DUMMYFUNCTION("""COMPUTED_VALUE"""),44901.66666666667)</f>
        <v>44901.66667</v>
      </c>
      <c r="B381" s="1">
        <f>IFERROR(__xludf.DUMMYFUNCTION("""COMPUTED_VALUE"""),147.07)</f>
        <v>147.07</v>
      </c>
      <c r="C381" s="1">
        <f>IFERROR(__xludf.DUMMYFUNCTION("""COMPUTED_VALUE"""),147.3)</f>
        <v>147.3</v>
      </c>
      <c r="D381" s="1">
        <f>IFERROR(__xludf.DUMMYFUNCTION("""COMPUTED_VALUE"""),141.92)</f>
        <v>141.92</v>
      </c>
      <c r="E381" s="1">
        <f>IFERROR(__xludf.DUMMYFUNCTION("""COMPUTED_VALUE"""),142.91)</f>
        <v>142.91</v>
      </c>
      <c r="F381" s="1">
        <f>IFERROR(__xludf.DUMMYFUNCTION("""COMPUTED_VALUE"""),6.4727186E7)</f>
        <v>64727186</v>
      </c>
    </row>
    <row r="382">
      <c r="A382" s="2">
        <f>IFERROR(__xludf.DUMMYFUNCTION("""COMPUTED_VALUE"""),44902.66666666667)</f>
        <v>44902.66667</v>
      </c>
      <c r="B382" s="1">
        <f>IFERROR(__xludf.DUMMYFUNCTION("""COMPUTED_VALUE"""),142.19)</f>
        <v>142.19</v>
      </c>
      <c r="C382" s="1">
        <f>IFERROR(__xludf.DUMMYFUNCTION("""COMPUTED_VALUE"""),143.37)</f>
        <v>143.37</v>
      </c>
      <c r="D382" s="1">
        <f>IFERROR(__xludf.DUMMYFUNCTION("""COMPUTED_VALUE"""),140.0)</f>
        <v>140</v>
      </c>
      <c r="E382" s="1">
        <f>IFERROR(__xludf.DUMMYFUNCTION("""COMPUTED_VALUE"""),140.94)</f>
        <v>140.94</v>
      </c>
      <c r="F382" s="1">
        <f>IFERROR(__xludf.DUMMYFUNCTION("""COMPUTED_VALUE"""),6.9721094E7)</f>
        <v>69721094</v>
      </c>
    </row>
    <row r="383">
      <c r="A383" s="2">
        <f>IFERROR(__xludf.DUMMYFUNCTION("""COMPUTED_VALUE"""),44903.66666666667)</f>
        <v>44903.66667</v>
      </c>
      <c r="B383" s="1">
        <f>IFERROR(__xludf.DUMMYFUNCTION("""COMPUTED_VALUE"""),142.36)</f>
        <v>142.36</v>
      </c>
      <c r="C383" s="1">
        <f>IFERROR(__xludf.DUMMYFUNCTION("""COMPUTED_VALUE"""),143.52)</f>
        <v>143.52</v>
      </c>
      <c r="D383" s="1">
        <f>IFERROR(__xludf.DUMMYFUNCTION("""COMPUTED_VALUE"""),141.1)</f>
        <v>141.1</v>
      </c>
      <c r="E383" s="1">
        <f>IFERROR(__xludf.DUMMYFUNCTION("""COMPUTED_VALUE"""),142.65)</f>
        <v>142.65</v>
      </c>
      <c r="F383" s="1">
        <f>IFERROR(__xludf.DUMMYFUNCTION("""COMPUTED_VALUE"""),6.2128338E7)</f>
        <v>62128338</v>
      </c>
    </row>
    <row r="384">
      <c r="A384" s="2">
        <f>IFERROR(__xludf.DUMMYFUNCTION("""COMPUTED_VALUE"""),44904.66666666667)</f>
        <v>44904.66667</v>
      </c>
      <c r="B384" s="1">
        <f>IFERROR(__xludf.DUMMYFUNCTION("""COMPUTED_VALUE"""),142.34)</f>
        <v>142.34</v>
      </c>
      <c r="C384" s="1">
        <f>IFERROR(__xludf.DUMMYFUNCTION("""COMPUTED_VALUE"""),145.57)</f>
        <v>145.57</v>
      </c>
      <c r="D384" s="1">
        <f>IFERROR(__xludf.DUMMYFUNCTION("""COMPUTED_VALUE"""),140.9)</f>
        <v>140.9</v>
      </c>
      <c r="E384" s="1">
        <f>IFERROR(__xludf.DUMMYFUNCTION("""COMPUTED_VALUE"""),142.16)</f>
        <v>142.16</v>
      </c>
      <c r="F384" s="1">
        <f>IFERROR(__xludf.DUMMYFUNCTION("""COMPUTED_VALUE"""),7.6097011E7)</f>
        <v>76097011</v>
      </c>
    </row>
    <row r="385">
      <c r="A385" s="2">
        <f>IFERROR(__xludf.DUMMYFUNCTION("""COMPUTED_VALUE"""),44907.66666666667)</f>
        <v>44907.66667</v>
      </c>
      <c r="B385" s="1">
        <f>IFERROR(__xludf.DUMMYFUNCTION("""COMPUTED_VALUE"""),142.7)</f>
        <v>142.7</v>
      </c>
      <c r="C385" s="1">
        <f>IFERROR(__xludf.DUMMYFUNCTION("""COMPUTED_VALUE"""),144.5)</f>
        <v>144.5</v>
      </c>
      <c r="D385" s="1">
        <f>IFERROR(__xludf.DUMMYFUNCTION("""COMPUTED_VALUE"""),141.06)</f>
        <v>141.06</v>
      </c>
      <c r="E385" s="1">
        <f>IFERROR(__xludf.DUMMYFUNCTION("""COMPUTED_VALUE"""),144.49)</f>
        <v>144.49</v>
      </c>
      <c r="F385" s="1">
        <f>IFERROR(__xludf.DUMMYFUNCTION("""COMPUTED_VALUE"""),7.0462654E7)</f>
        <v>70462654</v>
      </c>
    </row>
    <row r="386">
      <c r="A386" s="2">
        <f>IFERROR(__xludf.DUMMYFUNCTION("""COMPUTED_VALUE"""),44908.66666666667)</f>
        <v>44908.66667</v>
      </c>
      <c r="B386" s="1">
        <f>IFERROR(__xludf.DUMMYFUNCTION("""COMPUTED_VALUE"""),149.5)</f>
        <v>149.5</v>
      </c>
      <c r="C386" s="1">
        <f>IFERROR(__xludf.DUMMYFUNCTION("""COMPUTED_VALUE"""),149.97)</f>
        <v>149.97</v>
      </c>
      <c r="D386" s="1">
        <f>IFERROR(__xludf.DUMMYFUNCTION("""COMPUTED_VALUE"""),144.24)</f>
        <v>144.24</v>
      </c>
      <c r="E386" s="1">
        <f>IFERROR(__xludf.DUMMYFUNCTION("""COMPUTED_VALUE"""),145.47)</f>
        <v>145.47</v>
      </c>
      <c r="F386" s="1">
        <f>IFERROR(__xludf.DUMMYFUNCTION("""COMPUTED_VALUE"""),9.3886161E7)</f>
        <v>93886161</v>
      </c>
    </row>
    <row r="387">
      <c r="A387" s="2">
        <f>IFERROR(__xludf.DUMMYFUNCTION("""COMPUTED_VALUE"""),44909.66666666667)</f>
        <v>44909.66667</v>
      </c>
      <c r="B387" s="1">
        <f>IFERROR(__xludf.DUMMYFUNCTION("""COMPUTED_VALUE"""),145.35)</f>
        <v>145.35</v>
      </c>
      <c r="C387" s="1">
        <f>IFERROR(__xludf.DUMMYFUNCTION("""COMPUTED_VALUE"""),146.66)</f>
        <v>146.66</v>
      </c>
      <c r="D387" s="1">
        <f>IFERROR(__xludf.DUMMYFUNCTION("""COMPUTED_VALUE"""),141.16)</f>
        <v>141.16</v>
      </c>
      <c r="E387" s="1">
        <f>IFERROR(__xludf.DUMMYFUNCTION("""COMPUTED_VALUE"""),143.21)</f>
        <v>143.21</v>
      </c>
      <c r="F387" s="1">
        <f>IFERROR(__xludf.DUMMYFUNCTION("""COMPUTED_VALUE"""),8.2291182E7)</f>
        <v>82291182</v>
      </c>
    </row>
    <row r="388">
      <c r="A388" s="2">
        <f>IFERROR(__xludf.DUMMYFUNCTION("""COMPUTED_VALUE"""),44910.66666666667)</f>
        <v>44910.66667</v>
      </c>
      <c r="B388" s="1">
        <f>IFERROR(__xludf.DUMMYFUNCTION("""COMPUTED_VALUE"""),141.11)</f>
        <v>141.11</v>
      </c>
      <c r="C388" s="1">
        <f>IFERROR(__xludf.DUMMYFUNCTION("""COMPUTED_VALUE"""),141.8)</f>
        <v>141.8</v>
      </c>
      <c r="D388" s="1">
        <f>IFERROR(__xludf.DUMMYFUNCTION("""COMPUTED_VALUE"""),136.03)</f>
        <v>136.03</v>
      </c>
      <c r="E388" s="1">
        <f>IFERROR(__xludf.DUMMYFUNCTION("""COMPUTED_VALUE"""),136.5)</f>
        <v>136.5</v>
      </c>
      <c r="F388" s="1">
        <f>IFERROR(__xludf.DUMMYFUNCTION("""COMPUTED_VALUE"""),9.8931907E7)</f>
        <v>98931907</v>
      </c>
    </row>
    <row r="389">
      <c r="A389" s="2">
        <f>IFERROR(__xludf.DUMMYFUNCTION("""COMPUTED_VALUE"""),44911.66666666667)</f>
        <v>44911.66667</v>
      </c>
      <c r="B389" s="1">
        <f>IFERROR(__xludf.DUMMYFUNCTION("""COMPUTED_VALUE"""),136.69)</f>
        <v>136.69</v>
      </c>
      <c r="C389" s="1">
        <f>IFERROR(__xludf.DUMMYFUNCTION("""COMPUTED_VALUE"""),137.65)</f>
        <v>137.65</v>
      </c>
      <c r="D389" s="1">
        <f>IFERROR(__xludf.DUMMYFUNCTION("""COMPUTED_VALUE"""),133.73)</f>
        <v>133.73</v>
      </c>
      <c r="E389" s="1">
        <f>IFERROR(__xludf.DUMMYFUNCTION("""COMPUTED_VALUE"""),134.51)</f>
        <v>134.51</v>
      </c>
      <c r="F389" s="1">
        <f>IFERROR(__xludf.DUMMYFUNCTION("""COMPUTED_VALUE"""),1.601569E8)</f>
        <v>160156900</v>
      </c>
    </row>
    <row r="390">
      <c r="A390" s="2">
        <f>IFERROR(__xludf.DUMMYFUNCTION("""COMPUTED_VALUE"""),44914.66666666667)</f>
        <v>44914.66667</v>
      </c>
      <c r="B390" s="1">
        <f>IFERROR(__xludf.DUMMYFUNCTION("""COMPUTED_VALUE"""),135.11)</f>
        <v>135.11</v>
      </c>
      <c r="C390" s="1">
        <f>IFERROR(__xludf.DUMMYFUNCTION("""COMPUTED_VALUE"""),135.2)</f>
        <v>135.2</v>
      </c>
      <c r="D390" s="1">
        <f>IFERROR(__xludf.DUMMYFUNCTION("""COMPUTED_VALUE"""),131.32)</f>
        <v>131.32</v>
      </c>
      <c r="E390" s="1">
        <f>IFERROR(__xludf.DUMMYFUNCTION("""COMPUTED_VALUE"""),132.37)</f>
        <v>132.37</v>
      </c>
      <c r="F390" s="1">
        <f>IFERROR(__xludf.DUMMYFUNCTION("""COMPUTED_VALUE"""),7.9592614E7)</f>
        <v>79592614</v>
      </c>
    </row>
    <row r="391">
      <c r="A391" s="2">
        <f>IFERROR(__xludf.DUMMYFUNCTION("""COMPUTED_VALUE"""),44915.66666666667)</f>
        <v>44915.66667</v>
      </c>
      <c r="B391" s="1">
        <f>IFERROR(__xludf.DUMMYFUNCTION("""COMPUTED_VALUE"""),131.39)</f>
        <v>131.39</v>
      </c>
      <c r="C391" s="1">
        <f>IFERROR(__xludf.DUMMYFUNCTION("""COMPUTED_VALUE"""),133.25)</f>
        <v>133.25</v>
      </c>
      <c r="D391" s="1">
        <f>IFERROR(__xludf.DUMMYFUNCTION("""COMPUTED_VALUE"""),129.89)</f>
        <v>129.89</v>
      </c>
      <c r="E391" s="1">
        <f>IFERROR(__xludf.DUMMYFUNCTION("""COMPUTED_VALUE"""),132.3)</f>
        <v>132.3</v>
      </c>
      <c r="F391" s="1">
        <f>IFERROR(__xludf.DUMMYFUNCTION("""COMPUTED_VALUE"""),7.7432819E7)</f>
        <v>77432819</v>
      </c>
    </row>
    <row r="392">
      <c r="A392" s="2">
        <f>IFERROR(__xludf.DUMMYFUNCTION("""COMPUTED_VALUE"""),44916.66666666667)</f>
        <v>44916.66667</v>
      </c>
      <c r="B392" s="1">
        <f>IFERROR(__xludf.DUMMYFUNCTION("""COMPUTED_VALUE"""),132.98)</f>
        <v>132.98</v>
      </c>
      <c r="C392" s="1">
        <f>IFERROR(__xludf.DUMMYFUNCTION("""COMPUTED_VALUE"""),136.81)</f>
        <v>136.81</v>
      </c>
      <c r="D392" s="1">
        <f>IFERROR(__xludf.DUMMYFUNCTION("""COMPUTED_VALUE"""),132.75)</f>
        <v>132.75</v>
      </c>
      <c r="E392" s="1">
        <f>IFERROR(__xludf.DUMMYFUNCTION("""COMPUTED_VALUE"""),135.45)</f>
        <v>135.45</v>
      </c>
      <c r="F392" s="1">
        <f>IFERROR(__xludf.DUMMYFUNCTION("""COMPUTED_VALUE"""),8.5927993E7)</f>
        <v>85927993</v>
      </c>
    </row>
    <row r="393">
      <c r="A393" s="2">
        <f>IFERROR(__xludf.DUMMYFUNCTION("""COMPUTED_VALUE"""),44917.66666666667)</f>
        <v>44917.66667</v>
      </c>
      <c r="B393" s="1">
        <f>IFERROR(__xludf.DUMMYFUNCTION("""COMPUTED_VALUE"""),134.35)</f>
        <v>134.35</v>
      </c>
      <c r="C393" s="1">
        <f>IFERROR(__xludf.DUMMYFUNCTION("""COMPUTED_VALUE"""),134.56)</f>
        <v>134.56</v>
      </c>
      <c r="D393" s="1">
        <f>IFERROR(__xludf.DUMMYFUNCTION("""COMPUTED_VALUE"""),130.3)</f>
        <v>130.3</v>
      </c>
      <c r="E393" s="1">
        <f>IFERROR(__xludf.DUMMYFUNCTION("""COMPUTED_VALUE"""),132.23)</f>
        <v>132.23</v>
      </c>
      <c r="F393" s="1">
        <f>IFERROR(__xludf.DUMMYFUNCTION("""COMPUTED_VALUE"""),7.7852108E7)</f>
        <v>77852108</v>
      </c>
    </row>
    <row r="394">
      <c r="A394" s="2">
        <f>IFERROR(__xludf.DUMMYFUNCTION("""COMPUTED_VALUE"""),44918.66666666667)</f>
        <v>44918.66667</v>
      </c>
      <c r="B394" s="1">
        <f>IFERROR(__xludf.DUMMYFUNCTION("""COMPUTED_VALUE"""),130.92)</f>
        <v>130.92</v>
      </c>
      <c r="C394" s="1">
        <f>IFERROR(__xludf.DUMMYFUNCTION("""COMPUTED_VALUE"""),132.42)</f>
        <v>132.42</v>
      </c>
      <c r="D394" s="1">
        <f>IFERROR(__xludf.DUMMYFUNCTION("""COMPUTED_VALUE"""),129.64)</f>
        <v>129.64</v>
      </c>
      <c r="E394" s="1">
        <f>IFERROR(__xludf.DUMMYFUNCTION("""COMPUTED_VALUE"""),131.86)</f>
        <v>131.86</v>
      </c>
      <c r="F394" s="1">
        <f>IFERROR(__xludf.DUMMYFUNCTION("""COMPUTED_VALUE"""),6.3814893E7)</f>
        <v>63814893</v>
      </c>
    </row>
    <row r="395">
      <c r="A395" s="2">
        <f>IFERROR(__xludf.DUMMYFUNCTION("""COMPUTED_VALUE"""),44922.66666666667)</f>
        <v>44922.66667</v>
      </c>
      <c r="B395" s="1">
        <f>IFERROR(__xludf.DUMMYFUNCTION("""COMPUTED_VALUE"""),131.38)</f>
        <v>131.38</v>
      </c>
      <c r="C395" s="1">
        <f>IFERROR(__xludf.DUMMYFUNCTION("""COMPUTED_VALUE"""),131.41)</f>
        <v>131.41</v>
      </c>
      <c r="D395" s="1">
        <f>IFERROR(__xludf.DUMMYFUNCTION("""COMPUTED_VALUE"""),128.72)</f>
        <v>128.72</v>
      </c>
      <c r="E395" s="1">
        <f>IFERROR(__xludf.DUMMYFUNCTION("""COMPUTED_VALUE"""),130.03)</f>
        <v>130.03</v>
      </c>
      <c r="F395" s="1">
        <f>IFERROR(__xludf.DUMMYFUNCTION("""COMPUTED_VALUE"""),6.900783E7)</f>
        <v>69007830</v>
      </c>
    </row>
    <row r="396">
      <c r="A396" s="2">
        <f>IFERROR(__xludf.DUMMYFUNCTION("""COMPUTED_VALUE"""),44923.66666666667)</f>
        <v>44923.66667</v>
      </c>
      <c r="B396" s="1">
        <f>IFERROR(__xludf.DUMMYFUNCTION("""COMPUTED_VALUE"""),129.67)</f>
        <v>129.67</v>
      </c>
      <c r="C396" s="1">
        <f>IFERROR(__xludf.DUMMYFUNCTION("""COMPUTED_VALUE"""),131.03)</f>
        <v>131.03</v>
      </c>
      <c r="D396" s="1">
        <f>IFERROR(__xludf.DUMMYFUNCTION("""COMPUTED_VALUE"""),125.87)</f>
        <v>125.87</v>
      </c>
      <c r="E396" s="1">
        <f>IFERROR(__xludf.DUMMYFUNCTION("""COMPUTED_VALUE"""),126.04)</f>
        <v>126.04</v>
      </c>
      <c r="F396" s="1">
        <f>IFERROR(__xludf.DUMMYFUNCTION("""COMPUTED_VALUE"""),8.5438391E7)</f>
        <v>85438391</v>
      </c>
    </row>
    <row r="397">
      <c r="A397" s="2">
        <f>IFERROR(__xludf.DUMMYFUNCTION("""COMPUTED_VALUE"""),44924.66666666667)</f>
        <v>44924.66667</v>
      </c>
      <c r="B397" s="1">
        <f>IFERROR(__xludf.DUMMYFUNCTION("""COMPUTED_VALUE"""),127.99)</f>
        <v>127.99</v>
      </c>
      <c r="C397" s="1">
        <f>IFERROR(__xludf.DUMMYFUNCTION("""COMPUTED_VALUE"""),130.48)</f>
        <v>130.48</v>
      </c>
      <c r="D397" s="1">
        <f>IFERROR(__xludf.DUMMYFUNCTION("""COMPUTED_VALUE"""),127.73)</f>
        <v>127.73</v>
      </c>
      <c r="E397" s="1">
        <f>IFERROR(__xludf.DUMMYFUNCTION("""COMPUTED_VALUE"""),129.61)</f>
        <v>129.61</v>
      </c>
      <c r="F397" s="1">
        <f>IFERROR(__xludf.DUMMYFUNCTION("""COMPUTED_VALUE"""),7.570371E7)</f>
        <v>75703710</v>
      </c>
    </row>
    <row r="398">
      <c r="A398" s="2">
        <f>IFERROR(__xludf.DUMMYFUNCTION("""COMPUTED_VALUE"""),44925.66666666667)</f>
        <v>44925.66667</v>
      </c>
      <c r="B398" s="1">
        <f>IFERROR(__xludf.DUMMYFUNCTION("""COMPUTED_VALUE"""),128.41)</f>
        <v>128.41</v>
      </c>
      <c r="C398" s="1">
        <f>IFERROR(__xludf.DUMMYFUNCTION("""COMPUTED_VALUE"""),129.95)</f>
        <v>129.95</v>
      </c>
      <c r="D398" s="1">
        <f>IFERROR(__xludf.DUMMYFUNCTION("""COMPUTED_VALUE"""),127.43)</f>
        <v>127.43</v>
      </c>
      <c r="E398" s="1">
        <f>IFERROR(__xludf.DUMMYFUNCTION("""COMPUTED_VALUE"""),129.93)</f>
        <v>129.93</v>
      </c>
      <c r="F398" s="1">
        <f>IFERROR(__xludf.DUMMYFUNCTION("""COMPUTED_VALUE"""),7.7034209E7)</f>
        <v>77034209</v>
      </c>
    </row>
    <row r="399">
      <c r="A399" s="2">
        <f>IFERROR(__xludf.DUMMYFUNCTION("""COMPUTED_VALUE"""),44929.66666666667)</f>
        <v>44929.66667</v>
      </c>
      <c r="B399" s="1">
        <f>IFERROR(__xludf.DUMMYFUNCTION("""COMPUTED_VALUE"""),130.28)</f>
        <v>130.28</v>
      </c>
      <c r="C399" s="1">
        <f>IFERROR(__xludf.DUMMYFUNCTION("""COMPUTED_VALUE"""),130.9)</f>
        <v>130.9</v>
      </c>
      <c r="D399" s="1">
        <f>IFERROR(__xludf.DUMMYFUNCTION("""COMPUTED_VALUE"""),124.17)</f>
        <v>124.17</v>
      </c>
      <c r="E399" s="1">
        <f>IFERROR(__xludf.DUMMYFUNCTION("""COMPUTED_VALUE"""),125.07)</f>
        <v>125.07</v>
      </c>
      <c r="F399" s="1">
        <f>IFERROR(__xludf.DUMMYFUNCTION("""COMPUTED_VALUE"""),1.12117471E8)</f>
        <v>112117471</v>
      </c>
    </row>
    <row r="400">
      <c r="A400" s="2">
        <f>IFERROR(__xludf.DUMMYFUNCTION("""COMPUTED_VALUE"""),44930.66666666667)</f>
        <v>44930.66667</v>
      </c>
      <c r="B400" s="1">
        <f>IFERROR(__xludf.DUMMYFUNCTION("""COMPUTED_VALUE"""),126.89)</f>
        <v>126.89</v>
      </c>
      <c r="C400" s="1">
        <f>IFERROR(__xludf.DUMMYFUNCTION("""COMPUTED_VALUE"""),128.66)</f>
        <v>128.66</v>
      </c>
      <c r="D400" s="1">
        <f>IFERROR(__xludf.DUMMYFUNCTION("""COMPUTED_VALUE"""),125.08)</f>
        <v>125.08</v>
      </c>
      <c r="E400" s="1">
        <f>IFERROR(__xludf.DUMMYFUNCTION("""COMPUTED_VALUE"""),126.36)</f>
        <v>126.36</v>
      </c>
      <c r="F400" s="1">
        <f>IFERROR(__xludf.DUMMYFUNCTION("""COMPUTED_VALUE"""),8.9113633E7)</f>
        <v>89113633</v>
      </c>
    </row>
    <row r="401">
      <c r="A401" s="2">
        <f>IFERROR(__xludf.DUMMYFUNCTION("""COMPUTED_VALUE"""),44931.66666666667)</f>
        <v>44931.66667</v>
      </c>
      <c r="B401" s="1">
        <f>IFERROR(__xludf.DUMMYFUNCTION("""COMPUTED_VALUE"""),127.13)</f>
        <v>127.13</v>
      </c>
      <c r="C401" s="1">
        <f>IFERROR(__xludf.DUMMYFUNCTION("""COMPUTED_VALUE"""),127.77)</f>
        <v>127.77</v>
      </c>
      <c r="D401" s="1">
        <f>IFERROR(__xludf.DUMMYFUNCTION("""COMPUTED_VALUE"""),124.76)</f>
        <v>124.76</v>
      </c>
      <c r="E401" s="1">
        <f>IFERROR(__xludf.DUMMYFUNCTION("""COMPUTED_VALUE"""),125.02)</f>
        <v>125.02</v>
      </c>
      <c r="F401" s="1">
        <f>IFERROR(__xludf.DUMMYFUNCTION("""COMPUTED_VALUE"""),8.0962708E7)</f>
        <v>80962708</v>
      </c>
    </row>
    <row r="402">
      <c r="A402" s="2">
        <f>IFERROR(__xludf.DUMMYFUNCTION("""COMPUTED_VALUE"""),44932.66666666667)</f>
        <v>44932.66667</v>
      </c>
      <c r="B402" s="1">
        <f>IFERROR(__xludf.DUMMYFUNCTION("""COMPUTED_VALUE"""),126.01)</f>
        <v>126.01</v>
      </c>
      <c r="C402" s="1">
        <f>IFERROR(__xludf.DUMMYFUNCTION("""COMPUTED_VALUE"""),130.29)</f>
        <v>130.29</v>
      </c>
      <c r="D402" s="1">
        <f>IFERROR(__xludf.DUMMYFUNCTION("""COMPUTED_VALUE"""),124.89)</f>
        <v>124.89</v>
      </c>
      <c r="E402" s="1">
        <f>IFERROR(__xludf.DUMMYFUNCTION("""COMPUTED_VALUE"""),129.62)</f>
        <v>129.62</v>
      </c>
      <c r="F402" s="1">
        <f>IFERROR(__xludf.DUMMYFUNCTION("""COMPUTED_VALUE"""),8.7754715E7)</f>
        <v>87754715</v>
      </c>
    </row>
    <row r="403">
      <c r="A403" s="2">
        <f>IFERROR(__xludf.DUMMYFUNCTION("""COMPUTED_VALUE"""),44935.66666666667)</f>
        <v>44935.66667</v>
      </c>
      <c r="B403" s="1">
        <f>IFERROR(__xludf.DUMMYFUNCTION("""COMPUTED_VALUE"""),130.47)</f>
        <v>130.47</v>
      </c>
      <c r="C403" s="1">
        <f>IFERROR(__xludf.DUMMYFUNCTION("""COMPUTED_VALUE"""),133.41)</f>
        <v>133.41</v>
      </c>
      <c r="D403" s="1">
        <f>IFERROR(__xludf.DUMMYFUNCTION("""COMPUTED_VALUE"""),129.89)</f>
        <v>129.89</v>
      </c>
      <c r="E403" s="1">
        <f>IFERROR(__xludf.DUMMYFUNCTION("""COMPUTED_VALUE"""),130.15)</f>
        <v>130.15</v>
      </c>
      <c r="F403" s="1">
        <f>IFERROR(__xludf.DUMMYFUNCTION("""COMPUTED_VALUE"""),7.0790813E7)</f>
        <v>70790813</v>
      </c>
    </row>
    <row r="404">
      <c r="A404" s="2">
        <f>IFERROR(__xludf.DUMMYFUNCTION("""COMPUTED_VALUE"""),44936.66666666667)</f>
        <v>44936.66667</v>
      </c>
      <c r="B404" s="1">
        <f>IFERROR(__xludf.DUMMYFUNCTION("""COMPUTED_VALUE"""),130.26)</f>
        <v>130.26</v>
      </c>
      <c r="C404" s="1">
        <f>IFERROR(__xludf.DUMMYFUNCTION("""COMPUTED_VALUE"""),131.26)</f>
        <v>131.26</v>
      </c>
      <c r="D404" s="1">
        <f>IFERROR(__xludf.DUMMYFUNCTION("""COMPUTED_VALUE"""),128.12)</f>
        <v>128.12</v>
      </c>
      <c r="E404" s="1">
        <f>IFERROR(__xludf.DUMMYFUNCTION("""COMPUTED_VALUE"""),130.73)</f>
        <v>130.73</v>
      </c>
      <c r="F404" s="1">
        <f>IFERROR(__xludf.DUMMYFUNCTION("""COMPUTED_VALUE"""),6.3896155E7)</f>
        <v>63896155</v>
      </c>
    </row>
    <row r="405">
      <c r="A405" s="2">
        <f>IFERROR(__xludf.DUMMYFUNCTION("""COMPUTED_VALUE"""),44937.66666666667)</f>
        <v>44937.66667</v>
      </c>
      <c r="B405" s="1">
        <f>IFERROR(__xludf.DUMMYFUNCTION("""COMPUTED_VALUE"""),131.25)</f>
        <v>131.25</v>
      </c>
      <c r="C405" s="1">
        <f>IFERROR(__xludf.DUMMYFUNCTION("""COMPUTED_VALUE"""),133.51)</f>
        <v>133.51</v>
      </c>
      <c r="D405" s="1">
        <f>IFERROR(__xludf.DUMMYFUNCTION("""COMPUTED_VALUE"""),130.46)</f>
        <v>130.46</v>
      </c>
      <c r="E405" s="1">
        <f>IFERROR(__xludf.DUMMYFUNCTION("""COMPUTED_VALUE"""),133.49)</f>
        <v>133.49</v>
      </c>
      <c r="F405" s="1">
        <f>IFERROR(__xludf.DUMMYFUNCTION("""COMPUTED_VALUE"""),6.9458949E7)</f>
        <v>69458949</v>
      </c>
    </row>
    <row r="406">
      <c r="A406" s="2">
        <f>IFERROR(__xludf.DUMMYFUNCTION("""COMPUTED_VALUE"""),44938.66666666667)</f>
        <v>44938.66667</v>
      </c>
      <c r="B406" s="1">
        <f>IFERROR(__xludf.DUMMYFUNCTION("""COMPUTED_VALUE"""),133.88)</f>
        <v>133.88</v>
      </c>
      <c r="C406" s="1">
        <f>IFERROR(__xludf.DUMMYFUNCTION("""COMPUTED_VALUE"""),134.26)</f>
        <v>134.26</v>
      </c>
      <c r="D406" s="1">
        <f>IFERROR(__xludf.DUMMYFUNCTION("""COMPUTED_VALUE"""),131.44)</f>
        <v>131.44</v>
      </c>
      <c r="E406" s="1">
        <f>IFERROR(__xludf.DUMMYFUNCTION("""COMPUTED_VALUE"""),133.41)</f>
        <v>133.41</v>
      </c>
      <c r="F406" s="1">
        <f>IFERROR(__xludf.DUMMYFUNCTION("""COMPUTED_VALUE"""),7.1379648E7)</f>
        <v>71379648</v>
      </c>
    </row>
    <row r="407">
      <c r="A407" s="2">
        <f>IFERROR(__xludf.DUMMYFUNCTION("""COMPUTED_VALUE"""),44939.66666666667)</f>
        <v>44939.66667</v>
      </c>
      <c r="B407" s="1">
        <f>IFERROR(__xludf.DUMMYFUNCTION("""COMPUTED_VALUE"""),132.03)</f>
        <v>132.03</v>
      </c>
      <c r="C407" s="1">
        <f>IFERROR(__xludf.DUMMYFUNCTION("""COMPUTED_VALUE"""),134.92)</f>
        <v>134.92</v>
      </c>
      <c r="D407" s="1">
        <f>IFERROR(__xludf.DUMMYFUNCTION("""COMPUTED_VALUE"""),131.66)</f>
        <v>131.66</v>
      </c>
      <c r="E407" s="1">
        <f>IFERROR(__xludf.DUMMYFUNCTION("""COMPUTED_VALUE"""),134.76)</f>
        <v>134.76</v>
      </c>
      <c r="F407" s="1">
        <f>IFERROR(__xludf.DUMMYFUNCTION("""COMPUTED_VALUE"""),5.7809719E7)</f>
        <v>57809719</v>
      </c>
    </row>
    <row r="408">
      <c r="A408" s="2">
        <f>IFERROR(__xludf.DUMMYFUNCTION("""COMPUTED_VALUE"""),44943.66666666667)</f>
        <v>44943.66667</v>
      </c>
      <c r="B408" s="1">
        <f>IFERROR(__xludf.DUMMYFUNCTION("""COMPUTED_VALUE"""),134.83)</f>
        <v>134.83</v>
      </c>
      <c r="C408" s="1">
        <f>IFERROR(__xludf.DUMMYFUNCTION("""COMPUTED_VALUE"""),137.29)</f>
        <v>137.29</v>
      </c>
      <c r="D408" s="1">
        <f>IFERROR(__xludf.DUMMYFUNCTION("""COMPUTED_VALUE"""),134.13)</f>
        <v>134.13</v>
      </c>
      <c r="E408" s="1">
        <f>IFERROR(__xludf.DUMMYFUNCTION("""COMPUTED_VALUE"""),135.94)</f>
        <v>135.94</v>
      </c>
      <c r="F408" s="1">
        <f>IFERROR(__xludf.DUMMYFUNCTION("""COMPUTED_VALUE"""),6.3646627E7)</f>
        <v>63646627</v>
      </c>
    </row>
    <row r="409">
      <c r="A409" s="2">
        <f>IFERROR(__xludf.DUMMYFUNCTION("""COMPUTED_VALUE"""),44944.66666666667)</f>
        <v>44944.66667</v>
      </c>
      <c r="B409" s="1">
        <f>IFERROR(__xludf.DUMMYFUNCTION("""COMPUTED_VALUE"""),136.82)</f>
        <v>136.82</v>
      </c>
      <c r="C409" s="1">
        <f>IFERROR(__xludf.DUMMYFUNCTION("""COMPUTED_VALUE"""),138.61)</f>
        <v>138.61</v>
      </c>
      <c r="D409" s="1">
        <f>IFERROR(__xludf.DUMMYFUNCTION("""COMPUTED_VALUE"""),135.03)</f>
        <v>135.03</v>
      </c>
      <c r="E409" s="1">
        <f>IFERROR(__xludf.DUMMYFUNCTION("""COMPUTED_VALUE"""),135.21)</f>
        <v>135.21</v>
      </c>
      <c r="F409" s="1">
        <f>IFERROR(__xludf.DUMMYFUNCTION("""COMPUTED_VALUE"""),6.96728E7)</f>
        <v>69672800</v>
      </c>
    </row>
    <row r="410">
      <c r="A410" s="2">
        <f>IFERROR(__xludf.DUMMYFUNCTION("""COMPUTED_VALUE"""),44945.66666666667)</f>
        <v>44945.66667</v>
      </c>
      <c r="B410" s="1">
        <f>IFERROR(__xludf.DUMMYFUNCTION("""COMPUTED_VALUE"""),134.08)</f>
        <v>134.08</v>
      </c>
      <c r="C410" s="1">
        <f>IFERROR(__xludf.DUMMYFUNCTION("""COMPUTED_VALUE"""),136.25)</f>
        <v>136.25</v>
      </c>
      <c r="D410" s="1">
        <f>IFERROR(__xludf.DUMMYFUNCTION("""COMPUTED_VALUE"""),133.77)</f>
        <v>133.77</v>
      </c>
      <c r="E410" s="1">
        <f>IFERROR(__xludf.DUMMYFUNCTION("""COMPUTED_VALUE"""),135.27)</f>
        <v>135.27</v>
      </c>
      <c r="F410" s="1">
        <f>IFERROR(__xludf.DUMMYFUNCTION("""COMPUTED_VALUE"""),5.8280413E7)</f>
        <v>58280413</v>
      </c>
    </row>
    <row r="411">
      <c r="A411" s="2">
        <f>IFERROR(__xludf.DUMMYFUNCTION("""COMPUTED_VALUE"""),44946.66666666667)</f>
        <v>44946.66667</v>
      </c>
      <c r="B411" s="1">
        <f>IFERROR(__xludf.DUMMYFUNCTION("""COMPUTED_VALUE"""),135.28)</f>
        <v>135.28</v>
      </c>
      <c r="C411" s="1">
        <f>IFERROR(__xludf.DUMMYFUNCTION("""COMPUTED_VALUE"""),138.02)</f>
        <v>138.02</v>
      </c>
      <c r="D411" s="1">
        <f>IFERROR(__xludf.DUMMYFUNCTION("""COMPUTED_VALUE"""),134.22)</f>
        <v>134.22</v>
      </c>
      <c r="E411" s="1">
        <f>IFERROR(__xludf.DUMMYFUNCTION("""COMPUTED_VALUE"""),137.87)</f>
        <v>137.87</v>
      </c>
      <c r="F411" s="1">
        <f>IFERROR(__xludf.DUMMYFUNCTION("""COMPUTED_VALUE"""),8.0223626E7)</f>
        <v>80223626</v>
      </c>
    </row>
    <row r="412">
      <c r="A412" s="2">
        <f>IFERROR(__xludf.DUMMYFUNCTION("""COMPUTED_VALUE"""),44949.66666666667)</f>
        <v>44949.66667</v>
      </c>
      <c r="B412" s="1">
        <f>IFERROR(__xludf.DUMMYFUNCTION("""COMPUTED_VALUE"""),138.12)</f>
        <v>138.12</v>
      </c>
      <c r="C412" s="1">
        <f>IFERROR(__xludf.DUMMYFUNCTION("""COMPUTED_VALUE"""),143.32)</f>
        <v>143.32</v>
      </c>
      <c r="D412" s="1">
        <f>IFERROR(__xludf.DUMMYFUNCTION("""COMPUTED_VALUE"""),137.9)</f>
        <v>137.9</v>
      </c>
      <c r="E412" s="1">
        <f>IFERROR(__xludf.DUMMYFUNCTION("""COMPUTED_VALUE"""),141.11)</f>
        <v>141.11</v>
      </c>
      <c r="F412" s="1">
        <f>IFERROR(__xludf.DUMMYFUNCTION("""COMPUTED_VALUE"""),8.1760313E7)</f>
        <v>81760313</v>
      </c>
    </row>
    <row r="413">
      <c r="A413" s="2">
        <f>IFERROR(__xludf.DUMMYFUNCTION("""COMPUTED_VALUE"""),44950.66666666667)</f>
        <v>44950.66667</v>
      </c>
      <c r="B413" s="1">
        <f>IFERROR(__xludf.DUMMYFUNCTION("""COMPUTED_VALUE"""),140.31)</f>
        <v>140.31</v>
      </c>
      <c r="C413" s="1">
        <f>IFERROR(__xludf.DUMMYFUNCTION("""COMPUTED_VALUE"""),143.16)</f>
        <v>143.16</v>
      </c>
      <c r="D413" s="1">
        <f>IFERROR(__xludf.DUMMYFUNCTION("""COMPUTED_VALUE"""),140.3)</f>
        <v>140.3</v>
      </c>
      <c r="E413" s="1">
        <f>IFERROR(__xludf.DUMMYFUNCTION("""COMPUTED_VALUE"""),142.53)</f>
        <v>142.53</v>
      </c>
      <c r="F413" s="1">
        <f>IFERROR(__xludf.DUMMYFUNCTION("""COMPUTED_VALUE"""),6.6435142E7)</f>
        <v>66435142</v>
      </c>
    </row>
    <row r="414">
      <c r="A414" s="2">
        <f>IFERROR(__xludf.DUMMYFUNCTION("""COMPUTED_VALUE"""),44951.66666666667)</f>
        <v>44951.66667</v>
      </c>
      <c r="B414" s="1">
        <f>IFERROR(__xludf.DUMMYFUNCTION("""COMPUTED_VALUE"""),140.89)</f>
        <v>140.89</v>
      </c>
      <c r="C414" s="1">
        <f>IFERROR(__xludf.DUMMYFUNCTION("""COMPUTED_VALUE"""),142.43)</f>
        <v>142.43</v>
      </c>
      <c r="D414" s="1">
        <f>IFERROR(__xludf.DUMMYFUNCTION("""COMPUTED_VALUE"""),138.81)</f>
        <v>138.81</v>
      </c>
      <c r="E414" s="1">
        <f>IFERROR(__xludf.DUMMYFUNCTION("""COMPUTED_VALUE"""),141.86)</f>
        <v>141.86</v>
      </c>
      <c r="F414" s="1">
        <f>IFERROR(__xludf.DUMMYFUNCTION("""COMPUTED_VALUE"""),6.5799349E7)</f>
        <v>65799349</v>
      </c>
    </row>
    <row r="415">
      <c r="A415" s="2">
        <f>IFERROR(__xludf.DUMMYFUNCTION("""COMPUTED_VALUE"""),44952.66666666667)</f>
        <v>44952.66667</v>
      </c>
      <c r="B415" s="1">
        <f>IFERROR(__xludf.DUMMYFUNCTION("""COMPUTED_VALUE"""),143.17)</f>
        <v>143.17</v>
      </c>
      <c r="C415" s="1">
        <f>IFERROR(__xludf.DUMMYFUNCTION("""COMPUTED_VALUE"""),144.25)</f>
        <v>144.25</v>
      </c>
      <c r="D415" s="1">
        <f>IFERROR(__xludf.DUMMYFUNCTION("""COMPUTED_VALUE"""),141.9)</f>
        <v>141.9</v>
      </c>
      <c r="E415" s="1">
        <f>IFERROR(__xludf.DUMMYFUNCTION("""COMPUTED_VALUE"""),143.96)</f>
        <v>143.96</v>
      </c>
      <c r="F415" s="1">
        <f>IFERROR(__xludf.DUMMYFUNCTION("""COMPUTED_VALUE"""),5.4105068E7)</f>
        <v>54105068</v>
      </c>
    </row>
    <row r="416">
      <c r="A416" s="2">
        <f>IFERROR(__xludf.DUMMYFUNCTION("""COMPUTED_VALUE"""),44953.66666666667)</f>
        <v>44953.66667</v>
      </c>
      <c r="B416" s="1">
        <f>IFERROR(__xludf.DUMMYFUNCTION("""COMPUTED_VALUE"""),143.16)</f>
        <v>143.16</v>
      </c>
      <c r="C416" s="1">
        <f>IFERROR(__xludf.DUMMYFUNCTION("""COMPUTED_VALUE"""),147.23)</f>
        <v>147.23</v>
      </c>
      <c r="D416" s="1">
        <f>IFERROR(__xludf.DUMMYFUNCTION("""COMPUTED_VALUE"""),143.08)</f>
        <v>143.08</v>
      </c>
      <c r="E416" s="1">
        <f>IFERROR(__xludf.DUMMYFUNCTION("""COMPUTED_VALUE"""),145.93)</f>
        <v>145.93</v>
      </c>
      <c r="F416" s="1">
        <f>IFERROR(__xludf.DUMMYFUNCTION("""COMPUTED_VALUE"""),7.0555843E7)</f>
        <v>70555843</v>
      </c>
    </row>
    <row r="417">
      <c r="A417" s="2">
        <f>IFERROR(__xludf.DUMMYFUNCTION("""COMPUTED_VALUE"""),44956.66666666667)</f>
        <v>44956.66667</v>
      </c>
      <c r="B417" s="1">
        <f>IFERROR(__xludf.DUMMYFUNCTION("""COMPUTED_VALUE"""),144.96)</f>
        <v>144.96</v>
      </c>
      <c r="C417" s="1">
        <f>IFERROR(__xludf.DUMMYFUNCTION("""COMPUTED_VALUE"""),145.55)</f>
        <v>145.55</v>
      </c>
      <c r="D417" s="1">
        <f>IFERROR(__xludf.DUMMYFUNCTION("""COMPUTED_VALUE"""),142.85)</f>
        <v>142.85</v>
      </c>
      <c r="E417" s="1">
        <f>IFERROR(__xludf.DUMMYFUNCTION("""COMPUTED_VALUE"""),143.0)</f>
        <v>143</v>
      </c>
      <c r="F417" s="1">
        <f>IFERROR(__xludf.DUMMYFUNCTION("""COMPUTED_VALUE"""),6.4015274E7)</f>
        <v>64015274</v>
      </c>
    </row>
    <row r="418">
      <c r="A418" s="2">
        <f>IFERROR(__xludf.DUMMYFUNCTION("""COMPUTED_VALUE"""),44957.66666666667)</f>
        <v>44957.66667</v>
      </c>
      <c r="B418" s="1">
        <f>IFERROR(__xludf.DUMMYFUNCTION("""COMPUTED_VALUE"""),142.7)</f>
        <v>142.7</v>
      </c>
      <c r="C418" s="1">
        <f>IFERROR(__xludf.DUMMYFUNCTION("""COMPUTED_VALUE"""),144.34)</f>
        <v>144.34</v>
      </c>
      <c r="D418" s="1">
        <f>IFERROR(__xludf.DUMMYFUNCTION("""COMPUTED_VALUE"""),142.28)</f>
        <v>142.28</v>
      </c>
      <c r="E418" s="1">
        <f>IFERROR(__xludf.DUMMYFUNCTION("""COMPUTED_VALUE"""),144.29)</f>
        <v>144.29</v>
      </c>
      <c r="F418" s="1">
        <f>IFERROR(__xludf.DUMMYFUNCTION("""COMPUTED_VALUE"""),6.5874459E7)</f>
        <v>65874459</v>
      </c>
    </row>
    <row r="419">
      <c r="A419" s="2">
        <f>IFERROR(__xludf.DUMMYFUNCTION("""COMPUTED_VALUE"""),44958.66666666667)</f>
        <v>44958.66667</v>
      </c>
      <c r="B419" s="1">
        <f>IFERROR(__xludf.DUMMYFUNCTION("""COMPUTED_VALUE"""),143.97)</f>
        <v>143.97</v>
      </c>
      <c r="C419" s="1">
        <f>IFERROR(__xludf.DUMMYFUNCTION("""COMPUTED_VALUE"""),146.61)</f>
        <v>146.61</v>
      </c>
      <c r="D419" s="1">
        <f>IFERROR(__xludf.DUMMYFUNCTION("""COMPUTED_VALUE"""),141.32)</f>
        <v>141.32</v>
      </c>
      <c r="E419" s="1">
        <f>IFERROR(__xludf.DUMMYFUNCTION("""COMPUTED_VALUE"""),145.43)</f>
        <v>145.43</v>
      </c>
      <c r="F419" s="1">
        <f>IFERROR(__xludf.DUMMYFUNCTION("""COMPUTED_VALUE"""),7.7663633E7)</f>
        <v>77663633</v>
      </c>
    </row>
    <row r="420">
      <c r="A420" s="2">
        <f>IFERROR(__xludf.DUMMYFUNCTION("""COMPUTED_VALUE"""),44959.66666666667)</f>
        <v>44959.66667</v>
      </c>
      <c r="B420" s="1">
        <f>IFERROR(__xludf.DUMMYFUNCTION("""COMPUTED_VALUE"""),148.9)</f>
        <v>148.9</v>
      </c>
      <c r="C420" s="1">
        <f>IFERROR(__xludf.DUMMYFUNCTION("""COMPUTED_VALUE"""),151.18)</f>
        <v>151.18</v>
      </c>
      <c r="D420" s="1">
        <f>IFERROR(__xludf.DUMMYFUNCTION("""COMPUTED_VALUE"""),148.17)</f>
        <v>148.17</v>
      </c>
      <c r="E420" s="1">
        <f>IFERROR(__xludf.DUMMYFUNCTION("""COMPUTED_VALUE"""),150.82)</f>
        <v>150.82</v>
      </c>
      <c r="F420" s="1">
        <f>IFERROR(__xludf.DUMMYFUNCTION("""COMPUTED_VALUE"""),1.1833898E8)</f>
        <v>118338980</v>
      </c>
    </row>
    <row r="421">
      <c r="A421" s="2">
        <f>IFERROR(__xludf.DUMMYFUNCTION("""COMPUTED_VALUE"""),44960.66666666667)</f>
        <v>44960.66667</v>
      </c>
      <c r="B421" s="1">
        <f>IFERROR(__xludf.DUMMYFUNCTION("""COMPUTED_VALUE"""),148.03)</f>
        <v>148.03</v>
      </c>
      <c r="C421" s="1">
        <f>IFERROR(__xludf.DUMMYFUNCTION("""COMPUTED_VALUE"""),157.38)</f>
        <v>157.38</v>
      </c>
      <c r="D421" s="1">
        <f>IFERROR(__xludf.DUMMYFUNCTION("""COMPUTED_VALUE"""),147.83)</f>
        <v>147.83</v>
      </c>
      <c r="E421" s="1">
        <f>IFERROR(__xludf.DUMMYFUNCTION("""COMPUTED_VALUE"""),154.5)</f>
        <v>154.5</v>
      </c>
      <c r="F421" s="1">
        <f>IFERROR(__xludf.DUMMYFUNCTION("""COMPUTED_VALUE"""),1.54357337E8)</f>
        <v>154357337</v>
      </c>
    </row>
    <row r="422">
      <c r="A422" s="2">
        <f>IFERROR(__xludf.DUMMYFUNCTION("""COMPUTED_VALUE"""),44963.66666666667)</f>
        <v>44963.66667</v>
      </c>
      <c r="B422" s="1">
        <f>IFERROR(__xludf.DUMMYFUNCTION("""COMPUTED_VALUE"""),152.57)</f>
        <v>152.57</v>
      </c>
      <c r="C422" s="1">
        <f>IFERROR(__xludf.DUMMYFUNCTION("""COMPUTED_VALUE"""),153.1)</f>
        <v>153.1</v>
      </c>
      <c r="D422" s="1">
        <f>IFERROR(__xludf.DUMMYFUNCTION("""COMPUTED_VALUE"""),150.78)</f>
        <v>150.78</v>
      </c>
      <c r="E422" s="1">
        <f>IFERROR(__xludf.DUMMYFUNCTION("""COMPUTED_VALUE"""),151.73)</f>
        <v>151.73</v>
      </c>
      <c r="F422" s="1">
        <f>IFERROR(__xludf.DUMMYFUNCTION("""COMPUTED_VALUE"""),6.9858306E7)</f>
        <v>69858306</v>
      </c>
    </row>
    <row r="423">
      <c r="A423" s="2">
        <f>IFERROR(__xludf.DUMMYFUNCTION("""COMPUTED_VALUE"""),44964.66666666667)</f>
        <v>44964.66667</v>
      </c>
      <c r="B423" s="1">
        <f>IFERROR(__xludf.DUMMYFUNCTION("""COMPUTED_VALUE"""),150.64)</f>
        <v>150.64</v>
      </c>
      <c r="C423" s="1">
        <f>IFERROR(__xludf.DUMMYFUNCTION("""COMPUTED_VALUE"""),155.23)</f>
        <v>155.23</v>
      </c>
      <c r="D423" s="1">
        <f>IFERROR(__xludf.DUMMYFUNCTION("""COMPUTED_VALUE"""),150.64)</f>
        <v>150.64</v>
      </c>
      <c r="E423" s="1">
        <f>IFERROR(__xludf.DUMMYFUNCTION("""COMPUTED_VALUE"""),154.65)</f>
        <v>154.65</v>
      </c>
      <c r="F423" s="1">
        <f>IFERROR(__xludf.DUMMYFUNCTION("""COMPUTED_VALUE"""),8.3322551E7)</f>
        <v>83322551</v>
      </c>
    </row>
    <row r="424">
      <c r="A424" s="2">
        <f>IFERROR(__xludf.DUMMYFUNCTION("""COMPUTED_VALUE"""),44965.66666666667)</f>
        <v>44965.66667</v>
      </c>
      <c r="B424" s="1">
        <f>IFERROR(__xludf.DUMMYFUNCTION("""COMPUTED_VALUE"""),153.88)</f>
        <v>153.88</v>
      </c>
      <c r="C424" s="1">
        <f>IFERROR(__xludf.DUMMYFUNCTION("""COMPUTED_VALUE"""),154.58)</f>
        <v>154.58</v>
      </c>
      <c r="D424" s="1">
        <f>IFERROR(__xludf.DUMMYFUNCTION("""COMPUTED_VALUE"""),151.17)</f>
        <v>151.17</v>
      </c>
      <c r="E424" s="1">
        <f>IFERROR(__xludf.DUMMYFUNCTION("""COMPUTED_VALUE"""),151.92)</f>
        <v>151.92</v>
      </c>
      <c r="F424" s="1">
        <f>IFERROR(__xludf.DUMMYFUNCTION("""COMPUTED_VALUE"""),6.4120079E7)</f>
        <v>64120079</v>
      </c>
    </row>
    <row r="425">
      <c r="A425" s="2">
        <f>IFERROR(__xludf.DUMMYFUNCTION("""COMPUTED_VALUE"""),44966.66666666667)</f>
        <v>44966.66667</v>
      </c>
      <c r="B425" s="1">
        <f>IFERROR(__xludf.DUMMYFUNCTION("""COMPUTED_VALUE"""),153.78)</f>
        <v>153.78</v>
      </c>
      <c r="C425" s="1">
        <f>IFERROR(__xludf.DUMMYFUNCTION("""COMPUTED_VALUE"""),154.33)</f>
        <v>154.33</v>
      </c>
      <c r="D425" s="1">
        <f>IFERROR(__xludf.DUMMYFUNCTION("""COMPUTED_VALUE"""),150.42)</f>
        <v>150.42</v>
      </c>
      <c r="E425" s="1">
        <f>IFERROR(__xludf.DUMMYFUNCTION("""COMPUTED_VALUE"""),150.87)</f>
        <v>150.87</v>
      </c>
      <c r="F425" s="1">
        <f>IFERROR(__xludf.DUMMYFUNCTION("""COMPUTED_VALUE"""),5.6007143E7)</f>
        <v>56007143</v>
      </c>
    </row>
    <row r="426">
      <c r="A426" s="2">
        <f>IFERROR(__xludf.DUMMYFUNCTION("""COMPUTED_VALUE"""),44967.66666666667)</f>
        <v>44967.66667</v>
      </c>
      <c r="B426" s="1">
        <f>IFERROR(__xludf.DUMMYFUNCTION("""COMPUTED_VALUE"""),149.46)</f>
        <v>149.46</v>
      </c>
      <c r="C426" s="1">
        <f>IFERROR(__xludf.DUMMYFUNCTION("""COMPUTED_VALUE"""),151.34)</f>
        <v>151.34</v>
      </c>
      <c r="D426" s="1">
        <f>IFERROR(__xludf.DUMMYFUNCTION("""COMPUTED_VALUE"""),149.22)</f>
        <v>149.22</v>
      </c>
      <c r="E426" s="1">
        <f>IFERROR(__xludf.DUMMYFUNCTION("""COMPUTED_VALUE"""),151.01)</f>
        <v>151.01</v>
      </c>
      <c r="F426" s="1">
        <f>IFERROR(__xludf.DUMMYFUNCTION("""COMPUTED_VALUE"""),5.7450708E7)</f>
        <v>57450708</v>
      </c>
    </row>
    <row r="427">
      <c r="A427" s="2">
        <f>IFERROR(__xludf.DUMMYFUNCTION("""COMPUTED_VALUE"""),44970.66666666667)</f>
        <v>44970.66667</v>
      </c>
      <c r="B427" s="1">
        <f>IFERROR(__xludf.DUMMYFUNCTION("""COMPUTED_VALUE"""),150.95)</f>
        <v>150.95</v>
      </c>
      <c r="C427" s="1">
        <f>IFERROR(__xludf.DUMMYFUNCTION("""COMPUTED_VALUE"""),154.26)</f>
        <v>154.26</v>
      </c>
      <c r="D427" s="1">
        <f>IFERROR(__xludf.DUMMYFUNCTION("""COMPUTED_VALUE"""),150.92)</f>
        <v>150.92</v>
      </c>
      <c r="E427" s="1">
        <f>IFERROR(__xludf.DUMMYFUNCTION("""COMPUTED_VALUE"""),153.85)</f>
        <v>153.85</v>
      </c>
      <c r="F427" s="1">
        <f>IFERROR(__xludf.DUMMYFUNCTION("""COMPUTED_VALUE"""),6.2199013E7)</f>
        <v>62199013</v>
      </c>
    </row>
    <row r="428">
      <c r="A428" s="2">
        <f>IFERROR(__xludf.DUMMYFUNCTION("""COMPUTED_VALUE"""),44971.66666666667)</f>
        <v>44971.66667</v>
      </c>
      <c r="B428" s="1">
        <f>IFERROR(__xludf.DUMMYFUNCTION("""COMPUTED_VALUE"""),152.12)</f>
        <v>152.12</v>
      </c>
      <c r="C428" s="1">
        <f>IFERROR(__xludf.DUMMYFUNCTION("""COMPUTED_VALUE"""),153.77)</f>
        <v>153.77</v>
      </c>
      <c r="D428" s="1">
        <f>IFERROR(__xludf.DUMMYFUNCTION("""COMPUTED_VALUE"""),150.86)</f>
        <v>150.86</v>
      </c>
      <c r="E428" s="1">
        <f>IFERROR(__xludf.DUMMYFUNCTION("""COMPUTED_VALUE"""),153.2)</f>
        <v>153.2</v>
      </c>
      <c r="F428" s="1">
        <f>IFERROR(__xludf.DUMMYFUNCTION("""COMPUTED_VALUE"""),6.1707573E7)</f>
        <v>61707573</v>
      </c>
    </row>
    <row r="429">
      <c r="A429" s="2">
        <f>IFERROR(__xludf.DUMMYFUNCTION("""COMPUTED_VALUE"""),44972.66666666667)</f>
        <v>44972.66667</v>
      </c>
      <c r="B429" s="1">
        <f>IFERROR(__xludf.DUMMYFUNCTION("""COMPUTED_VALUE"""),153.11)</f>
        <v>153.11</v>
      </c>
      <c r="C429" s="1">
        <f>IFERROR(__xludf.DUMMYFUNCTION("""COMPUTED_VALUE"""),155.5)</f>
        <v>155.5</v>
      </c>
      <c r="D429" s="1">
        <f>IFERROR(__xludf.DUMMYFUNCTION("""COMPUTED_VALUE"""),152.88)</f>
        <v>152.88</v>
      </c>
      <c r="E429" s="1">
        <f>IFERROR(__xludf.DUMMYFUNCTION("""COMPUTED_VALUE"""),155.33)</f>
        <v>155.33</v>
      </c>
      <c r="F429" s="1">
        <f>IFERROR(__xludf.DUMMYFUNCTION("""COMPUTED_VALUE"""),6.5669252E7)</f>
        <v>65669252</v>
      </c>
    </row>
    <row r="430">
      <c r="A430" s="2">
        <f>IFERROR(__xludf.DUMMYFUNCTION("""COMPUTED_VALUE"""),44973.66666666667)</f>
        <v>44973.66667</v>
      </c>
      <c r="B430" s="1">
        <f>IFERROR(__xludf.DUMMYFUNCTION("""COMPUTED_VALUE"""),153.51)</f>
        <v>153.51</v>
      </c>
      <c r="C430" s="1">
        <f>IFERROR(__xludf.DUMMYFUNCTION("""COMPUTED_VALUE"""),156.33)</f>
        <v>156.33</v>
      </c>
      <c r="D430" s="1">
        <f>IFERROR(__xludf.DUMMYFUNCTION("""COMPUTED_VALUE"""),153.35)</f>
        <v>153.35</v>
      </c>
      <c r="E430" s="1">
        <f>IFERROR(__xludf.DUMMYFUNCTION("""COMPUTED_VALUE"""),153.71)</f>
        <v>153.71</v>
      </c>
      <c r="F430" s="1">
        <f>IFERROR(__xludf.DUMMYFUNCTION("""COMPUTED_VALUE"""),6.8167942E7)</f>
        <v>68167942</v>
      </c>
    </row>
    <row r="431">
      <c r="A431" s="2">
        <f>IFERROR(__xludf.DUMMYFUNCTION("""COMPUTED_VALUE"""),44974.66666666667)</f>
        <v>44974.66667</v>
      </c>
      <c r="B431" s="1">
        <f>IFERROR(__xludf.DUMMYFUNCTION("""COMPUTED_VALUE"""),152.35)</f>
        <v>152.35</v>
      </c>
      <c r="C431" s="1">
        <f>IFERROR(__xludf.DUMMYFUNCTION("""COMPUTED_VALUE"""),153.0)</f>
        <v>153</v>
      </c>
      <c r="D431" s="1">
        <f>IFERROR(__xludf.DUMMYFUNCTION("""COMPUTED_VALUE"""),150.85)</f>
        <v>150.85</v>
      </c>
      <c r="E431" s="1">
        <f>IFERROR(__xludf.DUMMYFUNCTION("""COMPUTED_VALUE"""),152.55)</f>
        <v>152.55</v>
      </c>
      <c r="F431" s="1">
        <f>IFERROR(__xludf.DUMMYFUNCTION("""COMPUTED_VALUE"""),5.9144118E7)</f>
        <v>59144118</v>
      </c>
    </row>
    <row r="432">
      <c r="A432" s="2">
        <f>IFERROR(__xludf.DUMMYFUNCTION("""COMPUTED_VALUE"""),44978.66666666667)</f>
        <v>44978.66667</v>
      </c>
      <c r="B432" s="1">
        <f>IFERROR(__xludf.DUMMYFUNCTION("""COMPUTED_VALUE"""),150.2)</f>
        <v>150.2</v>
      </c>
      <c r="C432" s="1">
        <f>IFERROR(__xludf.DUMMYFUNCTION("""COMPUTED_VALUE"""),151.3)</f>
        <v>151.3</v>
      </c>
      <c r="D432" s="1">
        <f>IFERROR(__xludf.DUMMYFUNCTION("""COMPUTED_VALUE"""),148.41)</f>
        <v>148.41</v>
      </c>
      <c r="E432" s="1">
        <f>IFERROR(__xludf.DUMMYFUNCTION("""COMPUTED_VALUE"""),148.48)</f>
        <v>148.48</v>
      </c>
      <c r="F432" s="1">
        <f>IFERROR(__xludf.DUMMYFUNCTION("""COMPUTED_VALUE"""),5.886723E7)</f>
        <v>58867230</v>
      </c>
    </row>
    <row r="433">
      <c r="A433" s="2">
        <f>IFERROR(__xludf.DUMMYFUNCTION("""COMPUTED_VALUE"""),44979.66666666667)</f>
        <v>44979.66667</v>
      </c>
      <c r="B433" s="1">
        <f>IFERROR(__xludf.DUMMYFUNCTION("""COMPUTED_VALUE"""),148.87)</f>
        <v>148.87</v>
      </c>
      <c r="C433" s="1">
        <f>IFERROR(__xludf.DUMMYFUNCTION("""COMPUTED_VALUE"""),149.95)</f>
        <v>149.95</v>
      </c>
      <c r="D433" s="1">
        <f>IFERROR(__xludf.DUMMYFUNCTION("""COMPUTED_VALUE"""),147.16)</f>
        <v>147.16</v>
      </c>
      <c r="E433" s="1">
        <f>IFERROR(__xludf.DUMMYFUNCTION("""COMPUTED_VALUE"""),148.91)</f>
        <v>148.91</v>
      </c>
      <c r="F433" s="1">
        <f>IFERROR(__xludf.DUMMYFUNCTION("""COMPUTED_VALUE"""),5.1011305E7)</f>
        <v>51011305</v>
      </c>
    </row>
    <row r="434">
      <c r="A434" s="2">
        <f>IFERROR(__xludf.DUMMYFUNCTION("""COMPUTED_VALUE"""),44980.66666666667)</f>
        <v>44980.66667</v>
      </c>
      <c r="B434" s="1">
        <f>IFERROR(__xludf.DUMMYFUNCTION("""COMPUTED_VALUE"""),150.09)</f>
        <v>150.09</v>
      </c>
      <c r="C434" s="1">
        <f>IFERROR(__xludf.DUMMYFUNCTION("""COMPUTED_VALUE"""),150.34)</f>
        <v>150.34</v>
      </c>
      <c r="D434" s="1">
        <f>IFERROR(__xludf.DUMMYFUNCTION("""COMPUTED_VALUE"""),147.24)</f>
        <v>147.24</v>
      </c>
      <c r="E434" s="1">
        <f>IFERROR(__xludf.DUMMYFUNCTION("""COMPUTED_VALUE"""),149.4)</f>
        <v>149.4</v>
      </c>
      <c r="F434" s="1">
        <f>IFERROR(__xludf.DUMMYFUNCTION("""COMPUTED_VALUE"""),4.8394249E7)</f>
        <v>48394249</v>
      </c>
    </row>
    <row r="435">
      <c r="A435" s="2">
        <f>IFERROR(__xludf.DUMMYFUNCTION("""COMPUTED_VALUE"""),44981.66666666667)</f>
        <v>44981.66667</v>
      </c>
      <c r="B435" s="1">
        <f>IFERROR(__xludf.DUMMYFUNCTION("""COMPUTED_VALUE"""),147.11)</f>
        <v>147.11</v>
      </c>
      <c r="C435" s="1">
        <f>IFERROR(__xludf.DUMMYFUNCTION("""COMPUTED_VALUE"""),147.19)</f>
        <v>147.19</v>
      </c>
      <c r="D435" s="1">
        <f>IFERROR(__xludf.DUMMYFUNCTION("""COMPUTED_VALUE"""),145.72)</f>
        <v>145.72</v>
      </c>
      <c r="E435" s="1">
        <f>IFERROR(__xludf.DUMMYFUNCTION("""COMPUTED_VALUE"""),146.71)</f>
        <v>146.71</v>
      </c>
      <c r="F435" s="1">
        <f>IFERROR(__xludf.DUMMYFUNCTION("""COMPUTED_VALUE"""),5.5469606E7)</f>
        <v>55469606</v>
      </c>
    </row>
    <row r="436">
      <c r="A436" s="2">
        <f>IFERROR(__xludf.DUMMYFUNCTION("""COMPUTED_VALUE"""),44984.66666666667)</f>
        <v>44984.66667</v>
      </c>
      <c r="B436" s="1">
        <f>IFERROR(__xludf.DUMMYFUNCTION("""COMPUTED_VALUE"""),147.71)</f>
        <v>147.71</v>
      </c>
      <c r="C436" s="1">
        <f>IFERROR(__xludf.DUMMYFUNCTION("""COMPUTED_VALUE"""),149.17)</f>
        <v>149.17</v>
      </c>
      <c r="D436" s="1">
        <f>IFERROR(__xludf.DUMMYFUNCTION("""COMPUTED_VALUE"""),147.45)</f>
        <v>147.45</v>
      </c>
      <c r="E436" s="1">
        <f>IFERROR(__xludf.DUMMYFUNCTION("""COMPUTED_VALUE"""),147.92)</f>
        <v>147.92</v>
      </c>
      <c r="F436" s="1">
        <f>IFERROR(__xludf.DUMMYFUNCTION("""COMPUTED_VALUE"""),4.499847E7)</f>
        <v>44998470</v>
      </c>
    </row>
    <row r="437">
      <c r="A437" s="2">
        <f>IFERROR(__xludf.DUMMYFUNCTION("""COMPUTED_VALUE"""),44985.66666666667)</f>
        <v>44985.66667</v>
      </c>
      <c r="B437" s="1">
        <f>IFERROR(__xludf.DUMMYFUNCTION("""COMPUTED_VALUE"""),147.05)</f>
        <v>147.05</v>
      </c>
      <c r="C437" s="1">
        <f>IFERROR(__xludf.DUMMYFUNCTION("""COMPUTED_VALUE"""),149.08)</f>
        <v>149.08</v>
      </c>
      <c r="D437" s="1">
        <f>IFERROR(__xludf.DUMMYFUNCTION("""COMPUTED_VALUE"""),146.83)</f>
        <v>146.83</v>
      </c>
      <c r="E437" s="1">
        <f>IFERROR(__xludf.DUMMYFUNCTION("""COMPUTED_VALUE"""),147.41)</f>
        <v>147.41</v>
      </c>
      <c r="F437" s="1">
        <f>IFERROR(__xludf.DUMMYFUNCTION("""COMPUTED_VALUE"""),5.0546998E7)</f>
        <v>50546998</v>
      </c>
    </row>
    <row r="438">
      <c r="A438" s="2">
        <f>IFERROR(__xludf.DUMMYFUNCTION("""COMPUTED_VALUE"""),44986.66666666667)</f>
        <v>44986.66667</v>
      </c>
      <c r="B438" s="1">
        <f>IFERROR(__xludf.DUMMYFUNCTION("""COMPUTED_VALUE"""),146.83)</f>
        <v>146.83</v>
      </c>
      <c r="C438" s="1">
        <f>IFERROR(__xludf.DUMMYFUNCTION("""COMPUTED_VALUE"""),147.23)</f>
        <v>147.23</v>
      </c>
      <c r="D438" s="1">
        <f>IFERROR(__xludf.DUMMYFUNCTION("""COMPUTED_VALUE"""),145.01)</f>
        <v>145.01</v>
      </c>
      <c r="E438" s="1">
        <f>IFERROR(__xludf.DUMMYFUNCTION("""COMPUTED_VALUE"""),145.31)</f>
        <v>145.31</v>
      </c>
      <c r="F438" s="1">
        <f>IFERROR(__xludf.DUMMYFUNCTION("""COMPUTED_VALUE"""),5.5478991E7)</f>
        <v>55478991</v>
      </c>
    </row>
    <row r="439">
      <c r="A439" s="2">
        <f>IFERROR(__xludf.DUMMYFUNCTION("""COMPUTED_VALUE"""),44987.66666666667)</f>
        <v>44987.66667</v>
      </c>
      <c r="B439" s="1">
        <f>IFERROR(__xludf.DUMMYFUNCTION("""COMPUTED_VALUE"""),144.38)</f>
        <v>144.38</v>
      </c>
      <c r="C439" s="1">
        <f>IFERROR(__xludf.DUMMYFUNCTION("""COMPUTED_VALUE"""),146.71)</f>
        <v>146.71</v>
      </c>
      <c r="D439" s="1">
        <f>IFERROR(__xludf.DUMMYFUNCTION("""COMPUTED_VALUE"""),143.9)</f>
        <v>143.9</v>
      </c>
      <c r="E439" s="1">
        <f>IFERROR(__xludf.DUMMYFUNCTION("""COMPUTED_VALUE"""),145.91)</f>
        <v>145.91</v>
      </c>
      <c r="F439" s="1">
        <f>IFERROR(__xludf.DUMMYFUNCTION("""COMPUTED_VALUE"""),5.2279761E7)</f>
        <v>52279761</v>
      </c>
    </row>
    <row r="440">
      <c r="A440" s="2">
        <f>IFERROR(__xludf.DUMMYFUNCTION("""COMPUTED_VALUE"""),44988.66666666667)</f>
        <v>44988.66667</v>
      </c>
      <c r="B440" s="1">
        <f>IFERROR(__xludf.DUMMYFUNCTION("""COMPUTED_VALUE"""),148.04)</f>
        <v>148.04</v>
      </c>
      <c r="C440" s="1">
        <f>IFERROR(__xludf.DUMMYFUNCTION("""COMPUTED_VALUE"""),151.11)</f>
        <v>151.11</v>
      </c>
      <c r="D440" s="1">
        <f>IFERROR(__xludf.DUMMYFUNCTION("""COMPUTED_VALUE"""),147.33)</f>
        <v>147.33</v>
      </c>
      <c r="E440" s="1">
        <f>IFERROR(__xludf.DUMMYFUNCTION("""COMPUTED_VALUE"""),151.03)</f>
        <v>151.03</v>
      </c>
      <c r="F440" s="1">
        <f>IFERROR(__xludf.DUMMYFUNCTION("""COMPUTED_VALUE"""),7.0732297E7)</f>
        <v>70732297</v>
      </c>
    </row>
    <row r="441">
      <c r="A441" s="2">
        <f>IFERROR(__xludf.DUMMYFUNCTION("""COMPUTED_VALUE"""),44991.66666666667)</f>
        <v>44991.66667</v>
      </c>
      <c r="B441" s="1">
        <f>IFERROR(__xludf.DUMMYFUNCTION("""COMPUTED_VALUE"""),153.79)</f>
        <v>153.79</v>
      </c>
      <c r="C441" s="1">
        <f>IFERROR(__xludf.DUMMYFUNCTION("""COMPUTED_VALUE"""),156.3)</f>
        <v>156.3</v>
      </c>
      <c r="D441" s="1">
        <f>IFERROR(__xludf.DUMMYFUNCTION("""COMPUTED_VALUE"""),153.46)</f>
        <v>153.46</v>
      </c>
      <c r="E441" s="1">
        <f>IFERROR(__xludf.DUMMYFUNCTION("""COMPUTED_VALUE"""),153.83)</f>
        <v>153.83</v>
      </c>
      <c r="F441" s="1">
        <f>IFERROR(__xludf.DUMMYFUNCTION("""COMPUTED_VALUE"""),8.7558028E7)</f>
        <v>87558028</v>
      </c>
    </row>
    <row r="442">
      <c r="A442" s="2">
        <f>IFERROR(__xludf.DUMMYFUNCTION("""COMPUTED_VALUE"""),44992.66666666667)</f>
        <v>44992.66667</v>
      </c>
      <c r="B442" s="1">
        <f>IFERROR(__xludf.DUMMYFUNCTION("""COMPUTED_VALUE"""),153.7)</f>
        <v>153.7</v>
      </c>
      <c r="C442" s="1">
        <f>IFERROR(__xludf.DUMMYFUNCTION("""COMPUTED_VALUE"""),154.03)</f>
        <v>154.03</v>
      </c>
      <c r="D442" s="1">
        <f>IFERROR(__xludf.DUMMYFUNCTION("""COMPUTED_VALUE"""),151.13)</f>
        <v>151.13</v>
      </c>
      <c r="E442" s="1">
        <f>IFERROR(__xludf.DUMMYFUNCTION("""COMPUTED_VALUE"""),151.6)</f>
        <v>151.6</v>
      </c>
      <c r="F442" s="1">
        <f>IFERROR(__xludf.DUMMYFUNCTION("""COMPUTED_VALUE"""),5.6182028E7)</f>
        <v>56182028</v>
      </c>
    </row>
    <row r="443">
      <c r="A443" s="2">
        <f>IFERROR(__xludf.DUMMYFUNCTION("""COMPUTED_VALUE"""),44993.66666666667)</f>
        <v>44993.66667</v>
      </c>
      <c r="B443" s="1">
        <f>IFERROR(__xludf.DUMMYFUNCTION("""COMPUTED_VALUE"""),152.81)</f>
        <v>152.81</v>
      </c>
      <c r="C443" s="1">
        <f>IFERROR(__xludf.DUMMYFUNCTION("""COMPUTED_VALUE"""),153.47)</f>
        <v>153.47</v>
      </c>
      <c r="D443" s="1">
        <f>IFERROR(__xludf.DUMMYFUNCTION("""COMPUTED_VALUE"""),151.83)</f>
        <v>151.83</v>
      </c>
      <c r="E443" s="1">
        <f>IFERROR(__xludf.DUMMYFUNCTION("""COMPUTED_VALUE"""),152.87)</f>
        <v>152.87</v>
      </c>
      <c r="F443" s="1">
        <f>IFERROR(__xludf.DUMMYFUNCTION("""COMPUTED_VALUE"""),4.7204791E7)</f>
        <v>47204791</v>
      </c>
    </row>
    <row r="444">
      <c r="A444" s="2">
        <f>IFERROR(__xludf.DUMMYFUNCTION("""COMPUTED_VALUE"""),44994.66666666667)</f>
        <v>44994.66667</v>
      </c>
      <c r="B444" s="1">
        <f>IFERROR(__xludf.DUMMYFUNCTION("""COMPUTED_VALUE"""),153.56)</f>
        <v>153.56</v>
      </c>
      <c r="C444" s="1">
        <f>IFERROR(__xludf.DUMMYFUNCTION("""COMPUTED_VALUE"""),154.54)</f>
        <v>154.54</v>
      </c>
      <c r="D444" s="1">
        <f>IFERROR(__xludf.DUMMYFUNCTION("""COMPUTED_VALUE"""),150.23)</f>
        <v>150.23</v>
      </c>
      <c r="E444" s="1">
        <f>IFERROR(__xludf.DUMMYFUNCTION("""COMPUTED_VALUE"""),150.59)</f>
        <v>150.59</v>
      </c>
      <c r="F444" s="1">
        <f>IFERROR(__xludf.DUMMYFUNCTION("""COMPUTED_VALUE"""),5.3833582E7)</f>
        <v>53833582</v>
      </c>
    </row>
    <row r="445">
      <c r="A445" s="2">
        <f>IFERROR(__xludf.DUMMYFUNCTION("""COMPUTED_VALUE"""),44995.66666666667)</f>
        <v>44995.66667</v>
      </c>
      <c r="B445" s="1">
        <f>IFERROR(__xludf.DUMMYFUNCTION("""COMPUTED_VALUE"""),150.21)</f>
        <v>150.21</v>
      </c>
      <c r="C445" s="1">
        <f>IFERROR(__xludf.DUMMYFUNCTION("""COMPUTED_VALUE"""),150.94)</f>
        <v>150.94</v>
      </c>
      <c r="D445" s="1">
        <f>IFERROR(__xludf.DUMMYFUNCTION("""COMPUTED_VALUE"""),147.61)</f>
        <v>147.61</v>
      </c>
      <c r="E445" s="1">
        <f>IFERROR(__xludf.DUMMYFUNCTION("""COMPUTED_VALUE"""),148.5)</f>
        <v>148.5</v>
      </c>
      <c r="F445" s="1">
        <f>IFERROR(__xludf.DUMMYFUNCTION("""COMPUTED_VALUE"""),6.85724E7)</f>
        <v>68572400</v>
      </c>
    </row>
    <row r="446">
      <c r="A446" s="2">
        <f>IFERROR(__xludf.DUMMYFUNCTION("""COMPUTED_VALUE"""),44998.66666666667)</f>
        <v>44998.66667</v>
      </c>
      <c r="B446" s="1">
        <f>IFERROR(__xludf.DUMMYFUNCTION("""COMPUTED_VALUE"""),147.81)</f>
        <v>147.81</v>
      </c>
      <c r="C446" s="1">
        <f>IFERROR(__xludf.DUMMYFUNCTION("""COMPUTED_VALUE"""),153.14)</f>
        <v>153.14</v>
      </c>
      <c r="D446" s="1">
        <f>IFERROR(__xludf.DUMMYFUNCTION("""COMPUTED_VALUE"""),147.7)</f>
        <v>147.7</v>
      </c>
      <c r="E446" s="1">
        <f>IFERROR(__xludf.DUMMYFUNCTION("""COMPUTED_VALUE"""),150.47)</f>
        <v>150.47</v>
      </c>
      <c r="F446" s="1">
        <f>IFERROR(__xludf.DUMMYFUNCTION("""COMPUTED_VALUE"""),8.4457122E7)</f>
        <v>84457122</v>
      </c>
    </row>
    <row r="447">
      <c r="A447" s="2">
        <f>IFERROR(__xludf.DUMMYFUNCTION("""COMPUTED_VALUE"""),44999.66666666667)</f>
        <v>44999.66667</v>
      </c>
      <c r="B447" s="1">
        <f>IFERROR(__xludf.DUMMYFUNCTION("""COMPUTED_VALUE"""),151.28)</f>
        <v>151.28</v>
      </c>
      <c r="C447" s="1">
        <f>IFERROR(__xludf.DUMMYFUNCTION("""COMPUTED_VALUE"""),153.4)</f>
        <v>153.4</v>
      </c>
      <c r="D447" s="1">
        <f>IFERROR(__xludf.DUMMYFUNCTION("""COMPUTED_VALUE"""),150.1)</f>
        <v>150.1</v>
      </c>
      <c r="E447" s="1">
        <f>IFERROR(__xludf.DUMMYFUNCTION("""COMPUTED_VALUE"""),152.59)</f>
        <v>152.59</v>
      </c>
      <c r="F447" s="1">
        <f>IFERROR(__xludf.DUMMYFUNCTION("""COMPUTED_VALUE"""),7.3695893E7)</f>
        <v>73695893</v>
      </c>
    </row>
    <row r="448">
      <c r="A448" s="2">
        <f>IFERROR(__xludf.DUMMYFUNCTION("""COMPUTED_VALUE"""),45000.66666666667)</f>
        <v>45000.66667</v>
      </c>
      <c r="B448" s="1">
        <f>IFERROR(__xludf.DUMMYFUNCTION("""COMPUTED_VALUE"""),151.19)</f>
        <v>151.19</v>
      </c>
      <c r="C448" s="1">
        <f>IFERROR(__xludf.DUMMYFUNCTION("""COMPUTED_VALUE"""),153.25)</f>
        <v>153.25</v>
      </c>
      <c r="D448" s="1">
        <f>IFERROR(__xludf.DUMMYFUNCTION("""COMPUTED_VALUE"""),149.92)</f>
        <v>149.92</v>
      </c>
      <c r="E448" s="1">
        <f>IFERROR(__xludf.DUMMYFUNCTION("""COMPUTED_VALUE"""),152.99)</f>
        <v>152.99</v>
      </c>
      <c r="F448" s="1">
        <f>IFERROR(__xludf.DUMMYFUNCTION("""COMPUTED_VALUE"""),7.7167866E7)</f>
        <v>77167866</v>
      </c>
    </row>
    <row r="449">
      <c r="A449" s="2">
        <f>IFERROR(__xludf.DUMMYFUNCTION("""COMPUTED_VALUE"""),45001.66666666667)</f>
        <v>45001.66667</v>
      </c>
      <c r="B449" s="1">
        <f>IFERROR(__xludf.DUMMYFUNCTION("""COMPUTED_VALUE"""),152.16)</f>
        <v>152.16</v>
      </c>
      <c r="C449" s="1">
        <f>IFERROR(__xludf.DUMMYFUNCTION("""COMPUTED_VALUE"""),156.46)</f>
        <v>156.46</v>
      </c>
      <c r="D449" s="1">
        <f>IFERROR(__xludf.DUMMYFUNCTION("""COMPUTED_VALUE"""),151.64)</f>
        <v>151.64</v>
      </c>
      <c r="E449" s="1">
        <f>IFERROR(__xludf.DUMMYFUNCTION("""COMPUTED_VALUE"""),155.85)</f>
        <v>155.85</v>
      </c>
      <c r="F449" s="1">
        <f>IFERROR(__xludf.DUMMYFUNCTION("""COMPUTED_VALUE"""),7.6254419E7)</f>
        <v>76254419</v>
      </c>
    </row>
    <row r="450">
      <c r="A450" s="2">
        <f>IFERROR(__xludf.DUMMYFUNCTION("""COMPUTED_VALUE"""),45002.66666666667)</f>
        <v>45002.66667</v>
      </c>
      <c r="B450" s="1">
        <f>IFERROR(__xludf.DUMMYFUNCTION("""COMPUTED_VALUE"""),156.08)</f>
        <v>156.08</v>
      </c>
      <c r="C450" s="1">
        <f>IFERROR(__xludf.DUMMYFUNCTION("""COMPUTED_VALUE"""),156.74)</f>
        <v>156.74</v>
      </c>
      <c r="D450" s="1">
        <f>IFERROR(__xludf.DUMMYFUNCTION("""COMPUTED_VALUE"""),154.28)</f>
        <v>154.28</v>
      </c>
      <c r="E450" s="1">
        <f>IFERROR(__xludf.DUMMYFUNCTION("""COMPUTED_VALUE"""),155.0)</f>
        <v>155</v>
      </c>
      <c r="F450" s="1">
        <f>IFERROR(__xludf.DUMMYFUNCTION("""COMPUTED_VALUE"""),9.8944633E7)</f>
        <v>98944633</v>
      </c>
    </row>
    <row r="451">
      <c r="A451" s="2">
        <f>IFERROR(__xludf.DUMMYFUNCTION("""COMPUTED_VALUE"""),45005.66666666667)</f>
        <v>45005.66667</v>
      </c>
      <c r="B451" s="1">
        <f>IFERROR(__xludf.DUMMYFUNCTION("""COMPUTED_VALUE"""),155.07)</f>
        <v>155.07</v>
      </c>
      <c r="C451" s="1">
        <f>IFERROR(__xludf.DUMMYFUNCTION("""COMPUTED_VALUE"""),157.82)</f>
        <v>157.82</v>
      </c>
      <c r="D451" s="1">
        <f>IFERROR(__xludf.DUMMYFUNCTION("""COMPUTED_VALUE"""),154.15)</f>
        <v>154.15</v>
      </c>
      <c r="E451" s="1">
        <f>IFERROR(__xludf.DUMMYFUNCTION("""COMPUTED_VALUE"""),157.4)</f>
        <v>157.4</v>
      </c>
      <c r="F451" s="1">
        <f>IFERROR(__xludf.DUMMYFUNCTION("""COMPUTED_VALUE"""),7.3641415E7)</f>
        <v>73641415</v>
      </c>
    </row>
    <row r="452">
      <c r="A452" s="2">
        <f>IFERROR(__xludf.DUMMYFUNCTION("""COMPUTED_VALUE"""),45006.66666666667)</f>
        <v>45006.66667</v>
      </c>
      <c r="B452" s="1">
        <f>IFERROR(__xludf.DUMMYFUNCTION("""COMPUTED_VALUE"""),157.32)</f>
        <v>157.32</v>
      </c>
      <c r="C452" s="1">
        <f>IFERROR(__xludf.DUMMYFUNCTION("""COMPUTED_VALUE"""),159.4)</f>
        <v>159.4</v>
      </c>
      <c r="D452" s="1">
        <f>IFERROR(__xludf.DUMMYFUNCTION("""COMPUTED_VALUE"""),156.54)</f>
        <v>156.54</v>
      </c>
      <c r="E452" s="1">
        <f>IFERROR(__xludf.DUMMYFUNCTION("""COMPUTED_VALUE"""),159.28)</f>
        <v>159.28</v>
      </c>
      <c r="F452" s="1">
        <f>IFERROR(__xludf.DUMMYFUNCTION("""COMPUTED_VALUE"""),7.3938285E7)</f>
        <v>73938285</v>
      </c>
    </row>
    <row r="453">
      <c r="A453" s="2">
        <f>IFERROR(__xludf.DUMMYFUNCTION("""COMPUTED_VALUE"""),45007.66666666667)</f>
        <v>45007.66667</v>
      </c>
      <c r="B453" s="1">
        <f>IFERROR(__xludf.DUMMYFUNCTION("""COMPUTED_VALUE"""),159.3)</f>
        <v>159.3</v>
      </c>
      <c r="C453" s="1">
        <f>IFERROR(__xludf.DUMMYFUNCTION("""COMPUTED_VALUE"""),162.14)</f>
        <v>162.14</v>
      </c>
      <c r="D453" s="1">
        <f>IFERROR(__xludf.DUMMYFUNCTION("""COMPUTED_VALUE"""),157.81)</f>
        <v>157.81</v>
      </c>
      <c r="E453" s="1">
        <f>IFERROR(__xludf.DUMMYFUNCTION("""COMPUTED_VALUE"""),157.83)</f>
        <v>157.83</v>
      </c>
      <c r="F453" s="1">
        <f>IFERROR(__xludf.DUMMYFUNCTION("""COMPUTED_VALUE"""),7.5701811E7)</f>
        <v>75701811</v>
      </c>
    </row>
    <row r="454">
      <c r="A454" s="2">
        <f>IFERROR(__xludf.DUMMYFUNCTION("""COMPUTED_VALUE"""),45008.66666666667)</f>
        <v>45008.66667</v>
      </c>
      <c r="B454" s="1">
        <f>IFERROR(__xludf.DUMMYFUNCTION("""COMPUTED_VALUE"""),158.83)</f>
        <v>158.83</v>
      </c>
      <c r="C454" s="1">
        <f>IFERROR(__xludf.DUMMYFUNCTION("""COMPUTED_VALUE"""),161.55)</f>
        <v>161.55</v>
      </c>
      <c r="D454" s="1">
        <f>IFERROR(__xludf.DUMMYFUNCTION("""COMPUTED_VALUE"""),157.68)</f>
        <v>157.68</v>
      </c>
      <c r="E454" s="1">
        <f>IFERROR(__xludf.DUMMYFUNCTION("""COMPUTED_VALUE"""),158.93)</f>
        <v>158.93</v>
      </c>
      <c r="F454" s="1">
        <f>IFERROR(__xludf.DUMMYFUNCTION("""COMPUTED_VALUE"""),6.762206E7)</f>
        <v>67622060</v>
      </c>
    </row>
    <row r="455">
      <c r="A455" s="2">
        <f>IFERROR(__xludf.DUMMYFUNCTION("""COMPUTED_VALUE"""),45009.66666666667)</f>
        <v>45009.66667</v>
      </c>
      <c r="B455" s="1">
        <f>IFERROR(__xludf.DUMMYFUNCTION("""COMPUTED_VALUE"""),158.86)</f>
        <v>158.86</v>
      </c>
      <c r="C455" s="1">
        <f>IFERROR(__xludf.DUMMYFUNCTION("""COMPUTED_VALUE"""),160.34)</f>
        <v>160.34</v>
      </c>
      <c r="D455" s="1">
        <f>IFERROR(__xludf.DUMMYFUNCTION("""COMPUTED_VALUE"""),157.85)</f>
        <v>157.85</v>
      </c>
      <c r="E455" s="1">
        <f>IFERROR(__xludf.DUMMYFUNCTION("""COMPUTED_VALUE"""),160.25)</f>
        <v>160.25</v>
      </c>
      <c r="F455" s="1">
        <f>IFERROR(__xludf.DUMMYFUNCTION("""COMPUTED_VALUE"""),5.9256343E7)</f>
        <v>59256343</v>
      </c>
    </row>
    <row r="456">
      <c r="A456" s="2">
        <f>IFERROR(__xludf.DUMMYFUNCTION("""COMPUTED_VALUE"""),45012.66666666667)</f>
        <v>45012.66667</v>
      </c>
      <c r="B456" s="1">
        <f>IFERROR(__xludf.DUMMYFUNCTION("""COMPUTED_VALUE"""),159.94)</f>
        <v>159.94</v>
      </c>
      <c r="C456" s="1">
        <f>IFERROR(__xludf.DUMMYFUNCTION("""COMPUTED_VALUE"""),160.77)</f>
        <v>160.77</v>
      </c>
      <c r="D456" s="1">
        <f>IFERROR(__xludf.DUMMYFUNCTION("""COMPUTED_VALUE"""),157.87)</f>
        <v>157.87</v>
      </c>
      <c r="E456" s="1">
        <f>IFERROR(__xludf.DUMMYFUNCTION("""COMPUTED_VALUE"""),158.28)</f>
        <v>158.28</v>
      </c>
      <c r="F456" s="1">
        <f>IFERROR(__xludf.DUMMYFUNCTION("""COMPUTED_VALUE"""),5.2390266E7)</f>
        <v>52390266</v>
      </c>
    </row>
    <row r="457">
      <c r="A457" s="2">
        <f>IFERROR(__xludf.DUMMYFUNCTION("""COMPUTED_VALUE"""),45013.66666666667)</f>
        <v>45013.66667</v>
      </c>
      <c r="B457" s="1">
        <f>IFERROR(__xludf.DUMMYFUNCTION("""COMPUTED_VALUE"""),157.97)</f>
        <v>157.97</v>
      </c>
      <c r="C457" s="1">
        <f>IFERROR(__xludf.DUMMYFUNCTION("""COMPUTED_VALUE"""),158.49)</f>
        <v>158.49</v>
      </c>
      <c r="D457" s="1">
        <f>IFERROR(__xludf.DUMMYFUNCTION("""COMPUTED_VALUE"""),155.98)</f>
        <v>155.98</v>
      </c>
      <c r="E457" s="1">
        <f>IFERROR(__xludf.DUMMYFUNCTION("""COMPUTED_VALUE"""),157.65)</f>
        <v>157.65</v>
      </c>
      <c r="F457" s="1">
        <f>IFERROR(__xludf.DUMMYFUNCTION("""COMPUTED_VALUE"""),4.5992152E7)</f>
        <v>45992152</v>
      </c>
    </row>
    <row r="458">
      <c r="A458" s="2">
        <f>IFERROR(__xludf.DUMMYFUNCTION("""COMPUTED_VALUE"""),45014.66666666667)</f>
        <v>45014.66667</v>
      </c>
      <c r="B458" s="1">
        <f>IFERROR(__xludf.DUMMYFUNCTION("""COMPUTED_VALUE"""),159.37)</f>
        <v>159.37</v>
      </c>
      <c r="C458" s="1">
        <f>IFERROR(__xludf.DUMMYFUNCTION("""COMPUTED_VALUE"""),161.05)</f>
        <v>161.05</v>
      </c>
      <c r="D458" s="1">
        <f>IFERROR(__xludf.DUMMYFUNCTION("""COMPUTED_VALUE"""),159.35)</f>
        <v>159.35</v>
      </c>
      <c r="E458" s="1">
        <f>IFERROR(__xludf.DUMMYFUNCTION("""COMPUTED_VALUE"""),160.77)</f>
        <v>160.77</v>
      </c>
      <c r="F458" s="1">
        <f>IFERROR(__xludf.DUMMYFUNCTION("""COMPUTED_VALUE"""),5.1305691E7)</f>
        <v>51305691</v>
      </c>
    </row>
    <row r="459">
      <c r="A459" s="2">
        <f>IFERROR(__xludf.DUMMYFUNCTION("""COMPUTED_VALUE"""),45015.66666666667)</f>
        <v>45015.66667</v>
      </c>
      <c r="B459" s="1">
        <f>IFERROR(__xludf.DUMMYFUNCTION("""COMPUTED_VALUE"""),161.53)</f>
        <v>161.53</v>
      </c>
      <c r="C459" s="1">
        <f>IFERROR(__xludf.DUMMYFUNCTION("""COMPUTED_VALUE"""),162.47)</f>
        <v>162.47</v>
      </c>
      <c r="D459" s="1">
        <f>IFERROR(__xludf.DUMMYFUNCTION("""COMPUTED_VALUE"""),161.27)</f>
        <v>161.27</v>
      </c>
      <c r="E459" s="1">
        <f>IFERROR(__xludf.DUMMYFUNCTION("""COMPUTED_VALUE"""),162.36)</f>
        <v>162.36</v>
      </c>
      <c r="F459" s="1">
        <f>IFERROR(__xludf.DUMMYFUNCTION("""COMPUTED_VALUE"""),4.9501689E7)</f>
        <v>49501689</v>
      </c>
    </row>
    <row r="460">
      <c r="A460" s="2">
        <f>IFERROR(__xludf.DUMMYFUNCTION("""COMPUTED_VALUE"""),45016.66666666667)</f>
        <v>45016.66667</v>
      </c>
      <c r="B460" s="1">
        <f>IFERROR(__xludf.DUMMYFUNCTION("""COMPUTED_VALUE"""),162.44)</f>
        <v>162.44</v>
      </c>
      <c r="C460" s="1">
        <f>IFERROR(__xludf.DUMMYFUNCTION("""COMPUTED_VALUE"""),165.0)</f>
        <v>165</v>
      </c>
      <c r="D460" s="1">
        <f>IFERROR(__xludf.DUMMYFUNCTION("""COMPUTED_VALUE"""),161.91)</f>
        <v>161.91</v>
      </c>
      <c r="E460" s="1">
        <f>IFERROR(__xludf.DUMMYFUNCTION("""COMPUTED_VALUE"""),164.9)</f>
        <v>164.9</v>
      </c>
      <c r="F460" s="1">
        <f>IFERROR(__xludf.DUMMYFUNCTION("""COMPUTED_VALUE"""),6.8749792E7)</f>
        <v>68749792</v>
      </c>
    </row>
    <row r="461">
      <c r="A461" s="2">
        <f>IFERROR(__xludf.DUMMYFUNCTION("""COMPUTED_VALUE"""),45019.66666666667)</f>
        <v>45019.66667</v>
      </c>
      <c r="B461" s="1">
        <f>IFERROR(__xludf.DUMMYFUNCTION("""COMPUTED_VALUE"""),164.27)</f>
        <v>164.27</v>
      </c>
      <c r="C461" s="1">
        <f>IFERROR(__xludf.DUMMYFUNCTION("""COMPUTED_VALUE"""),166.29)</f>
        <v>166.29</v>
      </c>
      <c r="D461" s="1">
        <f>IFERROR(__xludf.DUMMYFUNCTION("""COMPUTED_VALUE"""),164.22)</f>
        <v>164.22</v>
      </c>
      <c r="E461" s="1">
        <f>IFERROR(__xludf.DUMMYFUNCTION("""COMPUTED_VALUE"""),166.17)</f>
        <v>166.17</v>
      </c>
      <c r="F461" s="1">
        <f>IFERROR(__xludf.DUMMYFUNCTION("""COMPUTED_VALUE"""),5.6976187E7)</f>
        <v>56976187</v>
      </c>
    </row>
    <row r="462">
      <c r="A462" s="2">
        <f>IFERROR(__xludf.DUMMYFUNCTION("""COMPUTED_VALUE"""),45020.66666666667)</f>
        <v>45020.66667</v>
      </c>
      <c r="B462" s="1">
        <f>IFERROR(__xludf.DUMMYFUNCTION("""COMPUTED_VALUE"""),166.6)</f>
        <v>166.6</v>
      </c>
      <c r="C462" s="1">
        <f>IFERROR(__xludf.DUMMYFUNCTION("""COMPUTED_VALUE"""),166.84)</f>
        <v>166.84</v>
      </c>
      <c r="D462" s="1">
        <f>IFERROR(__xludf.DUMMYFUNCTION("""COMPUTED_VALUE"""),165.11)</f>
        <v>165.11</v>
      </c>
      <c r="E462" s="1">
        <f>IFERROR(__xludf.DUMMYFUNCTION("""COMPUTED_VALUE"""),165.63)</f>
        <v>165.63</v>
      </c>
      <c r="F462" s="1">
        <f>IFERROR(__xludf.DUMMYFUNCTION("""COMPUTED_VALUE"""),4.6278295E7)</f>
        <v>46278295</v>
      </c>
    </row>
    <row r="463">
      <c r="A463" s="2">
        <f>IFERROR(__xludf.DUMMYFUNCTION("""COMPUTED_VALUE"""),45021.66666666667)</f>
        <v>45021.66667</v>
      </c>
      <c r="B463" s="1">
        <f>IFERROR(__xludf.DUMMYFUNCTION("""COMPUTED_VALUE"""),164.74)</f>
        <v>164.74</v>
      </c>
      <c r="C463" s="1">
        <f>IFERROR(__xludf.DUMMYFUNCTION("""COMPUTED_VALUE"""),165.05)</f>
        <v>165.05</v>
      </c>
      <c r="D463" s="1">
        <f>IFERROR(__xludf.DUMMYFUNCTION("""COMPUTED_VALUE"""),161.8)</f>
        <v>161.8</v>
      </c>
      <c r="E463" s="1">
        <f>IFERROR(__xludf.DUMMYFUNCTION("""COMPUTED_VALUE"""),163.76)</f>
        <v>163.76</v>
      </c>
      <c r="F463" s="1">
        <f>IFERROR(__xludf.DUMMYFUNCTION("""COMPUTED_VALUE"""),5.1511744E7)</f>
        <v>51511744</v>
      </c>
    </row>
    <row r="464">
      <c r="A464" s="2">
        <f>IFERROR(__xludf.DUMMYFUNCTION("""COMPUTED_VALUE"""),45022.66666666667)</f>
        <v>45022.66667</v>
      </c>
      <c r="B464" s="1">
        <f>IFERROR(__xludf.DUMMYFUNCTION("""COMPUTED_VALUE"""),162.43)</f>
        <v>162.43</v>
      </c>
      <c r="C464" s="1">
        <f>IFERROR(__xludf.DUMMYFUNCTION("""COMPUTED_VALUE"""),164.96)</f>
        <v>164.96</v>
      </c>
      <c r="D464" s="1">
        <f>IFERROR(__xludf.DUMMYFUNCTION("""COMPUTED_VALUE"""),162.0)</f>
        <v>162</v>
      </c>
      <c r="E464" s="1">
        <f>IFERROR(__xludf.DUMMYFUNCTION("""COMPUTED_VALUE"""),164.66)</f>
        <v>164.66</v>
      </c>
      <c r="F464" s="1">
        <f>IFERROR(__xludf.DUMMYFUNCTION("""COMPUTED_VALUE"""),4.5390123E7)</f>
        <v>45390123</v>
      </c>
    </row>
    <row r="465">
      <c r="A465" s="2">
        <f>IFERROR(__xludf.DUMMYFUNCTION("""COMPUTED_VALUE"""),45026.66666666667)</f>
        <v>45026.66667</v>
      </c>
      <c r="B465" s="1">
        <f>IFERROR(__xludf.DUMMYFUNCTION("""COMPUTED_VALUE"""),161.42)</f>
        <v>161.42</v>
      </c>
      <c r="C465" s="1">
        <f>IFERROR(__xludf.DUMMYFUNCTION("""COMPUTED_VALUE"""),162.03)</f>
        <v>162.03</v>
      </c>
      <c r="D465" s="1">
        <f>IFERROR(__xludf.DUMMYFUNCTION("""COMPUTED_VALUE"""),160.08)</f>
        <v>160.08</v>
      </c>
      <c r="E465" s="1">
        <f>IFERROR(__xludf.DUMMYFUNCTION("""COMPUTED_VALUE"""),162.03)</f>
        <v>162.03</v>
      </c>
      <c r="F465" s="1">
        <f>IFERROR(__xludf.DUMMYFUNCTION("""COMPUTED_VALUE"""),4.7716882E7)</f>
        <v>47716882</v>
      </c>
    </row>
    <row r="466">
      <c r="A466" s="2">
        <f>IFERROR(__xludf.DUMMYFUNCTION("""COMPUTED_VALUE"""),45027.66666666667)</f>
        <v>45027.66667</v>
      </c>
      <c r="B466" s="1">
        <f>IFERROR(__xludf.DUMMYFUNCTION("""COMPUTED_VALUE"""),162.35)</f>
        <v>162.35</v>
      </c>
      <c r="C466" s="1">
        <f>IFERROR(__xludf.DUMMYFUNCTION("""COMPUTED_VALUE"""),162.36)</f>
        <v>162.36</v>
      </c>
      <c r="D466" s="1">
        <f>IFERROR(__xludf.DUMMYFUNCTION("""COMPUTED_VALUE"""),160.51)</f>
        <v>160.51</v>
      </c>
      <c r="E466" s="1">
        <f>IFERROR(__xludf.DUMMYFUNCTION("""COMPUTED_VALUE"""),160.8)</f>
        <v>160.8</v>
      </c>
      <c r="F466" s="1">
        <f>IFERROR(__xludf.DUMMYFUNCTION("""COMPUTED_VALUE"""),4.7644217E7)</f>
        <v>47644217</v>
      </c>
    </row>
    <row r="467">
      <c r="A467" s="2">
        <f>IFERROR(__xludf.DUMMYFUNCTION("""COMPUTED_VALUE"""),45028.66666666667)</f>
        <v>45028.66667</v>
      </c>
      <c r="B467" s="1">
        <f>IFERROR(__xludf.DUMMYFUNCTION("""COMPUTED_VALUE"""),161.22)</f>
        <v>161.22</v>
      </c>
      <c r="C467" s="1">
        <f>IFERROR(__xludf.DUMMYFUNCTION("""COMPUTED_VALUE"""),162.06)</f>
        <v>162.06</v>
      </c>
      <c r="D467" s="1">
        <f>IFERROR(__xludf.DUMMYFUNCTION("""COMPUTED_VALUE"""),159.78)</f>
        <v>159.78</v>
      </c>
      <c r="E467" s="1">
        <f>IFERROR(__xludf.DUMMYFUNCTION("""COMPUTED_VALUE"""),160.1)</f>
        <v>160.1</v>
      </c>
      <c r="F467" s="1">
        <f>IFERROR(__xludf.DUMMYFUNCTION("""COMPUTED_VALUE"""),5.0133062E7)</f>
        <v>50133062</v>
      </c>
    </row>
    <row r="468">
      <c r="A468" s="2">
        <f>IFERROR(__xludf.DUMMYFUNCTION("""COMPUTED_VALUE"""),45029.66666666667)</f>
        <v>45029.66667</v>
      </c>
      <c r="B468" s="1">
        <f>IFERROR(__xludf.DUMMYFUNCTION("""COMPUTED_VALUE"""),161.63)</f>
        <v>161.63</v>
      </c>
      <c r="C468" s="1">
        <f>IFERROR(__xludf.DUMMYFUNCTION("""COMPUTED_VALUE"""),165.8)</f>
        <v>165.8</v>
      </c>
      <c r="D468" s="1">
        <f>IFERROR(__xludf.DUMMYFUNCTION("""COMPUTED_VALUE"""),161.42)</f>
        <v>161.42</v>
      </c>
      <c r="E468" s="1">
        <f>IFERROR(__xludf.DUMMYFUNCTION("""COMPUTED_VALUE"""),165.56)</f>
        <v>165.56</v>
      </c>
      <c r="F468" s="1">
        <f>IFERROR(__xludf.DUMMYFUNCTION("""COMPUTED_VALUE"""),6.8445649E7)</f>
        <v>68445649</v>
      </c>
    </row>
    <row r="469">
      <c r="A469" s="2">
        <f>IFERROR(__xludf.DUMMYFUNCTION("""COMPUTED_VALUE"""),45030.66666666667)</f>
        <v>45030.66667</v>
      </c>
      <c r="B469" s="1">
        <f>IFERROR(__xludf.DUMMYFUNCTION("""COMPUTED_VALUE"""),164.59)</f>
        <v>164.59</v>
      </c>
      <c r="C469" s="1">
        <f>IFERROR(__xludf.DUMMYFUNCTION("""COMPUTED_VALUE"""),166.32)</f>
        <v>166.32</v>
      </c>
      <c r="D469" s="1">
        <f>IFERROR(__xludf.DUMMYFUNCTION("""COMPUTED_VALUE"""),163.82)</f>
        <v>163.82</v>
      </c>
      <c r="E469" s="1">
        <f>IFERROR(__xludf.DUMMYFUNCTION("""COMPUTED_VALUE"""),165.21)</f>
        <v>165.21</v>
      </c>
      <c r="F469" s="1">
        <f>IFERROR(__xludf.DUMMYFUNCTION("""COMPUTED_VALUE"""),4.938648E7)</f>
        <v>49386480</v>
      </c>
    </row>
    <row r="470">
      <c r="A470" s="2">
        <f>IFERROR(__xludf.DUMMYFUNCTION("""COMPUTED_VALUE"""),45033.66666666667)</f>
        <v>45033.66667</v>
      </c>
      <c r="B470" s="1">
        <f>IFERROR(__xludf.DUMMYFUNCTION("""COMPUTED_VALUE"""),165.09)</f>
        <v>165.09</v>
      </c>
      <c r="C470" s="1">
        <f>IFERROR(__xludf.DUMMYFUNCTION("""COMPUTED_VALUE"""),165.39)</f>
        <v>165.39</v>
      </c>
      <c r="D470" s="1">
        <f>IFERROR(__xludf.DUMMYFUNCTION("""COMPUTED_VALUE"""),164.03)</f>
        <v>164.03</v>
      </c>
      <c r="E470" s="1">
        <f>IFERROR(__xludf.DUMMYFUNCTION("""COMPUTED_VALUE"""),165.23)</f>
        <v>165.23</v>
      </c>
      <c r="F470" s="1">
        <f>IFERROR(__xludf.DUMMYFUNCTION("""COMPUTED_VALUE"""),4.1516217E7)</f>
        <v>41516217</v>
      </c>
    </row>
    <row r="471">
      <c r="A471" s="2">
        <f>IFERROR(__xludf.DUMMYFUNCTION("""COMPUTED_VALUE"""),45034.66666666667)</f>
        <v>45034.66667</v>
      </c>
      <c r="B471" s="1">
        <f>IFERROR(__xludf.DUMMYFUNCTION("""COMPUTED_VALUE"""),166.1)</f>
        <v>166.1</v>
      </c>
      <c r="C471" s="1">
        <f>IFERROR(__xludf.DUMMYFUNCTION("""COMPUTED_VALUE"""),167.41)</f>
        <v>167.41</v>
      </c>
      <c r="D471" s="1">
        <f>IFERROR(__xludf.DUMMYFUNCTION("""COMPUTED_VALUE"""),165.65)</f>
        <v>165.65</v>
      </c>
      <c r="E471" s="1">
        <f>IFERROR(__xludf.DUMMYFUNCTION("""COMPUTED_VALUE"""),166.47)</f>
        <v>166.47</v>
      </c>
      <c r="F471" s="1">
        <f>IFERROR(__xludf.DUMMYFUNCTION("""COMPUTED_VALUE"""),4.9923008E7)</f>
        <v>49923008</v>
      </c>
    </row>
    <row r="472">
      <c r="A472" s="2">
        <f>IFERROR(__xludf.DUMMYFUNCTION("""COMPUTED_VALUE"""),45035.66666666667)</f>
        <v>45035.66667</v>
      </c>
      <c r="B472" s="1">
        <f>IFERROR(__xludf.DUMMYFUNCTION("""COMPUTED_VALUE"""),165.8)</f>
        <v>165.8</v>
      </c>
      <c r="C472" s="1">
        <f>IFERROR(__xludf.DUMMYFUNCTION("""COMPUTED_VALUE"""),168.16)</f>
        <v>168.16</v>
      </c>
      <c r="D472" s="1">
        <f>IFERROR(__xludf.DUMMYFUNCTION("""COMPUTED_VALUE"""),165.54)</f>
        <v>165.54</v>
      </c>
      <c r="E472" s="1">
        <f>IFERROR(__xludf.DUMMYFUNCTION("""COMPUTED_VALUE"""),167.63)</f>
        <v>167.63</v>
      </c>
      <c r="F472" s="1">
        <f>IFERROR(__xludf.DUMMYFUNCTION("""COMPUTED_VALUE"""),4.7720166E7)</f>
        <v>47720166</v>
      </c>
    </row>
    <row r="473">
      <c r="A473" s="2">
        <f>IFERROR(__xludf.DUMMYFUNCTION("""COMPUTED_VALUE"""),45036.66666666667)</f>
        <v>45036.66667</v>
      </c>
      <c r="B473" s="1">
        <f>IFERROR(__xludf.DUMMYFUNCTION("""COMPUTED_VALUE"""),166.09)</f>
        <v>166.09</v>
      </c>
      <c r="C473" s="1">
        <f>IFERROR(__xludf.DUMMYFUNCTION("""COMPUTED_VALUE"""),167.87)</f>
        <v>167.87</v>
      </c>
      <c r="D473" s="1">
        <f>IFERROR(__xludf.DUMMYFUNCTION("""COMPUTED_VALUE"""),165.56)</f>
        <v>165.56</v>
      </c>
      <c r="E473" s="1">
        <f>IFERROR(__xludf.DUMMYFUNCTION("""COMPUTED_VALUE"""),166.65)</f>
        <v>166.65</v>
      </c>
      <c r="F473" s="1">
        <f>IFERROR(__xludf.DUMMYFUNCTION("""COMPUTED_VALUE"""),5.2456377E7)</f>
        <v>52456377</v>
      </c>
    </row>
    <row r="474">
      <c r="A474" s="2">
        <f>IFERROR(__xludf.DUMMYFUNCTION("""COMPUTED_VALUE"""),45037.66666666667)</f>
        <v>45037.66667</v>
      </c>
      <c r="B474" s="1">
        <f>IFERROR(__xludf.DUMMYFUNCTION("""COMPUTED_VALUE"""),165.05)</f>
        <v>165.05</v>
      </c>
      <c r="C474" s="1">
        <f>IFERROR(__xludf.DUMMYFUNCTION("""COMPUTED_VALUE"""),166.45)</f>
        <v>166.45</v>
      </c>
      <c r="D474" s="1">
        <f>IFERROR(__xludf.DUMMYFUNCTION("""COMPUTED_VALUE"""),164.49)</f>
        <v>164.49</v>
      </c>
      <c r="E474" s="1">
        <f>IFERROR(__xludf.DUMMYFUNCTION("""COMPUTED_VALUE"""),165.02)</f>
        <v>165.02</v>
      </c>
      <c r="F474" s="1">
        <f>IFERROR(__xludf.DUMMYFUNCTION("""COMPUTED_VALUE"""),5.8337341E7)</f>
        <v>58337341</v>
      </c>
    </row>
    <row r="475">
      <c r="A475" s="2">
        <f>IFERROR(__xludf.DUMMYFUNCTION("""COMPUTED_VALUE"""),45040.66666666667)</f>
        <v>45040.66667</v>
      </c>
      <c r="B475" s="1">
        <f>IFERROR(__xludf.DUMMYFUNCTION("""COMPUTED_VALUE"""),165.0)</f>
        <v>165</v>
      </c>
      <c r="C475" s="1">
        <f>IFERROR(__xludf.DUMMYFUNCTION("""COMPUTED_VALUE"""),165.6)</f>
        <v>165.6</v>
      </c>
      <c r="D475" s="1">
        <f>IFERROR(__xludf.DUMMYFUNCTION("""COMPUTED_VALUE"""),163.89)</f>
        <v>163.89</v>
      </c>
      <c r="E475" s="1">
        <f>IFERROR(__xludf.DUMMYFUNCTION("""COMPUTED_VALUE"""),165.33)</f>
        <v>165.33</v>
      </c>
      <c r="F475" s="1">
        <f>IFERROR(__xludf.DUMMYFUNCTION("""COMPUTED_VALUE"""),4.1949581E7)</f>
        <v>41949581</v>
      </c>
    </row>
    <row r="476">
      <c r="A476" s="2">
        <f>IFERROR(__xludf.DUMMYFUNCTION("""COMPUTED_VALUE"""),45041.66666666667)</f>
        <v>45041.66667</v>
      </c>
      <c r="B476" s="1">
        <f>IFERROR(__xludf.DUMMYFUNCTION("""COMPUTED_VALUE"""),165.19)</f>
        <v>165.19</v>
      </c>
      <c r="C476" s="1">
        <f>IFERROR(__xludf.DUMMYFUNCTION("""COMPUTED_VALUE"""),166.31)</f>
        <v>166.31</v>
      </c>
      <c r="D476" s="1">
        <f>IFERROR(__xludf.DUMMYFUNCTION("""COMPUTED_VALUE"""),163.73)</f>
        <v>163.73</v>
      </c>
      <c r="E476" s="1">
        <f>IFERROR(__xludf.DUMMYFUNCTION("""COMPUTED_VALUE"""),163.77)</f>
        <v>163.77</v>
      </c>
      <c r="F476" s="1">
        <f>IFERROR(__xludf.DUMMYFUNCTION("""COMPUTED_VALUE"""),4.8714063E7)</f>
        <v>48714063</v>
      </c>
    </row>
    <row r="477">
      <c r="A477" s="2">
        <f>IFERROR(__xludf.DUMMYFUNCTION("""COMPUTED_VALUE"""),45042.66666666667)</f>
        <v>45042.66667</v>
      </c>
      <c r="B477" s="1">
        <f>IFERROR(__xludf.DUMMYFUNCTION("""COMPUTED_VALUE"""),163.06)</f>
        <v>163.06</v>
      </c>
      <c r="C477" s="1">
        <f>IFERROR(__xludf.DUMMYFUNCTION("""COMPUTED_VALUE"""),165.28)</f>
        <v>165.28</v>
      </c>
      <c r="D477" s="1">
        <f>IFERROR(__xludf.DUMMYFUNCTION("""COMPUTED_VALUE"""),162.8)</f>
        <v>162.8</v>
      </c>
      <c r="E477" s="1">
        <f>IFERROR(__xludf.DUMMYFUNCTION("""COMPUTED_VALUE"""),163.76)</f>
        <v>163.76</v>
      </c>
      <c r="F477" s="1">
        <f>IFERROR(__xludf.DUMMYFUNCTION("""COMPUTED_VALUE"""),4.5498796E7)</f>
        <v>45498796</v>
      </c>
    </row>
    <row r="478">
      <c r="A478" s="2">
        <f>IFERROR(__xludf.DUMMYFUNCTION("""COMPUTED_VALUE"""),45043.66666666667)</f>
        <v>45043.66667</v>
      </c>
      <c r="B478" s="1">
        <f>IFERROR(__xludf.DUMMYFUNCTION("""COMPUTED_VALUE"""),165.19)</f>
        <v>165.19</v>
      </c>
      <c r="C478" s="1">
        <f>IFERROR(__xludf.DUMMYFUNCTION("""COMPUTED_VALUE"""),168.56)</f>
        <v>168.56</v>
      </c>
      <c r="D478" s="1">
        <f>IFERROR(__xludf.DUMMYFUNCTION("""COMPUTED_VALUE"""),165.19)</f>
        <v>165.19</v>
      </c>
      <c r="E478" s="1">
        <f>IFERROR(__xludf.DUMMYFUNCTION("""COMPUTED_VALUE"""),168.41)</f>
        <v>168.41</v>
      </c>
      <c r="F478" s="1">
        <f>IFERROR(__xludf.DUMMYFUNCTION("""COMPUTED_VALUE"""),6.4902329E7)</f>
        <v>64902329</v>
      </c>
    </row>
    <row r="479">
      <c r="A479" s="2">
        <f>IFERROR(__xludf.DUMMYFUNCTION("""COMPUTED_VALUE"""),45044.66666666667)</f>
        <v>45044.66667</v>
      </c>
      <c r="B479" s="1">
        <f>IFERROR(__xludf.DUMMYFUNCTION("""COMPUTED_VALUE"""),168.49)</f>
        <v>168.49</v>
      </c>
      <c r="C479" s="1">
        <f>IFERROR(__xludf.DUMMYFUNCTION("""COMPUTED_VALUE"""),169.85)</f>
        <v>169.85</v>
      </c>
      <c r="D479" s="1">
        <f>IFERROR(__xludf.DUMMYFUNCTION("""COMPUTED_VALUE"""),167.88)</f>
        <v>167.88</v>
      </c>
      <c r="E479" s="1">
        <f>IFERROR(__xludf.DUMMYFUNCTION("""COMPUTED_VALUE"""),169.68)</f>
        <v>169.68</v>
      </c>
      <c r="F479" s="1">
        <f>IFERROR(__xludf.DUMMYFUNCTION("""COMPUTED_VALUE"""),5.5275851E7)</f>
        <v>55275851</v>
      </c>
    </row>
    <row r="480">
      <c r="A480" s="2">
        <f>IFERROR(__xludf.DUMMYFUNCTION("""COMPUTED_VALUE"""),45047.66666666667)</f>
        <v>45047.66667</v>
      </c>
      <c r="B480" s="1">
        <f>IFERROR(__xludf.DUMMYFUNCTION("""COMPUTED_VALUE"""),169.28)</f>
        <v>169.28</v>
      </c>
      <c r="C480" s="1">
        <f>IFERROR(__xludf.DUMMYFUNCTION("""COMPUTED_VALUE"""),170.45)</f>
        <v>170.45</v>
      </c>
      <c r="D480" s="1">
        <f>IFERROR(__xludf.DUMMYFUNCTION("""COMPUTED_VALUE"""),168.64)</f>
        <v>168.64</v>
      </c>
      <c r="E480" s="1">
        <f>IFERROR(__xludf.DUMMYFUNCTION("""COMPUTED_VALUE"""),169.59)</f>
        <v>169.59</v>
      </c>
      <c r="F480" s="1">
        <f>IFERROR(__xludf.DUMMYFUNCTION("""COMPUTED_VALUE"""),5.2472936E7)</f>
        <v>52472936</v>
      </c>
    </row>
    <row r="481">
      <c r="A481" s="2">
        <f>IFERROR(__xludf.DUMMYFUNCTION("""COMPUTED_VALUE"""),45048.66666666667)</f>
        <v>45048.66667</v>
      </c>
      <c r="B481" s="1">
        <f>IFERROR(__xludf.DUMMYFUNCTION("""COMPUTED_VALUE"""),170.09)</f>
        <v>170.09</v>
      </c>
      <c r="C481" s="1">
        <f>IFERROR(__xludf.DUMMYFUNCTION("""COMPUTED_VALUE"""),170.35)</f>
        <v>170.35</v>
      </c>
      <c r="D481" s="1">
        <f>IFERROR(__xludf.DUMMYFUNCTION("""COMPUTED_VALUE"""),167.54)</f>
        <v>167.54</v>
      </c>
      <c r="E481" s="1">
        <f>IFERROR(__xludf.DUMMYFUNCTION("""COMPUTED_VALUE"""),168.54)</f>
        <v>168.54</v>
      </c>
      <c r="F481" s="1">
        <f>IFERROR(__xludf.DUMMYFUNCTION("""COMPUTED_VALUE"""),4.8425696E7)</f>
        <v>48425696</v>
      </c>
    </row>
    <row r="482">
      <c r="A482" s="2">
        <f>IFERROR(__xludf.DUMMYFUNCTION("""COMPUTED_VALUE"""),45049.66666666667)</f>
        <v>45049.66667</v>
      </c>
      <c r="B482" s="1">
        <f>IFERROR(__xludf.DUMMYFUNCTION("""COMPUTED_VALUE"""),169.5)</f>
        <v>169.5</v>
      </c>
      <c r="C482" s="1">
        <f>IFERROR(__xludf.DUMMYFUNCTION("""COMPUTED_VALUE"""),170.92)</f>
        <v>170.92</v>
      </c>
      <c r="D482" s="1">
        <f>IFERROR(__xludf.DUMMYFUNCTION("""COMPUTED_VALUE"""),167.16)</f>
        <v>167.16</v>
      </c>
      <c r="E482" s="1">
        <f>IFERROR(__xludf.DUMMYFUNCTION("""COMPUTED_VALUE"""),167.45)</f>
        <v>167.45</v>
      </c>
      <c r="F482" s="1">
        <f>IFERROR(__xludf.DUMMYFUNCTION("""COMPUTED_VALUE"""),6.5136018E7)</f>
        <v>65136018</v>
      </c>
    </row>
    <row r="483">
      <c r="A483" s="2">
        <f>IFERROR(__xludf.DUMMYFUNCTION("""COMPUTED_VALUE"""),45050.66666666667)</f>
        <v>45050.66667</v>
      </c>
      <c r="B483" s="1">
        <f>IFERROR(__xludf.DUMMYFUNCTION("""COMPUTED_VALUE"""),164.89)</f>
        <v>164.89</v>
      </c>
      <c r="C483" s="1">
        <f>IFERROR(__xludf.DUMMYFUNCTION("""COMPUTED_VALUE"""),167.04)</f>
        <v>167.04</v>
      </c>
      <c r="D483" s="1">
        <f>IFERROR(__xludf.DUMMYFUNCTION("""COMPUTED_VALUE"""),164.31)</f>
        <v>164.31</v>
      </c>
      <c r="E483" s="1">
        <f>IFERROR(__xludf.DUMMYFUNCTION("""COMPUTED_VALUE"""),165.79)</f>
        <v>165.79</v>
      </c>
      <c r="F483" s="1">
        <f>IFERROR(__xludf.DUMMYFUNCTION("""COMPUTED_VALUE"""),8.1235427E7)</f>
        <v>81235427</v>
      </c>
    </row>
    <row r="484">
      <c r="A484" s="2">
        <f>IFERROR(__xludf.DUMMYFUNCTION("""COMPUTED_VALUE"""),45051.66666666667)</f>
        <v>45051.66667</v>
      </c>
      <c r="B484" s="1">
        <f>IFERROR(__xludf.DUMMYFUNCTION("""COMPUTED_VALUE"""),170.98)</f>
        <v>170.98</v>
      </c>
      <c r="C484" s="1">
        <f>IFERROR(__xludf.DUMMYFUNCTION("""COMPUTED_VALUE"""),174.3)</f>
        <v>174.3</v>
      </c>
      <c r="D484" s="1">
        <f>IFERROR(__xludf.DUMMYFUNCTION("""COMPUTED_VALUE"""),170.76)</f>
        <v>170.76</v>
      </c>
      <c r="E484" s="1">
        <f>IFERROR(__xludf.DUMMYFUNCTION("""COMPUTED_VALUE"""),173.57)</f>
        <v>173.57</v>
      </c>
      <c r="F484" s="1">
        <f>IFERROR(__xludf.DUMMYFUNCTION("""COMPUTED_VALUE"""),1.13453171E8)</f>
        <v>113453171</v>
      </c>
    </row>
    <row r="485">
      <c r="A485" s="2">
        <f>IFERROR(__xludf.DUMMYFUNCTION("""COMPUTED_VALUE"""),45054.66666666667)</f>
        <v>45054.66667</v>
      </c>
      <c r="B485" s="1">
        <f>IFERROR(__xludf.DUMMYFUNCTION("""COMPUTED_VALUE"""),172.48)</f>
        <v>172.48</v>
      </c>
      <c r="C485" s="1">
        <f>IFERROR(__xludf.DUMMYFUNCTION("""COMPUTED_VALUE"""),173.85)</f>
        <v>173.85</v>
      </c>
      <c r="D485" s="1">
        <f>IFERROR(__xludf.DUMMYFUNCTION("""COMPUTED_VALUE"""),172.11)</f>
        <v>172.11</v>
      </c>
      <c r="E485" s="1">
        <f>IFERROR(__xludf.DUMMYFUNCTION("""COMPUTED_VALUE"""),173.5)</f>
        <v>173.5</v>
      </c>
      <c r="F485" s="1">
        <f>IFERROR(__xludf.DUMMYFUNCTION("""COMPUTED_VALUE"""),5.5962793E7)</f>
        <v>55962793</v>
      </c>
    </row>
    <row r="486">
      <c r="A486" s="2">
        <f>IFERROR(__xludf.DUMMYFUNCTION("""COMPUTED_VALUE"""),45055.66666666667)</f>
        <v>45055.66667</v>
      </c>
      <c r="B486" s="1">
        <f>IFERROR(__xludf.DUMMYFUNCTION("""COMPUTED_VALUE"""),173.05)</f>
        <v>173.05</v>
      </c>
      <c r="C486" s="1">
        <f>IFERROR(__xludf.DUMMYFUNCTION("""COMPUTED_VALUE"""),173.54)</f>
        <v>173.54</v>
      </c>
      <c r="D486" s="1">
        <f>IFERROR(__xludf.DUMMYFUNCTION("""COMPUTED_VALUE"""),171.6)</f>
        <v>171.6</v>
      </c>
      <c r="E486" s="1">
        <f>IFERROR(__xludf.DUMMYFUNCTION("""COMPUTED_VALUE"""),171.77)</f>
        <v>171.77</v>
      </c>
      <c r="F486" s="1">
        <f>IFERROR(__xludf.DUMMYFUNCTION("""COMPUTED_VALUE"""),4.5326874E7)</f>
        <v>45326874</v>
      </c>
    </row>
    <row r="487">
      <c r="A487" s="2">
        <f>IFERROR(__xludf.DUMMYFUNCTION("""COMPUTED_VALUE"""),45056.66666666667)</f>
        <v>45056.66667</v>
      </c>
      <c r="B487" s="1">
        <f>IFERROR(__xludf.DUMMYFUNCTION("""COMPUTED_VALUE"""),173.02)</f>
        <v>173.02</v>
      </c>
      <c r="C487" s="1">
        <f>IFERROR(__xludf.DUMMYFUNCTION("""COMPUTED_VALUE"""),174.03)</f>
        <v>174.03</v>
      </c>
      <c r="D487" s="1">
        <f>IFERROR(__xludf.DUMMYFUNCTION("""COMPUTED_VALUE"""),171.9)</f>
        <v>171.9</v>
      </c>
      <c r="E487" s="1">
        <f>IFERROR(__xludf.DUMMYFUNCTION("""COMPUTED_VALUE"""),173.56)</f>
        <v>173.56</v>
      </c>
      <c r="F487" s="1">
        <f>IFERROR(__xludf.DUMMYFUNCTION("""COMPUTED_VALUE"""),5.3724501E7)</f>
        <v>53724501</v>
      </c>
    </row>
    <row r="488">
      <c r="A488" s="2">
        <f>IFERROR(__xludf.DUMMYFUNCTION("""COMPUTED_VALUE"""),45057.66666666667)</f>
        <v>45057.66667</v>
      </c>
      <c r="B488" s="1">
        <f>IFERROR(__xludf.DUMMYFUNCTION("""COMPUTED_VALUE"""),173.85)</f>
        <v>173.85</v>
      </c>
      <c r="C488" s="1">
        <f>IFERROR(__xludf.DUMMYFUNCTION("""COMPUTED_VALUE"""),174.59)</f>
        <v>174.59</v>
      </c>
      <c r="D488" s="1">
        <f>IFERROR(__xludf.DUMMYFUNCTION("""COMPUTED_VALUE"""),172.17)</f>
        <v>172.17</v>
      </c>
      <c r="E488" s="1">
        <f>IFERROR(__xludf.DUMMYFUNCTION("""COMPUTED_VALUE"""),173.75)</f>
        <v>173.75</v>
      </c>
      <c r="F488" s="1">
        <f>IFERROR(__xludf.DUMMYFUNCTION("""COMPUTED_VALUE"""),4.9514676E7)</f>
        <v>49514676</v>
      </c>
    </row>
    <row r="489">
      <c r="A489" s="2">
        <f>IFERROR(__xludf.DUMMYFUNCTION("""COMPUTED_VALUE"""),45058.66666666667)</f>
        <v>45058.66667</v>
      </c>
      <c r="B489" s="1">
        <f>IFERROR(__xludf.DUMMYFUNCTION("""COMPUTED_VALUE"""),173.62)</f>
        <v>173.62</v>
      </c>
      <c r="C489" s="1">
        <f>IFERROR(__xludf.DUMMYFUNCTION("""COMPUTED_VALUE"""),174.06)</f>
        <v>174.06</v>
      </c>
      <c r="D489" s="1">
        <f>IFERROR(__xludf.DUMMYFUNCTION("""COMPUTED_VALUE"""),171.0)</f>
        <v>171</v>
      </c>
      <c r="E489" s="1">
        <f>IFERROR(__xludf.DUMMYFUNCTION("""COMPUTED_VALUE"""),172.57)</f>
        <v>172.57</v>
      </c>
      <c r="F489" s="1">
        <f>IFERROR(__xludf.DUMMYFUNCTION("""COMPUTED_VALUE"""),4.5533138E7)</f>
        <v>45533138</v>
      </c>
    </row>
    <row r="490">
      <c r="A490" s="2">
        <f>IFERROR(__xludf.DUMMYFUNCTION("""COMPUTED_VALUE"""),45061.66666666667)</f>
        <v>45061.66667</v>
      </c>
      <c r="B490" s="1">
        <f>IFERROR(__xludf.DUMMYFUNCTION("""COMPUTED_VALUE"""),173.16)</f>
        <v>173.16</v>
      </c>
      <c r="C490" s="1">
        <f>IFERROR(__xludf.DUMMYFUNCTION("""COMPUTED_VALUE"""),173.21)</f>
        <v>173.21</v>
      </c>
      <c r="D490" s="1">
        <f>IFERROR(__xludf.DUMMYFUNCTION("""COMPUTED_VALUE"""),171.47)</f>
        <v>171.47</v>
      </c>
      <c r="E490" s="1">
        <f>IFERROR(__xludf.DUMMYFUNCTION("""COMPUTED_VALUE"""),172.07)</f>
        <v>172.07</v>
      </c>
      <c r="F490" s="1">
        <f>IFERROR(__xludf.DUMMYFUNCTION("""COMPUTED_VALUE"""),3.7266659E7)</f>
        <v>37266659</v>
      </c>
    </row>
    <row r="491">
      <c r="A491" s="2">
        <f>IFERROR(__xludf.DUMMYFUNCTION("""COMPUTED_VALUE"""),45062.66666666667)</f>
        <v>45062.66667</v>
      </c>
      <c r="B491" s="1">
        <f>IFERROR(__xludf.DUMMYFUNCTION("""COMPUTED_VALUE"""),171.99)</f>
        <v>171.99</v>
      </c>
      <c r="C491" s="1">
        <f>IFERROR(__xludf.DUMMYFUNCTION("""COMPUTED_VALUE"""),173.14)</f>
        <v>173.14</v>
      </c>
      <c r="D491" s="1">
        <f>IFERROR(__xludf.DUMMYFUNCTION("""COMPUTED_VALUE"""),171.8)</f>
        <v>171.8</v>
      </c>
      <c r="E491" s="1">
        <f>IFERROR(__xludf.DUMMYFUNCTION("""COMPUTED_VALUE"""),172.07)</f>
        <v>172.07</v>
      </c>
      <c r="F491" s="1">
        <f>IFERROR(__xludf.DUMMYFUNCTION("""COMPUTED_VALUE"""),4.2110293E7)</f>
        <v>42110293</v>
      </c>
    </row>
    <row r="492">
      <c r="A492" s="2">
        <f>IFERROR(__xludf.DUMMYFUNCTION("""COMPUTED_VALUE"""),45063.66666666667)</f>
        <v>45063.66667</v>
      </c>
      <c r="B492" s="1">
        <f>IFERROR(__xludf.DUMMYFUNCTION("""COMPUTED_VALUE"""),171.71)</f>
        <v>171.71</v>
      </c>
      <c r="C492" s="1">
        <f>IFERROR(__xludf.DUMMYFUNCTION("""COMPUTED_VALUE"""),172.93)</f>
        <v>172.93</v>
      </c>
      <c r="D492" s="1">
        <f>IFERROR(__xludf.DUMMYFUNCTION("""COMPUTED_VALUE"""),170.42)</f>
        <v>170.42</v>
      </c>
      <c r="E492" s="1">
        <f>IFERROR(__xludf.DUMMYFUNCTION("""COMPUTED_VALUE"""),172.69)</f>
        <v>172.69</v>
      </c>
      <c r="F492" s="1">
        <f>IFERROR(__xludf.DUMMYFUNCTION("""COMPUTED_VALUE"""),5.7951604E7)</f>
        <v>57951604</v>
      </c>
    </row>
    <row r="493">
      <c r="A493" s="2">
        <f>IFERROR(__xludf.DUMMYFUNCTION("""COMPUTED_VALUE"""),45064.66666666667)</f>
        <v>45064.66667</v>
      </c>
      <c r="B493" s="1">
        <f>IFERROR(__xludf.DUMMYFUNCTION("""COMPUTED_VALUE"""),173.0)</f>
        <v>173</v>
      </c>
      <c r="C493" s="1">
        <f>IFERROR(__xludf.DUMMYFUNCTION("""COMPUTED_VALUE"""),175.24)</f>
        <v>175.24</v>
      </c>
      <c r="D493" s="1">
        <f>IFERROR(__xludf.DUMMYFUNCTION("""COMPUTED_VALUE"""),172.58)</f>
        <v>172.58</v>
      </c>
      <c r="E493" s="1">
        <f>IFERROR(__xludf.DUMMYFUNCTION("""COMPUTED_VALUE"""),175.05)</f>
        <v>175.05</v>
      </c>
      <c r="F493" s="1">
        <f>IFERROR(__xludf.DUMMYFUNCTION("""COMPUTED_VALUE"""),6.5496657E7)</f>
        <v>65496657</v>
      </c>
    </row>
    <row r="494">
      <c r="A494" s="2">
        <f>IFERROR(__xludf.DUMMYFUNCTION("""COMPUTED_VALUE"""),45065.66666666667)</f>
        <v>45065.66667</v>
      </c>
      <c r="B494" s="1">
        <f>IFERROR(__xludf.DUMMYFUNCTION("""COMPUTED_VALUE"""),176.39)</f>
        <v>176.39</v>
      </c>
      <c r="C494" s="1">
        <f>IFERROR(__xludf.DUMMYFUNCTION("""COMPUTED_VALUE"""),176.39)</f>
        <v>176.39</v>
      </c>
      <c r="D494" s="1">
        <f>IFERROR(__xludf.DUMMYFUNCTION("""COMPUTED_VALUE"""),174.94)</f>
        <v>174.94</v>
      </c>
      <c r="E494" s="1">
        <f>IFERROR(__xludf.DUMMYFUNCTION("""COMPUTED_VALUE"""),175.16)</f>
        <v>175.16</v>
      </c>
      <c r="F494" s="1">
        <f>IFERROR(__xludf.DUMMYFUNCTION("""COMPUTED_VALUE"""),5.5809475E7)</f>
        <v>55809475</v>
      </c>
    </row>
    <row r="495">
      <c r="A495" s="2">
        <f>IFERROR(__xludf.DUMMYFUNCTION("""COMPUTED_VALUE"""),45068.66666666667)</f>
        <v>45068.66667</v>
      </c>
      <c r="B495" s="1">
        <f>IFERROR(__xludf.DUMMYFUNCTION("""COMPUTED_VALUE"""),173.98)</f>
        <v>173.98</v>
      </c>
      <c r="C495" s="1">
        <f>IFERROR(__xludf.DUMMYFUNCTION("""COMPUTED_VALUE"""),174.71)</f>
        <v>174.71</v>
      </c>
      <c r="D495" s="1">
        <f>IFERROR(__xludf.DUMMYFUNCTION("""COMPUTED_VALUE"""),173.45)</f>
        <v>173.45</v>
      </c>
      <c r="E495" s="1">
        <f>IFERROR(__xludf.DUMMYFUNCTION("""COMPUTED_VALUE"""),174.2)</f>
        <v>174.2</v>
      </c>
      <c r="F495" s="1">
        <f>IFERROR(__xludf.DUMMYFUNCTION("""COMPUTED_VALUE"""),4.3570932E7)</f>
        <v>43570932</v>
      </c>
    </row>
    <row r="496">
      <c r="A496" s="2">
        <f>IFERROR(__xludf.DUMMYFUNCTION("""COMPUTED_VALUE"""),45069.66666666667)</f>
        <v>45069.66667</v>
      </c>
      <c r="B496" s="1">
        <f>IFERROR(__xludf.DUMMYFUNCTION("""COMPUTED_VALUE"""),173.13)</f>
        <v>173.13</v>
      </c>
      <c r="C496" s="1">
        <f>IFERROR(__xludf.DUMMYFUNCTION("""COMPUTED_VALUE"""),173.38)</f>
        <v>173.38</v>
      </c>
      <c r="D496" s="1">
        <f>IFERROR(__xludf.DUMMYFUNCTION("""COMPUTED_VALUE"""),171.28)</f>
        <v>171.28</v>
      </c>
      <c r="E496" s="1">
        <f>IFERROR(__xludf.DUMMYFUNCTION("""COMPUTED_VALUE"""),171.56)</f>
        <v>171.56</v>
      </c>
      <c r="F496" s="1">
        <f>IFERROR(__xludf.DUMMYFUNCTION("""COMPUTED_VALUE"""),5.0747263E7)</f>
        <v>50747263</v>
      </c>
    </row>
    <row r="497">
      <c r="A497" s="2">
        <f>IFERROR(__xludf.DUMMYFUNCTION("""COMPUTED_VALUE"""),45070.66666666667)</f>
        <v>45070.66667</v>
      </c>
      <c r="B497" s="1">
        <f>IFERROR(__xludf.DUMMYFUNCTION("""COMPUTED_VALUE"""),171.09)</f>
        <v>171.09</v>
      </c>
      <c r="C497" s="1">
        <f>IFERROR(__xludf.DUMMYFUNCTION("""COMPUTED_VALUE"""),172.42)</f>
        <v>172.42</v>
      </c>
      <c r="D497" s="1">
        <f>IFERROR(__xludf.DUMMYFUNCTION("""COMPUTED_VALUE"""),170.52)</f>
        <v>170.52</v>
      </c>
      <c r="E497" s="1">
        <f>IFERROR(__xludf.DUMMYFUNCTION("""COMPUTED_VALUE"""),171.84)</f>
        <v>171.84</v>
      </c>
      <c r="F497" s="1">
        <f>IFERROR(__xludf.DUMMYFUNCTION("""COMPUTED_VALUE"""),4.5143488E7)</f>
        <v>45143488</v>
      </c>
    </row>
    <row r="498">
      <c r="A498" s="2">
        <f>IFERROR(__xludf.DUMMYFUNCTION("""COMPUTED_VALUE"""),45071.66666666667)</f>
        <v>45071.66667</v>
      </c>
      <c r="B498" s="1">
        <f>IFERROR(__xludf.DUMMYFUNCTION("""COMPUTED_VALUE"""),172.41)</f>
        <v>172.41</v>
      </c>
      <c r="C498" s="1">
        <f>IFERROR(__xludf.DUMMYFUNCTION("""COMPUTED_VALUE"""),173.9)</f>
        <v>173.9</v>
      </c>
      <c r="D498" s="1">
        <f>IFERROR(__xludf.DUMMYFUNCTION("""COMPUTED_VALUE"""),171.69)</f>
        <v>171.69</v>
      </c>
      <c r="E498" s="1">
        <f>IFERROR(__xludf.DUMMYFUNCTION("""COMPUTED_VALUE"""),172.99)</f>
        <v>172.99</v>
      </c>
      <c r="F498" s="1">
        <f>IFERROR(__xludf.DUMMYFUNCTION("""COMPUTED_VALUE"""),5.6058258E7)</f>
        <v>56058258</v>
      </c>
    </row>
    <row r="499">
      <c r="A499" s="2">
        <f>IFERROR(__xludf.DUMMYFUNCTION("""COMPUTED_VALUE"""),45072.66666666667)</f>
        <v>45072.66667</v>
      </c>
      <c r="B499" s="1">
        <f>IFERROR(__xludf.DUMMYFUNCTION("""COMPUTED_VALUE"""),173.32)</f>
        <v>173.32</v>
      </c>
      <c r="C499" s="1">
        <f>IFERROR(__xludf.DUMMYFUNCTION("""COMPUTED_VALUE"""),175.77)</f>
        <v>175.77</v>
      </c>
      <c r="D499" s="1">
        <f>IFERROR(__xludf.DUMMYFUNCTION("""COMPUTED_VALUE"""),173.11)</f>
        <v>173.11</v>
      </c>
      <c r="E499" s="1">
        <f>IFERROR(__xludf.DUMMYFUNCTION("""COMPUTED_VALUE"""),175.43)</f>
        <v>175.43</v>
      </c>
      <c r="F499" s="1">
        <f>IFERROR(__xludf.DUMMYFUNCTION("""COMPUTED_VALUE"""),5.4834975E7)</f>
        <v>54834975</v>
      </c>
    </row>
    <row r="500">
      <c r="A500" s="2">
        <f>IFERROR(__xludf.DUMMYFUNCTION("""COMPUTED_VALUE"""),45076.66666666667)</f>
        <v>45076.66667</v>
      </c>
      <c r="B500" s="1">
        <f>IFERROR(__xludf.DUMMYFUNCTION("""COMPUTED_VALUE"""),176.96)</f>
        <v>176.96</v>
      </c>
      <c r="C500" s="1">
        <f>IFERROR(__xludf.DUMMYFUNCTION("""COMPUTED_VALUE"""),178.99)</f>
        <v>178.99</v>
      </c>
      <c r="D500" s="1">
        <f>IFERROR(__xludf.DUMMYFUNCTION("""COMPUTED_VALUE"""),176.57)</f>
        <v>176.57</v>
      </c>
      <c r="E500" s="1">
        <f>IFERROR(__xludf.DUMMYFUNCTION("""COMPUTED_VALUE"""),177.3)</f>
        <v>177.3</v>
      </c>
      <c r="F500" s="1">
        <f>IFERROR(__xludf.DUMMYFUNCTION("""COMPUTED_VALUE"""),5.5964401E7)</f>
        <v>55964401</v>
      </c>
    </row>
    <row r="501">
      <c r="A501" s="2">
        <f>IFERROR(__xludf.DUMMYFUNCTION("""COMPUTED_VALUE"""),45077.66666666667)</f>
        <v>45077.66667</v>
      </c>
      <c r="B501" s="1">
        <f>IFERROR(__xludf.DUMMYFUNCTION("""COMPUTED_VALUE"""),177.33)</f>
        <v>177.33</v>
      </c>
      <c r="C501" s="1">
        <f>IFERROR(__xludf.DUMMYFUNCTION("""COMPUTED_VALUE"""),179.35)</f>
        <v>179.35</v>
      </c>
      <c r="D501" s="1">
        <f>IFERROR(__xludf.DUMMYFUNCTION("""COMPUTED_VALUE"""),176.76)</f>
        <v>176.76</v>
      </c>
      <c r="E501" s="1">
        <f>IFERROR(__xludf.DUMMYFUNCTION("""COMPUTED_VALUE"""),177.25)</f>
        <v>177.25</v>
      </c>
      <c r="F501" s="1">
        <f>IFERROR(__xludf.DUMMYFUNCTION("""COMPUTED_VALUE"""),9.9625288E7)</f>
        <v>99625288</v>
      </c>
    </row>
    <row r="502">
      <c r="A502" s="2">
        <f>IFERROR(__xludf.DUMMYFUNCTION("""COMPUTED_VALUE"""),45078.66666666667)</f>
        <v>45078.66667</v>
      </c>
      <c r="B502" s="1">
        <f>IFERROR(__xludf.DUMMYFUNCTION("""COMPUTED_VALUE"""),177.7)</f>
        <v>177.7</v>
      </c>
      <c r="C502" s="1">
        <f>IFERROR(__xludf.DUMMYFUNCTION("""COMPUTED_VALUE"""),180.12)</f>
        <v>180.12</v>
      </c>
      <c r="D502" s="1">
        <f>IFERROR(__xludf.DUMMYFUNCTION("""COMPUTED_VALUE"""),176.93)</f>
        <v>176.93</v>
      </c>
      <c r="E502" s="1">
        <f>IFERROR(__xludf.DUMMYFUNCTION("""COMPUTED_VALUE"""),180.09)</f>
        <v>180.09</v>
      </c>
      <c r="F502" s="1">
        <f>IFERROR(__xludf.DUMMYFUNCTION("""COMPUTED_VALUE"""),6.8901809E7)</f>
        <v>68901809</v>
      </c>
    </row>
    <row r="503">
      <c r="A503" s="2">
        <f>IFERROR(__xludf.DUMMYFUNCTION("""COMPUTED_VALUE"""),45079.66666666667)</f>
        <v>45079.66667</v>
      </c>
      <c r="B503" s="1">
        <f>IFERROR(__xludf.DUMMYFUNCTION("""COMPUTED_VALUE"""),181.03)</f>
        <v>181.03</v>
      </c>
      <c r="C503" s="1">
        <f>IFERROR(__xludf.DUMMYFUNCTION("""COMPUTED_VALUE"""),181.78)</f>
        <v>181.78</v>
      </c>
      <c r="D503" s="1">
        <f>IFERROR(__xludf.DUMMYFUNCTION("""COMPUTED_VALUE"""),179.26)</f>
        <v>179.26</v>
      </c>
      <c r="E503" s="1">
        <f>IFERROR(__xludf.DUMMYFUNCTION("""COMPUTED_VALUE"""),180.95)</f>
        <v>180.95</v>
      </c>
      <c r="F503" s="1">
        <f>IFERROR(__xludf.DUMMYFUNCTION("""COMPUTED_VALUE"""),6.1996913E7)</f>
        <v>61996913</v>
      </c>
    </row>
    <row r="504">
      <c r="A504" s="2">
        <f>IFERROR(__xludf.DUMMYFUNCTION("""COMPUTED_VALUE"""),45082.66666666667)</f>
        <v>45082.66667</v>
      </c>
      <c r="B504" s="1">
        <f>IFERROR(__xludf.DUMMYFUNCTION("""COMPUTED_VALUE"""),182.63)</f>
        <v>182.63</v>
      </c>
      <c r="C504" s="1">
        <f>IFERROR(__xludf.DUMMYFUNCTION("""COMPUTED_VALUE"""),184.95)</f>
        <v>184.95</v>
      </c>
      <c r="D504" s="1">
        <f>IFERROR(__xludf.DUMMYFUNCTION("""COMPUTED_VALUE"""),178.04)</f>
        <v>178.04</v>
      </c>
      <c r="E504" s="1">
        <f>IFERROR(__xludf.DUMMYFUNCTION("""COMPUTED_VALUE"""),179.58)</f>
        <v>179.58</v>
      </c>
      <c r="F504" s="1">
        <f>IFERROR(__xludf.DUMMYFUNCTION("""COMPUTED_VALUE"""),1.21946497E8)</f>
        <v>121946497</v>
      </c>
    </row>
    <row r="505">
      <c r="A505" s="2">
        <f>IFERROR(__xludf.DUMMYFUNCTION("""COMPUTED_VALUE"""),45083.66666666667)</f>
        <v>45083.66667</v>
      </c>
      <c r="B505" s="1">
        <f>IFERROR(__xludf.DUMMYFUNCTION("""COMPUTED_VALUE"""),179.97)</f>
        <v>179.97</v>
      </c>
      <c r="C505" s="1">
        <f>IFERROR(__xludf.DUMMYFUNCTION("""COMPUTED_VALUE"""),180.12)</f>
        <v>180.12</v>
      </c>
      <c r="D505" s="1">
        <f>IFERROR(__xludf.DUMMYFUNCTION("""COMPUTED_VALUE"""),177.43)</f>
        <v>177.43</v>
      </c>
      <c r="E505" s="1">
        <f>IFERROR(__xludf.DUMMYFUNCTION("""COMPUTED_VALUE"""),179.21)</f>
        <v>179.21</v>
      </c>
      <c r="F505" s="1">
        <f>IFERROR(__xludf.DUMMYFUNCTION("""COMPUTED_VALUE"""),6.4848374E7)</f>
        <v>64848374</v>
      </c>
    </row>
    <row r="506">
      <c r="A506" s="2">
        <f>IFERROR(__xludf.DUMMYFUNCTION("""COMPUTED_VALUE"""),45084.66666666667)</f>
        <v>45084.66667</v>
      </c>
      <c r="B506" s="1">
        <f>IFERROR(__xludf.DUMMYFUNCTION("""COMPUTED_VALUE"""),178.44)</f>
        <v>178.44</v>
      </c>
      <c r="C506" s="1">
        <f>IFERROR(__xludf.DUMMYFUNCTION("""COMPUTED_VALUE"""),181.21)</f>
        <v>181.21</v>
      </c>
      <c r="D506" s="1">
        <f>IFERROR(__xludf.DUMMYFUNCTION("""COMPUTED_VALUE"""),177.32)</f>
        <v>177.32</v>
      </c>
      <c r="E506" s="1">
        <f>IFERROR(__xludf.DUMMYFUNCTION("""COMPUTED_VALUE"""),177.82)</f>
        <v>177.82</v>
      </c>
      <c r="F506" s="1">
        <f>IFERROR(__xludf.DUMMYFUNCTION("""COMPUTED_VALUE"""),6.1944615E7)</f>
        <v>61944615</v>
      </c>
    </row>
    <row r="507">
      <c r="A507" s="2">
        <f>IFERROR(__xludf.DUMMYFUNCTION("""COMPUTED_VALUE"""),45085.66666666667)</f>
        <v>45085.66667</v>
      </c>
      <c r="B507" s="1">
        <f>IFERROR(__xludf.DUMMYFUNCTION("""COMPUTED_VALUE"""),177.9)</f>
        <v>177.9</v>
      </c>
      <c r="C507" s="1">
        <f>IFERROR(__xludf.DUMMYFUNCTION("""COMPUTED_VALUE"""),180.84)</f>
        <v>180.84</v>
      </c>
      <c r="D507" s="1">
        <f>IFERROR(__xludf.DUMMYFUNCTION("""COMPUTED_VALUE"""),177.46)</f>
        <v>177.46</v>
      </c>
      <c r="E507" s="1">
        <f>IFERROR(__xludf.DUMMYFUNCTION("""COMPUTED_VALUE"""),180.57)</f>
        <v>180.57</v>
      </c>
      <c r="F507" s="1">
        <f>IFERROR(__xludf.DUMMYFUNCTION("""COMPUTED_VALUE"""),5.0214881E7)</f>
        <v>50214881</v>
      </c>
    </row>
    <row r="508">
      <c r="A508" s="2">
        <f>IFERROR(__xludf.DUMMYFUNCTION("""COMPUTED_VALUE"""),45086.66666666667)</f>
        <v>45086.66667</v>
      </c>
      <c r="B508" s="1">
        <f>IFERROR(__xludf.DUMMYFUNCTION("""COMPUTED_VALUE"""),181.5)</f>
        <v>181.5</v>
      </c>
      <c r="C508" s="1">
        <f>IFERROR(__xludf.DUMMYFUNCTION("""COMPUTED_VALUE"""),182.23)</f>
        <v>182.23</v>
      </c>
      <c r="D508" s="1">
        <f>IFERROR(__xludf.DUMMYFUNCTION("""COMPUTED_VALUE"""),180.63)</f>
        <v>180.63</v>
      </c>
      <c r="E508" s="1">
        <f>IFERROR(__xludf.DUMMYFUNCTION("""COMPUTED_VALUE"""),180.96)</f>
        <v>180.96</v>
      </c>
      <c r="F508" s="1">
        <f>IFERROR(__xludf.DUMMYFUNCTION("""COMPUTED_VALUE"""),4.8899973E7)</f>
        <v>48899973</v>
      </c>
    </row>
    <row r="509">
      <c r="A509" s="2">
        <f>IFERROR(__xludf.DUMMYFUNCTION("""COMPUTED_VALUE"""),45089.66666666667)</f>
        <v>45089.66667</v>
      </c>
      <c r="B509" s="1">
        <f>IFERROR(__xludf.DUMMYFUNCTION("""COMPUTED_VALUE"""),181.27)</f>
        <v>181.27</v>
      </c>
      <c r="C509" s="1">
        <f>IFERROR(__xludf.DUMMYFUNCTION("""COMPUTED_VALUE"""),183.89)</f>
        <v>183.89</v>
      </c>
      <c r="D509" s="1">
        <f>IFERROR(__xludf.DUMMYFUNCTION("""COMPUTED_VALUE"""),180.97)</f>
        <v>180.97</v>
      </c>
      <c r="E509" s="1">
        <f>IFERROR(__xludf.DUMMYFUNCTION("""COMPUTED_VALUE"""),183.79)</f>
        <v>183.79</v>
      </c>
      <c r="F509" s="1">
        <f>IFERROR(__xludf.DUMMYFUNCTION("""COMPUTED_VALUE"""),5.4754995E7)</f>
        <v>54754995</v>
      </c>
    </row>
    <row r="510">
      <c r="A510" s="2">
        <f>IFERROR(__xludf.DUMMYFUNCTION("""COMPUTED_VALUE"""),45090.66666666667)</f>
        <v>45090.66667</v>
      </c>
      <c r="B510" s="1">
        <f>IFERROR(__xludf.DUMMYFUNCTION("""COMPUTED_VALUE"""),182.8)</f>
        <v>182.8</v>
      </c>
      <c r="C510" s="1">
        <f>IFERROR(__xludf.DUMMYFUNCTION("""COMPUTED_VALUE"""),184.15)</f>
        <v>184.15</v>
      </c>
      <c r="D510" s="1">
        <f>IFERROR(__xludf.DUMMYFUNCTION("""COMPUTED_VALUE"""),182.44)</f>
        <v>182.44</v>
      </c>
      <c r="E510" s="1">
        <f>IFERROR(__xludf.DUMMYFUNCTION("""COMPUTED_VALUE"""),183.31)</f>
        <v>183.31</v>
      </c>
      <c r="F510" s="1">
        <f>IFERROR(__xludf.DUMMYFUNCTION("""COMPUTED_VALUE"""),5.4929129E7)</f>
        <v>54929129</v>
      </c>
    </row>
    <row r="511">
      <c r="A511" s="2">
        <f>IFERROR(__xludf.DUMMYFUNCTION("""COMPUTED_VALUE"""),45091.66666666667)</f>
        <v>45091.66667</v>
      </c>
      <c r="B511" s="1">
        <f>IFERROR(__xludf.DUMMYFUNCTION("""COMPUTED_VALUE"""),183.37)</f>
        <v>183.37</v>
      </c>
      <c r="C511" s="1">
        <f>IFERROR(__xludf.DUMMYFUNCTION("""COMPUTED_VALUE"""),184.39)</f>
        <v>184.39</v>
      </c>
      <c r="D511" s="1">
        <f>IFERROR(__xludf.DUMMYFUNCTION("""COMPUTED_VALUE"""),182.02)</f>
        <v>182.02</v>
      </c>
      <c r="E511" s="1">
        <f>IFERROR(__xludf.DUMMYFUNCTION("""COMPUTED_VALUE"""),183.95)</f>
        <v>183.95</v>
      </c>
      <c r="F511" s="1">
        <f>IFERROR(__xludf.DUMMYFUNCTION("""COMPUTED_VALUE"""),5.7462882E7)</f>
        <v>57462882</v>
      </c>
    </row>
    <row r="512">
      <c r="A512" s="2">
        <f>IFERROR(__xludf.DUMMYFUNCTION("""COMPUTED_VALUE"""),45092.66666666667)</f>
        <v>45092.66667</v>
      </c>
      <c r="B512" s="1">
        <f>IFERROR(__xludf.DUMMYFUNCTION("""COMPUTED_VALUE"""),183.96)</f>
        <v>183.96</v>
      </c>
      <c r="C512" s="1">
        <f>IFERROR(__xludf.DUMMYFUNCTION("""COMPUTED_VALUE"""),186.52)</f>
        <v>186.52</v>
      </c>
      <c r="D512" s="1">
        <f>IFERROR(__xludf.DUMMYFUNCTION("""COMPUTED_VALUE"""),183.78)</f>
        <v>183.78</v>
      </c>
      <c r="E512" s="1">
        <f>IFERROR(__xludf.DUMMYFUNCTION("""COMPUTED_VALUE"""),186.01)</f>
        <v>186.01</v>
      </c>
      <c r="F512" s="1">
        <f>IFERROR(__xludf.DUMMYFUNCTION("""COMPUTED_VALUE"""),6.5433166E7)</f>
        <v>65433166</v>
      </c>
    </row>
    <row r="513">
      <c r="A513" s="2">
        <f>IFERROR(__xludf.DUMMYFUNCTION("""COMPUTED_VALUE"""),45093.66666666667)</f>
        <v>45093.66667</v>
      </c>
      <c r="B513" s="1">
        <f>IFERROR(__xludf.DUMMYFUNCTION("""COMPUTED_VALUE"""),186.73)</f>
        <v>186.73</v>
      </c>
      <c r="C513" s="1">
        <f>IFERROR(__xludf.DUMMYFUNCTION("""COMPUTED_VALUE"""),186.99)</f>
        <v>186.99</v>
      </c>
      <c r="D513" s="1">
        <f>IFERROR(__xludf.DUMMYFUNCTION("""COMPUTED_VALUE"""),184.27)</f>
        <v>184.27</v>
      </c>
      <c r="E513" s="1">
        <f>IFERROR(__xludf.DUMMYFUNCTION("""COMPUTED_VALUE"""),184.92)</f>
        <v>184.92</v>
      </c>
      <c r="F513" s="1">
        <f>IFERROR(__xludf.DUMMYFUNCTION("""COMPUTED_VALUE"""),1.01256225E8)</f>
        <v>101256225</v>
      </c>
    </row>
    <row r="514">
      <c r="A514" s="2">
        <f>IFERROR(__xludf.DUMMYFUNCTION("""COMPUTED_VALUE"""),45097.66666666667)</f>
        <v>45097.66667</v>
      </c>
      <c r="B514" s="1">
        <f>IFERROR(__xludf.DUMMYFUNCTION("""COMPUTED_VALUE"""),184.41)</f>
        <v>184.41</v>
      </c>
      <c r="C514" s="1">
        <f>IFERROR(__xludf.DUMMYFUNCTION("""COMPUTED_VALUE"""),186.1)</f>
        <v>186.1</v>
      </c>
      <c r="D514" s="1">
        <f>IFERROR(__xludf.DUMMYFUNCTION("""COMPUTED_VALUE"""),184.41)</f>
        <v>184.41</v>
      </c>
      <c r="E514" s="1">
        <f>IFERROR(__xludf.DUMMYFUNCTION("""COMPUTED_VALUE"""),185.01)</f>
        <v>185.01</v>
      </c>
      <c r="F514" s="1">
        <f>IFERROR(__xludf.DUMMYFUNCTION("""COMPUTED_VALUE"""),4.9799092E7)</f>
        <v>49799092</v>
      </c>
    </row>
    <row r="515">
      <c r="A515" s="2">
        <f>IFERROR(__xludf.DUMMYFUNCTION("""COMPUTED_VALUE"""),45098.66666666667)</f>
        <v>45098.66667</v>
      </c>
      <c r="B515" s="1">
        <f>IFERROR(__xludf.DUMMYFUNCTION("""COMPUTED_VALUE"""),184.9)</f>
        <v>184.9</v>
      </c>
      <c r="C515" s="1">
        <f>IFERROR(__xludf.DUMMYFUNCTION("""COMPUTED_VALUE"""),185.41)</f>
        <v>185.41</v>
      </c>
      <c r="D515" s="1">
        <f>IFERROR(__xludf.DUMMYFUNCTION("""COMPUTED_VALUE"""),182.59)</f>
        <v>182.59</v>
      </c>
      <c r="E515" s="1">
        <f>IFERROR(__xludf.DUMMYFUNCTION("""COMPUTED_VALUE"""),183.96)</f>
        <v>183.96</v>
      </c>
      <c r="F515" s="1">
        <f>IFERROR(__xludf.DUMMYFUNCTION("""COMPUTED_VALUE"""),4.9515697E7)</f>
        <v>49515697</v>
      </c>
    </row>
    <row r="516">
      <c r="A516" s="2">
        <f>IFERROR(__xludf.DUMMYFUNCTION("""COMPUTED_VALUE"""),45099.66666666667)</f>
        <v>45099.66667</v>
      </c>
      <c r="B516" s="1">
        <f>IFERROR(__xludf.DUMMYFUNCTION("""COMPUTED_VALUE"""),183.74)</f>
        <v>183.74</v>
      </c>
      <c r="C516" s="1">
        <f>IFERROR(__xludf.DUMMYFUNCTION("""COMPUTED_VALUE"""),187.05)</f>
        <v>187.05</v>
      </c>
      <c r="D516" s="1">
        <f>IFERROR(__xludf.DUMMYFUNCTION("""COMPUTED_VALUE"""),183.67)</f>
        <v>183.67</v>
      </c>
      <c r="E516" s="1">
        <f>IFERROR(__xludf.DUMMYFUNCTION("""COMPUTED_VALUE"""),187.0)</f>
        <v>187</v>
      </c>
      <c r="F516" s="1">
        <f>IFERROR(__xludf.DUMMYFUNCTION("""COMPUTED_VALUE"""),5.1245327E7)</f>
        <v>51245327</v>
      </c>
    </row>
    <row r="517">
      <c r="A517" s="2">
        <f>IFERROR(__xludf.DUMMYFUNCTION("""COMPUTED_VALUE"""),45100.66666666667)</f>
        <v>45100.66667</v>
      </c>
      <c r="B517" s="1">
        <f>IFERROR(__xludf.DUMMYFUNCTION("""COMPUTED_VALUE"""),185.55)</f>
        <v>185.55</v>
      </c>
      <c r="C517" s="1">
        <f>IFERROR(__xludf.DUMMYFUNCTION("""COMPUTED_VALUE"""),187.56)</f>
        <v>187.56</v>
      </c>
      <c r="D517" s="1">
        <f>IFERROR(__xludf.DUMMYFUNCTION("""COMPUTED_VALUE"""),185.01)</f>
        <v>185.01</v>
      </c>
      <c r="E517" s="1">
        <f>IFERROR(__xludf.DUMMYFUNCTION("""COMPUTED_VALUE"""),186.68)</f>
        <v>186.68</v>
      </c>
      <c r="F517" s="1">
        <f>IFERROR(__xludf.DUMMYFUNCTION("""COMPUTED_VALUE"""),5.3116996E7)</f>
        <v>53116996</v>
      </c>
    </row>
    <row r="518">
      <c r="A518" s="2">
        <f>IFERROR(__xludf.DUMMYFUNCTION("""COMPUTED_VALUE"""),45103.66666666667)</f>
        <v>45103.66667</v>
      </c>
      <c r="B518" s="1">
        <f>IFERROR(__xludf.DUMMYFUNCTION("""COMPUTED_VALUE"""),186.83)</f>
        <v>186.83</v>
      </c>
      <c r="C518" s="1">
        <f>IFERROR(__xludf.DUMMYFUNCTION("""COMPUTED_VALUE"""),188.05)</f>
        <v>188.05</v>
      </c>
      <c r="D518" s="1">
        <f>IFERROR(__xludf.DUMMYFUNCTION("""COMPUTED_VALUE"""),185.23)</f>
        <v>185.23</v>
      </c>
      <c r="E518" s="1">
        <f>IFERROR(__xludf.DUMMYFUNCTION("""COMPUTED_VALUE"""),185.27)</f>
        <v>185.27</v>
      </c>
      <c r="F518" s="1">
        <f>IFERROR(__xludf.DUMMYFUNCTION("""COMPUTED_VALUE"""),4.8088661E7)</f>
        <v>48088661</v>
      </c>
    </row>
    <row r="519">
      <c r="A519" s="2">
        <f>IFERROR(__xludf.DUMMYFUNCTION("""COMPUTED_VALUE"""),45104.66666666667)</f>
        <v>45104.66667</v>
      </c>
      <c r="B519" s="1">
        <f>IFERROR(__xludf.DUMMYFUNCTION("""COMPUTED_VALUE"""),185.89)</f>
        <v>185.89</v>
      </c>
      <c r="C519" s="1">
        <f>IFERROR(__xludf.DUMMYFUNCTION("""COMPUTED_VALUE"""),188.39)</f>
        <v>188.39</v>
      </c>
      <c r="D519" s="1">
        <f>IFERROR(__xludf.DUMMYFUNCTION("""COMPUTED_VALUE"""),185.67)</f>
        <v>185.67</v>
      </c>
      <c r="E519" s="1">
        <f>IFERROR(__xludf.DUMMYFUNCTION("""COMPUTED_VALUE"""),188.06)</f>
        <v>188.06</v>
      </c>
      <c r="F519" s="1">
        <f>IFERROR(__xludf.DUMMYFUNCTION("""COMPUTED_VALUE"""),5.0730846E7)</f>
        <v>50730846</v>
      </c>
    </row>
    <row r="520">
      <c r="A520" s="2">
        <f>IFERROR(__xludf.DUMMYFUNCTION("""COMPUTED_VALUE"""),45105.66666666667)</f>
        <v>45105.66667</v>
      </c>
      <c r="B520" s="1">
        <f>IFERROR(__xludf.DUMMYFUNCTION("""COMPUTED_VALUE"""),187.93)</f>
        <v>187.93</v>
      </c>
      <c r="C520" s="1">
        <f>IFERROR(__xludf.DUMMYFUNCTION("""COMPUTED_VALUE"""),189.9)</f>
        <v>189.9</v>
      </c>
      <c r="D520" s="1">
        <f>IFERROR(__xludf.DUMMYFUNCTION("""COMPUTED_VALUE"""),187.6)</f>
        <v>187.6</v>
      </c>
      <c r="E520" s="1">
        <f>IFERROR(__xludf.DUMMYFUNCTION("""COMPUTED_VALUE"""),189.25)</f>
        <v>189.25</v>
      </c>
      <c r="F520" s="1">
        <f>IFERROR(__xludf.DUMMYFUNCTION("""COMPUTED_VALUE"""),5.1216801E7)</f>
        <v>51216801</v>
      </c>
    </row>
    <row r="521">
      <c r="A521" s="2">
        <f>IFERROR(__xludf.DUMMYFUNCTION("""COMPUTED_VALUE"""),45106.66666666667)</f>
        <v>45106.66667</v>
      </c>
      <c r="B521" s="1">
        <f>IFERROR(__xludf.DUMMYFUNCTION("""COMPUTED_VALUE"""),189.08)</f>
        <v>189.08</v>
      </c>
      <c r="C521" s="1">
        <f>IFERROR(__xludf.DUMMYFUNCTION("""COMPUTED_VALUE"""),190.07)</f>
        <v>190.07</v>
      </c>
      <c r="D521" s="1">
        <f>IFERROR(__xludf.DUMMYFUNCTION("""COMPUTED_VALUE"""),188.94)</f>
        <v>188.94</v>
      </c>
      <c r="E521" s="1">
        <f>IFERROR(__xludf.DUMMYFUNCTION("""COMPUTED_VALUE"""),189.59)</f>
        <v>189.59</v>
      </c>
      <c r="F521" s="1">
        <f>IFERROR(__xludf.DUMMYFUNCTION("""COMPUTED_VALUE"""),4.6347308E7)</f>
        <v>46347308</v>
      </c>
    </row>
    <row r="522">
      <c r="A522" s="2">
        <f>IFERROR(__xludf.DUMMYFUNCTION("""COMPUTED_VALUE"""),45107.66666666667)</f>
        <v>45107.66667</v>
      </c>
      <c r="B522" s="1">
        <f>IFERROR(__xludf.DUMMYFUNCTION("""COMPUTED_VALUE"""),191.63)</f>
        <v>191.63</v>
      </c>
      <c r="C522" s="1">
        <f>IFERROR(__xludf.DUMMYFUNCTION("""COMPUTED_VALUE"""),194.48)</f>
        <v>194.48</v>
      </c>
      <c r="D522" s="1">
        <f>IFERROR(__xludf.DUMMYFUNCTION("""COMPUTED_VALUE"""),191.26)</f>
        <v>191.26</v>
      </c>
      <c r="E522" s="1">
        <f>IFERROR(__xludf.DUMMYFUNCTION("""COMPUTED_VALUE"""),193.97)</f>
        <v>193.97</v>
      </c>
      <c r="F522" s="1">
        <f>IFERROR(__xludf.DUMMYFUNCTION("""COMPUTED_VALUE"""),8.5213216E7)</f>
        <v>85213216</v>
      </c>
    </row>
    <row r="523">
      <c r="A523" s="2">
        <f>IFERROR(__xludf.DUMMYFUNCTION("""COMPUTED_VALUE"""),45110.54513888889)</f>
        <v>45110.54514</v>
      </c>
      <c r="B523" s="1">
        <f>IFERROR(__xludf.DUMMYFUNCTION("""COMPUTED_VALUE"""),193.78)</f>
        <v>193.78</v>
      </c>
      <c r="C523" s="1">
        <f>IFERROR(__xludf.DUMMYFUNCTION("""COMPUTED_VALUE"""),193.88)</f>
        <v>193.88</v>
      </c>
      <c r="D523" s="1">
        <f>IFERROR(__xludf.DUMMYFUNCTION("""COMPUTED_VALUE"""),191.76)</f>
        <v>191.76</v>
      </c>
      <c r="E523" s="1">
        <f>IFERROR(__xludf.DUMMYFUNCTION("""COMPUTED_VALUE"""),192.46)</f>
        <v>192.46</v>
      </c>
      <c r="F523" s="1">
        <f>IFERROR(__xludf.DUMMYFUNCTION("""COMPUTED_VALUE"""),3.1458198E7)</f>
        <v>31458198</v>
      </c>
    </row>
    <row r="524">
      <c r="A524" s="2">
        <f>IFERROR(__xludf.DUMMYFUNCTION("""COMPUTED_VALUE"""),45112.66666666667)</f>
        <v>45112.66667</v>
      </c>
      <c r="B524" s="1">
        <f>IFERROR(__xludf.DUMMYFUNCTION("""COMPUTED_VALUE"""),191.57)</f>
        <v>191.57</v>
      </c>
      <c r="C524" s="1">
        <f>IFERROR(__xludf.DUMMYFUNCTION("""COMPUTED_VALUE"""),192.98)</f>
        <v>192.98</v>
      </c>
      <c r="D524" s="1">
        <f>IFERROR(__xludf.DUMMYFUNCTION("""COMPUTED_VALUE"""),190.62)</f>
        <v>190.62</v>
      </c>
      <c r="E524" s="1">
        <f>IFERROR(__xludf.DUMMYFUNCTION("""COMPUTED_VALUE"""),191.33)</f>
        <v>191.33</v>
      </c>
      <c r="F524" s="1">
        <f>IFERROR(__xludf.DUMMYFUNCTION("""COMPUTED_VALUE"""),4.6920261E7)</f>
        <v>46920261</v>
      </c>
    </row>
    <row r="525">
      <c r="A525" s="2">
        <f>IFERROR(__xludf.DUMMYFUNCTION("""COMPUTED_VALUE"""),45113.66666666667)</f>
        <v>45113.66667</v>
      </c>
      <c r="B525" s="1">
        <f>IFERROR(__xludf.DUMMYFUNCTION("""COMPUTED_VALUE"""),189.84)</f>
        <v>189.84</v>
      </c>
      <c r="C525" s="1">
        <f>IFERROR(__xludf.DUMMYFUNCTION("""COMPUTED_VALUE"""),192.02)</f>
        <v>192.02</v>
      </c>
      <c r="D525" s="1">
        <f>IFERROR(__xludf.DUMMYFUNCTION("""COMPUTED_VALUE"""),189.2)</f>
        <v>189.2</v>
      </c>
      <c r="E525" s="1">
        <f>IFERROR(__xludf.DUMMYFUNCTION("""COMPUTED_VALUE"""),191.81)</f>
        <v>191.81</v>
      </c>
      <c r="F525" s="1">
        <f>IFERROR(__xludf.DUMMYFUNCTION("""COMPUTED_VALUE"""),4.5156009E7)</f>
        <v>45156009</v>
      </c>
    </row>
    <row r="526">
      <c r="A526" s="2">
        <f>IFERROR(__xludf.DUMMYFUNCTION("""COMPUTED_VALUE"""),45114.66666666667)</f>
        <v>45114.66667</v>
      </c>
      <c r="B526" s="1">
        <f>IFERROR(__xludf.DUMMYFUNCTION("""COMPUTED_VALUE"""),191.41)</f>
        <v>191.41</v>
      </c>
      <c r="C526" s="1">
        <f>IFERROR(__xludf.DUMMYFUNCTION("""COMPUTED_VALUE"""),192.67)</f>
        <v>192.67</v>
      </c>
      <c r="D526" s="1">
        <f>IFERROR(__xludf.DUMMYFUNCTION("""COMPUTED_VALUE"""),190.24)</f>
        <v>190.24</v>
      </c>
      <c r="E526" s="1">
        <f>IFERROR(__xludf.DUMMYFUNCTION("""COMPUTED_VALUE"""),190.68)</f>
        <v>190.68</v>
      </c>
      <c r="F526" s="1">
        <f>IFERROR(__xludf.DUMMYFUNCTION("""COMPUTED_VALUE"""),4.6814998E7)</f>
        <v>46814998</v>
      </c>
    </row>
    <row r="527">
      <c r="A527" s="2">
        <f>IFERROR(__xludf.DUMMYFUNCTION("""COMPUTED_VALUE"""),45117.66666666667)</f>
        <v>45117.66667</v>
      </c>
      <c r="B527" s="1">
        <f>IFERROR(__xludf.DUMMYFUNCTION("""COMPUTED_VALUE"""),189.26)</f>
        <v>189.26</v>
      </c>
      <c r="C527" s="1">
        <f>IFERROR(__xludf.DUMMYFUNCTION("""COMPUTED_VALUE"""),189.99)</f>
        <v>189.99</v>
      </c>
      <c r="D527" s="1">
        <f>IFERROR(__xludf.DUMMYFUNCTION("""COMPUTED_VALUE"""),187.04)</f>
        <v>187.04</v>
      </c>
      <c r="E527" s="1">
        <f>IFERROR(__xludf.DUMMYFUNCTION("""COMPUTED_VALUE"""),188.61)</f>
        <v>188.61</v>
      </c>
      <c r="F527" s="1">
        <f>IFERROR(__xludf.DUMMYFUNCTION("""COMPUTED_VALUE"""),5.9922163E7)</f>
        <v>59922163</v>
      </c>
    </row>
    <row r="528">
      <c r="A528" s="2">
        <f>IFERROR(__xludf.DUMMYFUNCTION("""COMPUTED_VALUE"""),45118.66666666667)</f>
        <v>45118.66667</v>
      </c>
      <c r="B528" s="1">
        <f>IFERROR(__xludf.DUMMYFUNCTION("""COMPUTED_VALUE"""),189.16)</f>
        <v>189.16</v>
      </c>
      <c r="C528" s="1">
        <f>IFERROR(__xludf.DUMMYFUNCTION("""COMPUTED_VALUE"""),189.3)</f>
        <v>189.3</v>
      </c>
      <c r="D528" s="1">
        <f>IFERROR(__xludf.DUMMYFUNCTION("""COMPUTED_VALUE"""),186.6)</f>
        <v>186.6</v>
      </c>
      <c r="E528" s="1">
        <f>IFERROR(__xludf.DUMMYFUNCTION("""COMPUTED_VALUE"""),188.08)</f>
        <v>188.08</v>
      </c>
      <c r="F528" s="1">
        <f>IFERROR(__xludf.DUMMYFUNCTION("""COMPUTED_VALUE"""),4.6638119E7)</f>
        <v>46638119</v>
      </c>
    </row>
    <row r="529">
      <c r="A529" s="2">
        <f>IFERROR(__xludf.DUMMYFUNCTION("""COMPUTED_VALUE"""),45119.66666666667)</f>
        <v>45119.66667</v>
      </c>
      <c r="B529" s="1">
        <f>IFERROR(__xludf.DUMMYFUNCTION("""COMPUTED_VALUE"""),189.68)</f>
        <v>189.68</v>
      </c>
      <c r="C529" s="1">
        <f>IFERROR(__xludf.DUMMYFUNCTION("""COMPUTED_VALUE"""),191.7)</f>
        <v>191.7</v>
      </c>
      <c r="D529" s="1">
        <f>IFERROR(__xludf.DUMMYFUNCTION("""COMPUTED_VALUE"""),188.47)</f>
        <v>188.47</v>
      </c>
      <c r="E529" s="1">
        <f>IFERROR(__xludf.DUMMYFUNCTION("""COMPUTED_VALUE"""),189.77)</f>
        <v>189.77</v>
      </c>
      <c r="F529" s="1">
        <f>IFERROR(__xludf.DUMMYFUNCTION("""COMPUTED_VALUE"""),6.0750248E7)</f>
        <v>60750248</v>
      </c>
    </row>
    <row r="530">
      <c r="A530" s="2">
        <f>IFERROR(__xludf.DUMMYFUNCTION("""COMPUTED_VALUE"""),45120.66666666667)</f>
        <v>45120.66667</v>
      </c>
      <c r="B530" s="1">
        <f>IFERROR(__xludf.DUMMYFUNCTION("""COMPUTED_VALUE"""),190.5)</f>
        <v>190.5</v>
      </c>
      <c r="C530" s="1">
        <f>IFERROR(__xludf.DUMMYFUNCTION("""COMPUTED_VALUE"""),191.19)</f>
        <v>191.19</v>
      </c>
      <c r="D530" s="1">
        <f>IFERROR(__xludf.DUMMYFUNCTION("""COMPUTED_VALUE"""),189.78)</f>
        <v>189.78</v>
      </c>
      <c r="E530" s="1">
        <f>IFERROR(__xludf.DUMMYFUNCTION("""COMPUTED_VALUE"""),190.54)</f>
        <v>190.54</v>
      </c>
      <c r="F530" s="1">
        <f>IFERROR(__xludf.DUMMYFUNCTION("""COMPUTED_VALUE"""),4.1342338E7)</f>
        <v>41342338</v>
      </c>
    </row>
    <row r="531">
      <c r="A531" s="2">
        <f>IFERROR(__xludf.DUMMYFUNCTION("""COMPUTED_VALUE"""),45121.66666666667)</f>
        <v>45121.66667</v>
      </c>
      <c r="B531" s="1">
        <f>IFERROR(__xludf.DUMMYFUNCTION("""COMPUTED_VALUE"""),190.23)</f>
        <v>190.23</v>
      </c>
      <c r="C531" s="1">
        <f>IFERROR(__xludf.DUMMYFUNCTION("""COMPUTED_VALUE"""),191.18)</f>
        <v>191.18</v>
      </c>
      <c r="D531" s="1">
        <f>IFERROR(__xludf.DUMMYFUNCTION("""COMPUTED_VALUE"""),189.63)</f>
        <v>189.63</v>
      </c>
      <c r="E531" s="1">
        <f>IFERROR(__xludf.DUMMYFUNCTION("""COMPUTED_VALUE"""),190.69)</f>
        <v>190.69</v>
      </c>
      <c r="F531" s="1">
        <f>IFERROR(__xludf.DUMMYFUNCTION("""COMPUTED_VALUE"""),4.1616242E7)</f>
        <v>41616242</v>
      </c>
    </row>
    <row r="532">
      <c r="A532" s="2">
        <f>IFERROR(__xludf.DUMMYFUNCTION("""COMPUTED_VALUE"""),45124.66666666667)</f>
        <v>45124.66667</v>
      </c>
      <c r="B532" s="1">
        <f>IFERROR(__xludf.DUMMYFUNCTION("""COMPUTED_VALUE"""),191.9)</f>
        <v>191.9</v>
      </c>
      <c r="C532" s="1">
        <f>IFERROR(__xludf.DUMMYFUNCTION("""COMPUTED_VALUE"""),194.32)</f>
        <v>194.32</v>
      </c>
      <c r="D532" s="1">
        <f>IFERROR(__xludf.DUMMYFUNCTION("""COMPUTED_VALUE"""),191.81)</f>
        <v>191.81</v>
      </c>
      <c r="E532" s="1">
        <f>IFERROR(__xludf.DUMMYFUNCTION("""COMPUTED_VALUE"""),193.99)</f>
        <v>193.99</v>
      </c>
      <c r="F532" s="1">
        <f>IFERROR(__xludf.DUMMYFUNCTION("""COMPUTED_VALUE"""),5.0520159E7)</f>
        <v>50520159</v>
      </c>
    </row>
    <row r="533">
      <c r="A533" s="2">
        <f>IFERROR(__xludf.DUMMYFUNCTION("""COMPUTED_VALUE"""),45125.66666666667)</f>
        <v>45125.66667</v>
      </c>
      <c r="B533" s="1">
        <f>IFERROR(__xludf.DUMMYFUNCTION("""COMPUTED_VALUE"""),193.35)</f>
        <v>193.35</v>
      </c>
      <c r="C533" s="1">
        <f>IFERROR(__xludf.DUMMYFUNCTION("""COMPUTED_VALUE"""),194.33)</f>
        <v>194.33</v>
      </c>
      <c r="D533" s="1">
        <f>IFERROR(__xludf.DUMMYFUNCTION("""COMPUTED_VALUE"""),192.42)</f>
        <v>192.42</v>
      </c>
      <c r="E533" s="1">
        <f>IFERROR(__xludf.DUMMYFUNCTION("""COMPUTED_VALUE"""),193.73)</f>
        <v>193.73</v>
      </c>
      <c r="F533" s="1">
        <f>IFERROR(__xludf.DUMMYFUNCTION("""COMPUTED_VALUE"""),4.8353774E7)</f>
        <v>48353774</v>
      </c>
    </row>
    <row r="534">
      <c r="A534" s="2">
        <f>IFERROR(__xludf.DUMMYFUNCTION("""COMPUTED_VALUE"""),45126.66666666667)</f>
        <v>45126.66667</v>
      </c>
      <c r="B534" s="1">
        <f>IFERROR(__xludf.DUMMYFUNCTION("""COMPUTED_VALUE"""),193.1)</f>
        <v>193.1</v>
      </c>
      <c r="C534" s="1">
        <f>IFERROR(__xludf.DUMMYFUNCTION("""COMPUTED_VALUE"""),198.23)</f>
        <v>198.23</v>
      </c>
      <c r="D534" s="1">
        <f>IFERROR(__xludf.DUMMYFUNCTION("""COMPUTED_VALUE"""),192.65)</f>
        <v>192.65</v>
      </c>
      <c r="E534" s="1">
        <f>IFERROR(__xludf.DUMMYFUNCTION("""COMPUTED_VALUE"""),195.1)</f>
        <v>195.1</v>
      </c>
      <c r="F534" s="1">
        <f>IFERROR(__xludf.DUMMYFUNCTION("""COMPUTED_VALUE"""),8.0507323E7)</f>
        <v>80507323</v>
      </c>
    </row>
    <row r="535">
      <c r="A535" s="2">
        <f>IFERROR(__xludf.DUMMYFUNCTION("""COMPUTED_VALUE"""),45127.66666666667)</f>
        <v>45127.66667</v>
      </c>
      <c r="B535" s="1">
        <f>IFERROR(__xludf.DUMMYFUNCTION("""COMPUTED_VALUE"""),195.09)</f>
        <v>195.09</v>
      </c>
      <c r="C535" s="1">
        <f>IFERROR(__xludf.DUMMYFUNCTION("""COMPUTED_VALUE"""),196.47)</f>
        <v>196.47</v>
      </c>
      <c r="D535" s="1">
        <f>IFERROR(__xludf.DUMMYFUNCTION("""COMPUTED_VALUE"""),192.5)</f>
        <v>192.5</v>
      </c>
      <c r="E535" s="1">
        <f>IFERROR(__xludf.DUMMYFUNCTION("""COMPUTED_VALUE"""),193.13)</f>
        <v>193.13</v>
      </c>
      <c r="F535" s="1">
        <f>IFERROR(__xludf.DUMMYFUNCTION("""COMPUTED_VALUE"""),5.9581196E7)</f>
        <v>59581196</v>
      </c>
    </row>
    <row r="536">
      <c r="A536" s="2">
        <f>IFERROR(__xludf.DUMMYFUNCTION("""COMPUTED_VALUE"""),45128.66666666667)</f>
        <v>45128.66667</v>
      </c>
      <c r="B536" s="1">
        <f>IFERROR(__xludf.DUMMYFUNCTION("""COMPUTED_VALUE"""),194.1)</f>
        <v>194.1</v>
      </c>
      <c r="C536" s="1">
        <f>IFERROR(__xludf.DUMMYFUNCTION("""COMPUTED_VALUE"""),194.97)</f>
        <v>194.97</v>
      </c>
      <c r="D536" s="1">
        <f>IFERROR(__xludf.DUMMYFUNCTION("""COMPUTED_VALUE"""),191.23)</f>
        <v>191.23</v>
      </c>
      <c r="E536" s="1">
        <f>IFERROR(__xludf.DUMMYFUNCTION("""COMPUTED_VALUE"""),191.94)</f>
        <v>191.94</v>
      </c>
      <c r="F536" s="1">
        <f>IFERROR(__xludf.DUMMYFUNCTION("""COMPUTED_VALUE"""),7.1951683E7)</f>
        <v>71951683</v>
      </c>
    </row>
    <row r="537">
      <c r="A537" s="2">
        <f>IFERROR(__xludf.DUMMYFUNCTION("""COMPUTED_VALUE"""),45131.66666666667)</f>
        <v>45131.66667</v>
      </c>
      <c r="B537" s="1">
        <f>IFERROR(__xludf.DUMMYFUNCTION("""COMPUTED_VALUE"""),193.41)</f>
        <v>193.41</v>
      </c>
      <c r="C537" s="1">
        <f>IFERROR(__xludf.DUMMYFUNCTION("""COMPUTED_VALUE"""),194.91)</f>
        <v>194.91</v>
      </c>
      <c r="D537" s="1">
        <f>IFERROR(__xludf.DUMMYFUNCTION("""COMPUTED_VALUE"""),192.25)</f>
        <v>192.25</v>
      </c>
      <c r="E537" s="1">
        <f>IFERROR(__xludf.DUMMYFUNCTION("""COMPUTED_VALUE"""),192.75)</f>
        <v>192.75</v>
      </c>
      <c r="F537" s="1">
        <f>IFERROR(__xludf.DUMMYFUNCTION("""COMPUTED_VALUE"""),4.5505097E7)</f>
        <v>45505097</v>
      </c>
    </row>
    <row r="538">
      <c r="A538" s="2">
        <f>IFERROR(__xludf.DUMMYFUNCTION("""COMPUTED_VALUE"""),45132.66666666667)</f>
        <v>45132.66667</v>
      </c>
      <c r="B538" s="1">
        <f>IFERROR(__xludf.DUMMYFUNCTION("""COMPUTED_VALUE"""),193.33)</f>
        <v>193.33</v>
      </c>
      <c r="C538" s="1">
        <f>IFERROR(__xludf.DUMMYFUNCTION("""COMPUTED_VALUE"""),194.44)</f>
        <v>194.44</v>
      </c>
      <c r="D538" s="1">
        <f>IFERROR(__xludf.DUMMYFUNCTION("""COMPUTED_VALUE"""),192.92)</f>
        <v>192.92</v>
      </c>
      <c r="E538" s="1">
        <f>IFERROR(__xludf.DUMMYFUNCTION("""COMPUTED_VALUE"""),193.62)</f>
        <v>193.62</v>
      </c>
      <c r="F538" s="1">
        <f>IFERROR(__xludf.DUMMYFUNCTION("""COMPUTED_VALUE"""),3.7283201E7)</f>
        <v>37283201</v>
      </c>
    </row>
    <row r="539">
      <c r="A539" s="2">
        <f>IFERROR(__xludf.DUMMYFUNCTION("""COMPUTED_VALUE"""),45133.66666666667)</f>
        <v>45133.66667</v>
      </c>
      <c r="B539" s="1">
        <f>IFERROR(__xludf.DUMMYFUNCTION("""COMPUTED_VALUE"""),193.67)</f>
        <v>193.67</v>
      </c>
      <c r="C539" s="1">
        <f>IFERROR(__xludf.DUMMYFUNCTION("""COMPUTED_VALUE"""),195.64)</f>
        <v>195.64</v>
      </c>
      <c r="D539" s="1">
        <f>IFERROR(__xludf.DUMMYFUNCTION("""COMPUTED_VALUE"""),193.32)</f>
        <v>193.32</v>
      </c>
      <c r="E539" s="1">
        <f>IFERROR(__xludf.DUMMYFUNCTION("""COMPUTED_VALUE"""),194.5)</f>
        <v>194.5</v>
      </c>
      <c r="F539" s="1">
        <f>IFERROR(__xludf.DUMMYFUNCTION("""COMPUTED_VALUE"""),4.7471868E7)</f>
        <v>47471868</v>
      </c>
    </row>
    <row r="540">
      <c r="A540" s="2">
        <f>IFERROR(__xludf.DUMMYFUNCTION("""COMPUTED_VALUE"""),45134.66666666667)</f>
        <v>45134.66667</v>
      </c>
      <c r="B540" s="1">
        <f>IFERROR(__xludf.DUMMYFUNCTION("""COMPUTED_VALUE"""),196.02)</f>
        <v>196.02</v>
      </c>
      <c r="C540" s="1">
        <f>IFERROR(__xludf.DUMMYFUNCTION("""COMPUTED_VALUE"""),197.2)</f>
        <v>197.2</v>
      </c>
      <c r="D540" s="1">
        <f>IFERROR(__xludf.DUMMYFUNCTION("""COMPUTED_VALUE"""),192.55)</f>
        <v>192.55</v>
      </c>
      <c r="E540" s="1">
        <f>IFERROR(__xludf.DUMMYFUNCTION("""COMPUTED_VALUE"""),193.22)</f>
        <v>193.22</v>
      </c>
      <c r="F540" s="1">
        <f>IFERROR(__xludf.DUMMYFUNCTION("""COMPUTED_VALUE"""),4.746018E7)</f>
        <v>47460180</v>
      </c>
    </row>
    <row r="541">
      <c r="A541" s="2">
        <f>IFERROR(__xludf.DUMMYFUNCTION("""COMPUTED_VALUE"""),45135.66666666667)</f>
        <v>45135.66667</v>
      </c>
      <c r="B541" s="1">
        <f>IFERROR(__xludf.DUMMYFUNCTION("""COMPUTED_VALUE"""),194.67)</f>
        <v>194.67</v>
      </c>
      <c r="C541" s="1">
        <f>IFERROR(__xludf.DUMMYFUNCTION("""COMPUTED_VALUE"""),196.63)</f>
        <v>196.63</v>
      </c>
      <c r="D541" s="1">
        <f>IFERROR(__xludf.DUMMYFUNCTION("""COMPUTED_VALUE"""),194.14)</f>
        <v>194.14</v>
      </c>
      <c r="E541" s="1">
        <f>IFERROR(__xludf.DUMMYFUNCTION("""COMPUTED_VALUE"""),195.83)</f>
        <v>195.83</v>
      </c>
      <c r="F541" s="1">
        <f>IFERROR(__xludf.DUMMYFUNCTION("""COMPUTED_VALUE"""),4.8291443E7)</f>
        <v>48291443</v>
      </c>
    </row>
    <row r="542">
      <c r="A542" s="2">
        <f>IFERROR(__xludf.DUMMYFUNCTION("""COMPUTED_VALUE"""),45138.66666666667)</f>
        <v>45138.66667</v>
      </c>
      <c r="B542" s="1">
        <f>IFERROR(__xludf.DUMMYFUNCTION("""COMPUTED_VALUE"""),196.06)</f>
        <v>196.06</v>
      </c>
      <c r="C542" s="1">
        <f>IFERROR(__xludf.DUMMYFUNCTION("""COMPUTED_VALUE"""),196.49)</f>
        <v>196.49</v>
      </c>
      <c r="D542" s="1">
        <f>IFERROR(__xludf.DUMMYFUNCTION("""COMPUTED_VALUE"""),195.26)</f>
        <v>195.26</v>
      </c>
      <c r="E542" s="1">
        <f>IFERROR(__xludf.DUMMYFUNCTION("""COMPUTED_VALUE"""),196.45)</f>
        <v>196.45</v>
      </c>
      <c r="F542" s="1">
        <f>IFERROR(__xludf.DUMMYFUNCTION("""COMPUTED_VALUE"""),3.8824113E7)</f>
        <v>38824113</v>
      </c>
    </row>
    <row r="543">
      <c r="A543" s="2">
        <f>IFERROR(__xludf.DUMMYFUNCTION("""COMPUTED_VALUE"""),45139.66666666667)</f>
        <v>45139.66667</v>
      </c>
      <c r="B543" s="1">
        <f>IFERROR(__xludf.DUMMYFUNCTION("""COMPUTED_VALUE"""),196.24)</f>
        <v>196.24</v>
      </c>
      <c r="C543" s="1">
        <f>IFERROR(__xludf.DUMMYFUNCTION("""COMPUTED_VALUE"""),196.73)</f>
        <v>196.73</v>
      </c>
      <c r="D543" s="1">
        <f>IFERROR(__xludf.DUMMYFUNCTION("""COMPUTED_VALUE"""),195.28)</f>
        <v>195.28</v>
      </c>
      <c r="E543" s="1">
        <f>IFERROR(__xludf.DUMMYFUNCTION("""COMPUTED_VALUE"""),195.61)</f>
        <v>195.61</v>
      </c>
      <c r="F543" s="1">
        <f>IFERROR(__xludf.DUMMYFUNCTION("""COMPUTED_VALUE"""),3.5281426E7)</f>
        <v>35281426</v>
      </c>
    </row>
    <row r="544">
      <c r="A544" s="2">
        <f>IFERROR(__xludf.DUMMYFUNCTION("""COMPUTED_VALUE"""),45140.66666666667)</f>
        <v>45140.66667</v>
      </c>
      <c r="B544" s="1">
        <f>IFERROR(__xludf.DUMMYFUNCTION("""COMPUTED_VALUE"""),195.04)</f>
        <v>195.04</v>
      </c>
      <c r="C544" s="1">
        <f>IFERROR(__xludf.DUMMYFUNCTION("""COMPUTED_VALUE"""),195.18)</f>
        <v>195.18</v>
      </c>
      <c r="D544" s="1">
        <f>IFERROR(__xludf.DUMMYFUNCTION("""COMPUTED_VALUE"""),191.85)</f>
        <v>191.85</v>
      </c>
      <c r="E544" s="1">
        <f>IFERROR(__xludf.DUMMYFUNCTION("""COMPUTED_VALUE"""),192.58)</f>
        <v>192.58</v>
      </c>
      <c r="F544" s="1">
        <f>IFERROR(__xludf.DUMMYFUNCTION("""COMPUTED_VALUE"""),5.0389327E7)</f>
        <v>50389327</v>
      </c>
    </row>
    <row r="545">
      <c r="A545" s="2">
        <f>IFERROR(__xludf.DUMMYFUNCTION("""COMPUTED_VALUE"""),45141.66666666667)</f>
        <v>45141.66667</v>
      </c>
      <c r="B545" s="1">
        <f>IFERROR(__xludf.DUMMYFUNCTION("""COMPUTED_VALUE"""),191.57)</f>
        <v>191.57</v>
      </c>
      <c r="C545" s="1">
        <f>IFERROR(__xludf.DUMMYFUNCTION("""COMPUTED_VALUE"""),192.37)</f>
        <v>192.37</v>
      </c>
      <c r="D545" s="1">
        <f>IFERROR(__xludf.DUMMYFUNCTION("""COMPUTED_VALUE"""),190.69)</f>
        <v>190.69</v>
      </c>
      <c r="E545" s="1">
        <f>IFERROR(__xludf.DUMMYFUNCTION("""COMPUTED_VALUE"""),191.17)</f>
        <v>191.17</v>
      </c>
      <c r="F545" s="1">
        <f>IFERROR(__xludf.DUMMYFUNCTION("""COMPUTED_VALUE"""),6.2243282E7)</f>
        <v>62243282</v>
      </c>
    </row>
    <row r="546">
      <c r="A546" s="2">
        <f>IFERROR(__xludf.DUMMYFUNCTION("""COMPUTED_VALUE"""),45142.66666666667)</f>
        <v>45142.66667</v>
      </c>
      <c r="B546" s="1">
        <f>IFERROR(__xludf.DUMMYFUNCTION("""COMPUTED_VALUE"""),185.52)</f>
        <v>185.52</v>
      </c>
      <c r="C546" s="1">
        <f>IFERROR(__xludf.DUMMYFUNCTION("""COMPUTED_VALUE"""),187.38)</f>
        <v>187.38</v>
      </c>
      <c r="D546" s="1">
        <f>IFERROR(__xludf.DUMMYFUNCTION("""COMPUTED_VALUE"""),181.92)</f>
        <v>181.92</v>
      </c>
      <c r="E546" s="1">
        <f>IFERROR(__xludf.DUMMYFUNCTION("""COMPUTED_VALUE"""),181.99)</f>
        <v>181.99</v>
      </c>
      <c r="F546" s="1">
        <f>IFERROR(__xludf.DUMMYFUNCTION("""COMPUTED_VALUE"""),1.15956841E8)</f>
        <v>115956841</v>
      </c>
    </row>
    <row r="547">
      <c r="A547" s="2">
        <f>IFERROR(__xludf.DUMMYFUNCTION("""COMPUTED_VALUE"""),45145.66666666667)</f>
        <v>45145.66667</v>
      </c>
      <c r="B547" s="1">
        <f>IFERROR(__xludf.DUMMYFUNCTION("""COMPUTED_VALUE"""),182.13)</f>
        <v>182.13</v>
      </c>
      <c r="C547" s="1">
        <f>IFERROR(__xludf.DUMMYFUNCTION("""COMPUTED_VALUE"""),183.13)</f>
        <v>183.13</v>
      </c>
      <c r="D547" s="1">
        <f>IFERROR(__xludf.DUMMYFUNCTION("""COMPUTED_VALUE"""),177.35)</f>
        <v>177.35</v>
      </c>
      <c r="E547" s="1">
        <f>IFERROR(__xludf.DUMMYFUNCTION("""COMPUTED_VALUE"""),178.85)</f>
        <v>178.85</v>
      </c>
      <c r="F547" s="1">
        <f>IFERROR(__xludf.DUMMYFUNCTION("""COMPUTED_VALUE"""),9.7576069E7)</f>
        <v>97576069</v>
      </c>
    </row>
    <row r="548">
      <c r="A548" s="2">
        <f>IFERROR(__xludf.DUMMYFUNCTION("""COMPUTED_VALUE"""),45146.66666666667)</f>
        <v>45146.66667</v>
      </c>
      <c r="B548" s="1">
        <f>IFERROR(__xludf.DUMMYFUNCTION("""COMPUTED_VALUE"""),179.69)</f>
        <v>179.69</v>
      </c>
      <c r="C548" s="1">
        <f>IFERROR(__xludf.DUMMYFUNCTION("""COMPUTED_VALUE"""),180.27)</f>
        <v>180.27</v>
      </c>
      <c r="D548" s="1">
        <f>IFERROR(__xludf.DUMMYFUNCTION("""COMPUTED_VALUE"""),177.58)</f>
        <v>177.58</v>
      </c>
      <c r="E548" s="1">
        <f>IFERROR(__xludf.DUMMYFUNCTION("""COMPUTED_VALUE"""),179.8)</f>
        <v>179.8</v>
      </c>
      <c r="F548" s="1">
        <f>IFERROR(__xludf.DUMMYFUNCTION("""COMPUTED_VALUE"""),6.7823003E7)</f>
        <v>67823003</v>
      </c>
    </row>
    <row r="549">
      <c r="A549" s="2">
        <f>IFERROR(__xludf.DUMMYFUNCTION("""COMPUTED_VALUE"""),45147.66666666667)</f>
        <v>45147.66667</v>
      </c>
      <c r="B549" s="1">
        <f>IFERROR(__xludf.DUMMYFUNCTION("""COMPUTED_VALUE"""),180.87)</f>
        <v>180.87</v>
      </c>
      <c r="C549" s="1">
        <f>IFERROR(__xludf.DUMMYFUNCTION("""COMPUTED_VALUE"""),180.93)</f>
        <v>180.93</v>
      </c>
      <c r="D549" s="1">
        <f>IFERROR(__xludf.DUMMYFUNCTION("""COMPUTED_VALUE"""),177.01)</f>
        <v>177.01</v>
      </c>
      <c r="E549" s="1">
        <f>IFERROR(__xludf.DUMMYFUNCTION("""COMPUTED_VALUE"""),178.19)</f>
        <v>178.19</v>
      </c>
      <c r="F549" s="1">
        <f>IFERROR(__xludf.DUMMYFUNCTION("""COMPUTED_VALUE"""),6.0378492E7)</f>
        <v>60378492</v>
      </c>
    </row>
    <row r="550">
      <c r="A550" s="2">
        <f>IFERROR(__xludf.DUMMYFUNCTION("""COMPUTED_VALUE"""),45148.66666666667)</f>
        <v>45148.66667</v>
      </c>
      <c r="B550" s="1">
        <f>IFERROR(__xludf.DUMMYFUNCTION("""COMPUTED_VALUE"""),179.48)</f>
        <v>179.48</v>
      </c>
      <c r="C550" s="1">
        <f>IFERROR(__xludf.DUMMYFUNCTION("""COMPUTED_VALUE"""),180.75)</f>
        <v>180.75</v>
      </c>
      <c r="D550" s="1">
        <f>IFERROR(__xludf.DUMMYFUNCTION("""COMPUTED_VALUE"""),177.6)</f>
        <v>177.6</v>
      </c>
      <c r="E550" s="1">
        <f>IFERROR(__xludf.DUMMYFUNCTION("""COMPUTED_VALUE"""),177.97)</f>
        <v>177.97</v>
      </c>
      <c r="F550" s="1">
        <f>IFERROR(__xludf.DUMMYFUNCTION("""COMPUTED_VALUE"""),5.4686851E7)</f>
        <v>54686851</v>
      </c>
    </row>
    <row r="551">
      <c r="A551" s="2">
        <f>IFERROR(__xludf.DUMMYFUNCTION("""COMPUTED_VALUE"""),45149.66666666667)</f>
        <v>45149.66667</v>
      </c>
      <c r="B551" s="1">
        <f>IFERROR(__xludf.DUMMYFUNCTION("""COMPUTED_VALUE"""),177.32)</f>
        <v>177.32</v>
      </c>
      <c r="C551" s="1">
        <f>IFERROR(__xludf.DUMMYFUNCTION("""COMPUTED_VALUE"""),178.62)</f>
        <v>178.62</v>
      </c>
      <c r="D551" s="1">
        <f>IFERROR(__xludf.DUMMYFUNCTION("""COMPUTED_VALUE"""),176.55)</f>
        <v>176.55</v>
      </c>
      <c r="E551" s="1">
        <f>IFERROR(__xludf.DUMMYFUNCTION("""COMPUTED_VALUE"""),177.79)</f>
        <v>177.79</v>
      </c>
      <c r="F551" s="1">
        <f>IFERROR(__xludf.DUMMYFUNCTION("""COMPUTED_VALUE"""),5.2036672E7)</f>
        <v>52036672</v>
      </c>
    </row>
    <row r="552">
      <c r="A552" s="2">
        <f>IFERROR(__xludf.DUMMYFUNCTION("""COMPUTED_VALUE"""),45152.66666666667)</f>
        <v>45152.66667</v>
      </c>
      <c r="B552" s="1">
        <f>IFERROR(__xludf.DUMMYFUNCTION("""COMPUTED_VALUE"""),177.97)</f>
        <v>177.97</v>
      </c>
      <c r="C552" s="1">
        <f>IFERROR(__xludf.DUMMYFUNCTION("""COMPUTED_VALUE"""),179.69)</f>
        <v>179.69</v>
      </c>
      <c r="D552" s="1">
        <f>IFERROR(__xludf.DUMMYFUNCTION("""COMPUTED_VALUE"""),177.31)</f>
        <v>177.31</v>
      </c>
      <c r="E552" s="1">
        <f>IFERROR(__xludf.DUMMYFUNCTION("""COMPUTED_VALUE"""),179.46)</f>
        <v>179.46</v>
      </c>
      <c r="F552" s="1">
        <f>IFERROR(__xludf.DUMMYFUNCTION("""COMPUTED_VALUE"""),4.3675627E7)</f>
        <v>43675627</v>
      </c>
    </row>
    <row r="553">
      <c r="A553" s="2">
        <f>IFERROR(__xludf.DUMMYFUNCTION("""COMPUTED_VALUE"""),45153.66666666667)</f>
        <v>45153.66667</v>
      </c>
      <c r="B553" s="1">
        <f>IFERROR(__xludf.DUMMYFUNCTION("""COMPUTED_VALUE"""),178.88)</f>
        <v>178.88</v>
      </c>
      <c r="C553" s="1">
        <f>IFERROR(__xludf.DUMMYFUNCTION("""COMPUTED_VALUE"""),179.48)</f>
        <v>179.48</v>
      </c>
      <c r="D553" s="1">
        <f>IFERROR(__xludf.DUMMYFUNCTION("""COMPUTED_VALUE"""),177.05)</f>
        <v>177.05</v>
      </c>
      <c r="E553" s="1">
        <f>IFERROR(__xludf.DUMMYFUNCTION("""COMPUTED_VALUE"""),177.45)</f>
        <v>177.45</v>
      </c>
      <c r="F553" s="1">
        <f>IFERROR(__xludf.DUMMYFUNCTION("""COMPUTED_VALUE"""),4.3622593E7)</f>
        <v>43622593</v>
      </c>
    </row>
    <row r="554">
      <c r="A554" s="2">
        <f>IFERROR(__xludf.DUMMYFUNCTION("""COMPUTED_VALUE"""),45154.66666666667)</f>
        <v>45154.66667</v>
      </c>
      <c r="B554" s="1">
        <f>IFERROR(__xludf.DUMMYFUNCTION("""COMPUTED_VALUE"""),177.13)</f>
        <v>177.13</v>
      </c>
      <c r="C554" s="1">
        <f>IFERROR(__xludf.DUMMYFUNCTION("""COMPUTED_VALUE"""),178.54)</f>
        <v>178.54</v>
      </c>
      <c r="D554" s="1">
        <f>IFERROR(__xludf.DUMMYFUNCTION("""COMPUTED_VALUE"""),176.5)</f>
        <v>176.5</v>
      </c>
      <c r="E554" s="1">
        <f>IFERROR(__xludf.DUMMYFUNCTION("""COMPUTED_VALUE"""),176.57)</f>
        <v>176.57</v>
      </c>
      <c r="F554" s="1">
        <f>IFERROR(__xludf.DUMMYFUNCTION("""COMPUTED_VALUE"""),4.6964857E7)</f>
        <v>46964857</v>
      </c>
    </row>
    <row r="555">
      <c r="A555" s="2">
        <f>IFERROR(__xludf.DUMMYFUNCTION("""COMPUTED_VALUE"""),45155.66666666667)</f>
        <v>45155.66667</v>
      </c>
      <c r="B555" s="1">
        <f>IFERROR(__xludf.DUMMYFUNCTION("""COMPUTED_VALUE"""),177.14)</f>
        <v>177.14</v>
      </c>
      <c r="C555" s="1">
        <f>IFERROR(__xludf.DUMMYFUNCTION("""COMPUTED_VALUE"""),177.51)</f>
        <v>177.51</v>
      </c>
      <c r="D555" s="1">
        <f>IFERROR(__xludf.DUMMYFUNCTION("""COMPUTED_VALUE"""),173.48)</f>
        <v>173.48</v>
      </c>
      <c r="E555" s="1">
        <f>IFERROR(__xludf.DUMMYFUNCTION("""COMPUTED_VALUE"""),174.0)</f>
        <v>174</v>
      </c>
      <c r="F555" s="1">
        <f>IFERROR(__xludf.DUMMYFUNCTION("""COMPUTED_VALUE"""),6.6062882E7)</f>
        <v>66062882</v>
      </c>
    </row>
    <row r="556">
      <c r="A556" s="2">
        <f>IFERROR(__xludf.DUMMYFUNCTION("""COMPUTED_VALUE"""),45156.66666666667)</f>
        <v>45156.66667</v>
      </c>
      <c r="B556" s="1">
        <f>IFERROR(__xludf.DUMMYFUNCTION("""COMPUTED_VALUE"""),172.3)</f>
        <v>172.3</v>
      </c>
      <c r="C556" s="1">
        <f>IFERROR(__xludf.DUMMYFUNCTION("""COMPUTED_VALUE"""),175.1)</f>
        <v>175.1</v>
      </c>
      <c r="D556" s="1">
        <f>IFERROR(__xludf.DUMMYFUNCTION("""COMPUTED_VALUE"""),171.96)</f>
        <v>171.96</v>
      </c>
      <c r="E556" s="1">
        <f>IFERROR(__xludf.DUMMYFUNCTION("""COMPUTED_VALUE"""),174.49)</f>
        <v>174.49</v>
      </c>
      <c r="F556" s="1">
        <f>IFERROR(__xludf.DUMMYFUNCTION("""COMPUTED_VALUE"""),6.117215E7)</f>
        <v>61172150</v>
      </c>
    </row>
    <row r="557">
      <c r="A557" s="2">
        <f>IFERROR(__xludf.DUMMYFUNCTION("""COMPUTED_VALUE"""),45159.66666666667)</f>
        <v>45159.66667</v>
      </c>
      <c r="B557" s="1">
        <f>IFERROR(__xludf.DUMMYFUNCTION("""COMPUTED_VALUE"""),175.07)</f>
        <v>175.07</v>
      </c>
      <c r="C557" s="1">
        <f>IFERROR(__xludf.DUMMYFUNCTION("""COMPUTED_VALUE"""),176.13)</f>
        <v>176.13</v>
      </c>
      <c r="D557" s="1">
        <f>IFERROR(__xludf.DUMMYFUNCTION("""COMPUTED_VALUE"""),173.74)</f>
        <v>173.74</v>
      </c>
      <c r="E557" s="1">
        <f>IFERROR(__xludf.DUMMYFUNCTION("""COMPUTED_VALUE"""),175.84)</f>
        <v>175.84</v>
      </c>
      <c r="F557" s="1">
        <f>IFERROR(__xludf.DUMMYFUNCTION("""COMPUTED_VALUE"""),4.6311879E7)</f>
        <v>46311879</v>
      </c>
    </row>
    <row r="558">
      <c r="A558" s="2">
        <f>IFERROR(__xludf.DUMMYFUNCTION("""COMPUTED_VALUE"""),45160.66666666667)</f>
        <v>45160.66667</v>
      </c>
      <c r="B558" s="1">
        <f>IFERROR(__xludf.DUMMYFUNCTION("""COMPUTED_VALUE"""),177.06)</f>
        <v>177.06</v>
      </c>
      <c r="C558" s="1">
        <f>IFERROR(__xludf.DUMMYFUNCTION("""COMPUTED_VALUE"""),177.68)</f>
        <v>177.68</v>
      </c>
      <c r="D558" s="1">
        <f>IFERROR(__xludf.DUMMYFUNCTION("""COMPUTED_VALUE"""),176.25)</f>
        <v>176.25</v>
      </c>
      <c r="E558" s="1">
        <f>IFERROR(__xludf.DUMMYFUNCTION("""COMPUTED_VALUE"""),177.23)</f>
        <v>177.23</v>
      </c>
      <c r="F558" s="1">
        <f>IFERROR(__xludf.DUMMYFUNCTION("""COMPUTED_VALUE"""),4.2084245E7)</f>
        <v>42084245</v>
      </c>
    </row>
    <row r="559">
      <c r="A559" s="2">
        <f>IFERROR(__xludf.DUMMYFUNCTION("""COMPUTED_VALUE"""),45161.66666666667)</f>
        <v>45161.66667</v>
      </c>
      <c r="B559" s="1">
        <f>IFERROR(__xludf.DUMMYFUNCTION("""COMPUTED_VALUE"""),178.52)</f>
        <v>178.52</v>
      </c>
      <c r="C559" s="1">
        <f>IFERROR(__xludf.DUMMYFUNCTION("""COMPUTED_VALUE"""),181.55)</f>
        <v>181.55</v>
      </c>
      <c r="D559" s="1">
        <f>IFERROR(__xludf.DUMMYFUNCTION("""COMPUTED_VALUE"""),178.33)</f>
        <v>178.33</v>
      </c>
      <c r="E559" s="1">
        <f>IFERROR(__xludf.DUMMYFUNCTION("""COMPUTED_VALUE"""),181.12)</f>
        <v>181.12</v>
      </c>
      <c r="F559" s="1">
        <f>IFERROR(__xludf.DUMMYFUNCTION("""COMPUTED_VALUE"""),5.2722752E7)</f>
        <v>52722752</v>
      </c>
    </row>
    <row r="560">
      <c r="A560" s="2">
        <f>IFERROR(__xludf.DUMMYFUNCTION("""COMPUTED_VALUE"""),45162.66666666667)</f>
        <v>45162.66667</v>
      </c>
      <c r="B560" s="1">
        <f>IFERROR(__xludf.DUMMYFUNCTION("""COMPUTED_VALUE"""),180.67)</f>
        <v>180.67</v>
      </c>
      <c r="C560" s="1">
        <f>IFERROR(__xludf.DUMMYFUNCTION("""COMPUTED_VALUE"""),181.1)</f>
        <v>181.1</v>
      </c>
      <c r="D560" s="1">
        <f>IFERROR(__xludf.DUMMYFUNCTION("""COMPUTED_VALUE"""),176.01)</f>
        <v>176.01</v>
      </c>
      <c r="E560" s="1">
        <f>IFERROR(__xludf.DUMMYFUNCTION("""COMPUTED_VALUE"""),176.38)</f>
        <v>176.38</v>
      </c>
      <c r="F560" s="1">
        <f>IFERROR(__xludf.DUMMYFUNCTION("""COMPUTED_VALUE"""),5.4945798E7)</f>
        <v>54945798</v>
      </c>
    </row>
    <row r="561">
      <c r="A561" s="2">
        <f>IFERROR(__xludf.DUMMYFUNCTION("""COMPUTED_VALUE"""),45163.66666666667)</f>
        <v>45163.66667</v>
      </c>
      <c r="B561" s="1">
        <f>IFERROR(__xludf.DUMMYFUNCTION("""COMPUTED_VALUE"""),177.38)</f>
        <v>177.38</v>
      </c>
      <c r="C561" s="1">
        <f>IFERROR(__xludf.DUMMYFUNCTION("""COMPUTED_VALUE"""),179.15)</f>
        <v>179.15</v>
      </c>
      <c r="D561" s="1">
        <f>IFERROR(__xludf.DUMMYFUNCTION("""COMPUTED_VALUE"""),175.82)</f>
        <v>175.82</v>
      </c>
      <c r="E561" s="1">
        <f>IFERROR(__xludf.DUMMYFUNCTION("""COMPUTED_VALUE"""),178.61)</f>
        <v>178.61</v>
      </c>
      <c r="F561" s="1">
        <f>IFERROR(__xludf.DUMMYFUNCTION("""COMPUTED_VALUE"""),5.1449594E7)</f>
        <v>51449594</v>
      </c>
    </row>
    <row r="562">
      <c r="A562" s="2">
        <f>IFERROR(__xludf.DUMMYFUNCTION("""COMPUTED_VALUE"""),45166.66666666667)</f>
        <v>45166.66667</v>
      </c>
      <c r="B562" s="1">
        <f>IFERROR(__xludf.DUMMYFUNCTION("""COMPUTED_VALUE"""),180.09)</f>
        <v>180.09</v>
      </c>
      <c r="C562" s="1">
        <f>IFERROR(__xludf.DUMMYFUNCTION("""COMPUTED_VALUE"""),180.59)</f>
        <v>180.59</v>
      </c>
      <c r="D562" s="1">
        <f>IFERROR(__xludf.DUMMYFUNCTION("""COMPUTED_VALUE"""),178.55)</f>
        <v>178.55</v>
      </c>
      <c r="E562" s="1">
        <f>IFERROR(__xludf.DUMMYFUNCTION("""COMPUTED_VALUE"""),180.19)</f>
        <v>180.19</v>
      </c>
      <c r="F562" s="1">
        <f>IFERROR(__xludf.DUMMYFUNCTION("""COMPUTED_VALUE"""),4.3820697E7)</f>
        <v>43820697</v>
      </c>
    </row>
    <row r="563">
      <c r="A563" s="2">
        <f>IFERROR(__xludf.DUMMYFUNCTION("""COMPUTED_VALUE"""),45167.66666666667)</f>
        <v>45167.66667</v>
      </c>
      <c r="B563" s="1">
        <f>IFERROR(__xludf.DUMMYFUNCTION("""COMPUTED_VALUE"""),179.7)</f>
        <v>179.7</v>
      </c>
      <c r="C563" s="1">
        <f>IFERROR(__xludf.DUMMYFUNCTION("""COMPUTED_VALUE"""),184.9)</f>
        <v>184.9</v>
      </c>
      <c r="D563" s="1">
        <f>IFERROR(__xludf.DUMMYFUNCTION("""COMPUTED_VALUE"""),179.5)</f>
        <v>179.5</v>
      </c>
      <c r="E563" s="1">
        <f>IFERROR(__xludf.DUMMYFUNCTION("""COMPUTED_VALUE"""),184.12)</f>
        <v>184.12</v>
      </c>
      <c r="F563" s="1">
        <f>IFERROR(__xludf.DUMMYFUNCTION("""COMPUTED_VALUE"""),5.3003948E7)</f>
        <v>53003948</v>
      </c>
    </row>
    <row r="564">
      <c r="A564" s="2">
        <f>IFERROR(__xludf.DUMMYFUNCTION("""COMPUTED_VALUE"""),45168.66666666667)</f>
        <v>45168.66667</v>
      </c>
      <c r="B564" s="1">
        <f>IFERROR(__xludf.DUMMYFUNCTION("""COMPUTED_VALUE"""),184.94)</f>
        <v>184.94</v>
      </c>
      <c r="C564" s="1">
        <f>IFERROR(__xludf.DUMMYFUNCTION("""COMPUTED_VALUE"""),187.85)</f>
        <v>187.85</v>
      </c>
      <c r="D564" s="1">
        <f>IFERROR(__xludf.DUMMYFUNCTION("""COMPUTED_VALUE"""),184.74)</f>
        <v>184.74</v>
      </c>
      <c r="E564" s="1">
        <f>IFERROR(__xludf.DUMMYFUNCTION("""COMPUTED_VALUE"""),187.65)</f>
        <v>187.65</v>
      </c>
      <c r="F564" s="1">
        <f>IFERROR(__xludf.DUMMYFUNCTION("""COMPUTED_VALUE"""),6.0813888E7)</f>
        <v>60813888</v>
      </c>
    </row>
    <row r="565">
      <c r="A565" s="2">
        <f>IFERROR(__xludf.DUMMYFUNCTION("""COMPUTED_VALUE"""),45169.66666666667)</f>
        <v>45169.66667</v>
      </c>
      <c r="B565" s="1">
        <f>IFERROR(__xludf.DUMMYFUNCTION("""COMPUTED_VALUE"""),187.84)</f>
        <v>187.84</v>
      </c>
      <c r="C565" s="1">
        <f>IFERROR(__xludf.DUMMYFUNCTION("""COMPUTED_VALUE"""),189.12)</f>
        <v>189.12</v>
      </c>
      <c r="D565" s="1">
        <f>IFERROR(__xludf.DUMMYFUNCTION("""COMPUTED_VALUE"""),187.48)</f>
        <v>187.48</v>
      </c>
      <c r="E565" s="1">
        <f>IFERROR(__xludf.DUMMYFUNCTION("""COMPUTED_VALUE"""),187.87)</f>
        <v>187.87</v>
      </c>
      <c r="F565" s="1">
        <f>IFERROR(__xludf.DUMMYFUNCTION("""COMPUTED_VALUE"""),6.0794467E7)</f>
        <v>60794467</v>
      </c>
    </row>
    <row r="566">
      <c r="A566" s="2">
        <f>IFERROR(__xludf.DUMMYFUNCTION("""COMPUTED_VALUE"""),45170.66666666667)</f>
        <v>45170.66667</v>
      </c>
      <c r="B566" s="1">
        <f>IFERROR(__xludf.DUMMYFUNCTION("""COMPUTED_VALUE"""),189.49)</f>
        <v>189.49</v>
      </c>
      <c r="C566" s="1">
        <f>IFERROR(__xludf.DUMMYFUNCTION("""COMPUTED_VALUE"""),189.92)</f>
        <v>189.92</v>
      </c>
      <c r="D566" s="1">
        <f>IFERROR(__xludf.DUMMYFUNCTION("""COMPUTED_VALUE"""),188.28)</f>
        <v>188.28</v>
      </c>
      <c r="E566" s="1">
        <f>IFERROR(__xludf.DUMMYFUNCTION("""COMPUTED_VALUE"""),189.46)</f>
        <v>189.46</v>
      </c>
      <c r="F566" s="1">
        <f>IFERROR(__xludf.DUMMYFUNCTION("""COMPUTED_VALUE"""),4.5766503E7)</f>
        <v>45766503</v>
      </c>
    </row>
    <row r="567">
      <c r="A567" s="2">
        <f>IFERROR(__xludf.DUMMYFUNCTION("""COMPUTED_VALUE"""),45174.66666666667)</f>
        <v>45174.66667</v>
      </c>
      <c r="B567" s="1">
        <f>IFERROR(__xludf.DUMMYFUNCTION("""COMPUTED_VALUE"""),188.28)</f>
        <v>188.28</v>
      </c>
      <c r="C567" s="1">
        <f>IFERROR(__xludf.DUMMYFUNCTION("""COMPUTED_VALUE"""),189.98)</f>
        <v>189.98</v>
      </c>
      <c r="D567" s="1">
        <f>IFERROR(__xludf.DUMMYFUNCTION("""COMPUTED_VALUE"""),187.61)</f>
        <v>187.61</v>
      </c>
      <c r="E567" s="1">
        <f>IFERROR(__xludf.DUMMYFUNCTION("""COMPUTED_VALUE"""),189.7)</f>
        <v>189.7</v>
      </c>
      <c r="F567" s="1">
        <f>IFERROR(__xludf.DUMMYFUNCTION("""COMPUTED_VALUE"""),4.5280027E7)</f>
        <v>45280027</v>
      </c>
    </row>
    <row r="568">
      <c r="A568" s="2">
        <f>IFERROR(__xludf.DUMMYFUNCTION("""COMPUTED_VALUE"""),45175.66666666667)</f>
        <v>45175.66667</v>
      </c>
      <c r="B568" s="1">
        <f>IFERROR(__xludf.DUMMYFUNCTION("""COMPUTED_VALUE"""),188.4)</f>
        <v>188.4</v>
      </c>
      <c r="C568" s="1">
        <f>IFERROR(__xludf.DUMMYFUNCTION("""COMPUTED_VALUE"""),188.85)</f>
        <v>188.85</v>
      </c>
      <c r="D568" s="1">
        <f>IFERROR(__xludf.DUMMYFUNCTION("""COMPUTED_VALUE"""),181.47)</f>
        <v>181.47</v>
      </c>
      <c r="E568" s="1">
        <f>IFERROR(__xludf.DUMMYFUNCTION("""COMPUTED_VALUE"""),182.91)</f>
        <v>182.91</v>
      </c>
      <c r="F568" s="1">
        <f>IFERROR(__xludf.DUMMYFUNCTION("""COMPUTED_VALUE"""),8.1755816E7)</f>
        <v>81755816</v>
      </c>
    </row>
    <row r="569">
      <c r="A569" s="2">
        <f>IFERROR(__xludf.DUMMYFUNCTION("""COMPUTED_VALUE"""),45176.66666666667)</f>
        <v>45176.66667</v>
      </c>
      <c r="B569" s="1">
        <f>IFERROR(__xludf.DUMMYFUNCTION("""COMPUTED_VALUE"""),175.18)</f>
        <v>175.18</v>
      </c>
      <c r="C569" s="1">
        <f>IFERROR(__xludf.DUMMYFUNCTION("""COMPUTED_VALUE"""),178.21)</f>
        <v>178.21</v>
      </c>
      <c r="D569" s="1">
        <f>IFERROR(__xludf.DUMMYFUNCTION("""COMPUTED_VALUE"""),173.54)</f>
        <v>173.54</v>
      </c>
      <c r="E569" s="1">
        <f>IFERROR(__xludf.DUMMYFUNCTION("""COMPUTED_VALUE"""),177.56)</f>
        <v>177.56</v>
      </c>
      <c r="F569" s="1">
        <f>IFERROR(__xludf.DUMMYFUNCTION("""COMPUTED_VALUE"""),1.12488803E8)</f>
        <v>112488803</v>
      </c>
    </row>
    <row r="570">
      <c r="A570" s="2">
        <f>IFERROR(__xludf.DUMMYFUNCTION("""COMPUTED_VALUE"""),45177.66666666667)</f>
        <v>45177.66667</v>
      </c>
      <c r="B570" s="1">
        <f>IFERROR(__xludf.DUMMYFUNCTION("""COMPUTED_VALUE"""),178.35)</f>
        <v>178.35</v>
      </c>
      <c r="C570" s="1">
        <f>IFERROR(__xludf.DUMMYFUNCTION("""COMPUTED_VALUE"""),180.24)</f>
        <v>180.24</v>
      </c>
      <c r="D570" s="1">
        <f>IFERROR(__xludf.DUMMYFUNCTION("""COMPUTED_VALUE"""),177.79)</f>
        <v>177.79</v>
      </c>
      <c r="E570" s="1">
        <f>IFERROR(__xludf.DUMMYFUNCTION("""COMPUTED_VALUE"""),178.18)</f>
        <v>178.18</v>
      </c>
      <c r="F570" s="1">
        <f>IFERROR(__xludf.DUMMYFUNCTION("""COMPUTED_VALUE"""),6.5602066E7)</f>
        <v>65602066</v>
      </c>
    </row>
    <row r="571">
      <c r="A571" s="2">
        <f>IFERROR(__xludf.DUMMYFUNCTION("""COMPUTED_VALUE"""),45180.66666666667)</f>
        <v>45180.66667</v>
      </c>
      <c r="B571" s="1">
        <f>IFERROR(__xludf.DUMMYFUNCTION("""COMPUTED_VALUE"""),180.07)</f>
        <v>180.07</v>
      </c>
      <c r="C571" s="1">
        <f>IFERROR(__xludf.DUMMYFUNCTION("""COMPUTED_VALUE"""),180.3)</f>
        <v>180.3</v>
      </c>
      <c r="D571" s="1">
        <f>IFERROR(__xludf.DUMMYFUNCTION("""COMPUTED_VALUE"""),177.34)</f>
        <v>177.34</v>
      </c>
      <c r="E571" s="1">
        <f>IFERROR(__xludf.DUMMYFUNCTION("""COMPUTED_VALUE"""),179.36)</f>
        <v>179.36</v>
      </c>
      <c r="F571" s="1">
        <f>IFERROR(__xludf.DUMMYFUNCTION("""COMPUTED_VALUE"""),5.8953052E7)</f>
        <v>58953052</v>
      </c>
    </row>
    <row r="572">
      <c r="A572" s="2">
        <f>IFERROR(__xludf.DUMMYFUNCTION("""COMPUTED_VALUE"""),45181.66666666667)</f>
        <v>45181.66667</v>
      </c>
      <c r="B572" s="1">
        <f>IFERROR(__xludf.DUMMYFUNCTION("""COMPUTED_VALUE"""),179.49)</f>
        <v>179.49</v>
      </c>
      <c r="C572" s="1">
        <f>IFERROR(__xludf.DUMMYFUNCTION("""COMPUTED_VALUE"""),180.13)</f>
        <v>180.13</v>
      </c>
      <c r="D572" s="1">
        <f>IFERROR(__xludf.DUMMYFUNCTION("""COMPUTED_VALUE"""),174.82)</f>
        <v>174.82</v>
      </c>
      <c r="E572" s="1">
        <f>IFERROR(__xludf.DUMMYFUNCTION("""COMPUTED_VALUE"""),176.3)</f>
        <v>176.3</v>
      </c>
      <c r="F572" s="1">
        <f>IFERROR(__xludf.DUMMYFUNCTION("""COMPUTED_VALUE"""),9.0370192E7)</f>
        <v>90370192</v>
      </c>
    </row>
    <row r="573">
      <c r="A573" s="2">
        <f>IFERROR(__xludf.DUMMYFUNCTION("""COMPUTED_VALUE"""),45182.66666666667)</f>
        <v>45182.66667</v>
      </c>
      <c r="B573" s="1">
        <f>IFERROR(__xludf.DUMMYFUNCTION("""COMPUTED_VALUE"""),176.51)</f>
        <v>176.51</v>
      </c>
      <c r="C573" s="1">
        <f>IFERROR(__xludf.DUMMYFUNCTION("""COMPUTED_VALUE"""),177.3)</f>
        <v>177.3</v>
      </c>
      <c r="D573" s="1">
        <f>IFERROR(__xludf.DUMMYFUNCTION("""COMPUTED_VALUE"""),173.98)</f>
        <v>173.98</v>
      </c>
      <c r="E573" s="1">
        <f>IFERROR(__xludf.DUMMYFUNCTION("""COMPUTED_VALUE"""),174.21)</f>
        <v>174.21</v>
      </c>
      <c r="F573" s="1">
        <f>IFERROR(__xludf.DUMMYFUNCTION("""COMPUTED_VALUE"""),8.4267928E7)</f>
        <v>84267928</v>
      </c>
    </row>
    <row r="574">
      <c r="A574" s="2">
        <f>IFERROR(__xludf.DUMMYFUNCTION("""COMPUTED_VALUE"""),45183.66666666667)</f>
        <v>45183.66667</v>
      </c>
      <c r="B574" s="1">
        <f>IFERROR(__xludf.DUMMYFUNCTION("""COMPUTED_VALUE"""),174.0)</f>
        <v>174</v>
      </c>
      <c r="C574" s="1">
        <f>IFERROR(__xludf.DUMMYFUNCTION("""COMPUTED_VALUE"""),176.1)</f>
        <v>176.1</v>
      </c>
      <c r="D574" s="1">
        <f>IFERROR(__xludf.DUMMYFUNCTION("""COMPUTED_VALUE"""),173.58)</f>
        <v>173.58</v>
      </c>
      <c r="E574" s="1">
        <f>IFERROR(__xludf.DUMMYFUNCTION("""COMPUTED_VALUE"""),175.74)</f>
        <v>175.74</v>
      </c>
      <c r="F574" s="1">
        <f>IFERROR(__xludf.DUMMYFUNCTION("""COMPUTED_VALUE"""),6.0895757E7)</f>
        <v>60895757</v>
      </c>
    </row>
    <row r="575">
      <c r="A575" s="2">
        <f>IFERROR(__xludf.DUMMYFUNCTION("""COMPUTED_VALUE"""),45184.66666666667)</f>
        <v>45184.66667</v>
      </c>
      <c r="B575" s="1">
        <f>IFERROR(__xludf.DUMMYFUNCTION("""COMPUTED_VALUE"""),176.48)</f>
        <v>176.48</v>
      </c>
      <c r="C575" s="1">
        <f>IFERROR(__xludf.DUMMYFUNCTION("""COMPUTED_VALUE"""),176.5)</f>
        <v>176.5</v>
      </c>
      <c r="D575" s="1">
        <f>IFERROR(__xludf.DUMMYFUNCTION("""COMPUTED_VALUE"""),173.82)</f>
        <v>173.82</v>
      </c>
      <c r="E575" s="1">
        <f>IFERROR(__xludf.DUMMYFUNCTION("""COMPUTED_VALUE"""),175.01)</f>
        <v>175.01</v>
      </c>
      <c r="F575" s="1">
        <f>IFERROR(__xludf.DUMMYFUNCTION("""COMPUTED_VALUE"""),1.09259461E8)</f>
        <v>109259461</v>
      </c>
    </row>
    <row r="576">
      <c r="A576" s="2">
        <f>IFERROR(__xludf.DUMMYFUNCTION("""COMPUTED_VALUE"""),45187.66666666667)</f>
        <v>45187.66667</v>
      </c>
      <c r="B576" s="1">
        <f>IFERROR(__xludf.DUMMYFUNCTION("""COMPUTED_VALUE"""),176.48)</f>
        <v>176.48</v>
      </c>
      <c r="C576" s="1">
        <f>IFERROR(__xludf.DUMMYFUNCTION("""COMPUTED_VALUE"""),179.38)</f>
        <v>179.38</v>
      </c>
      <c r="D576" s="1">
        <f>IFERROR(__xludf.DUMMYFUNCTION("""COMPUTED_VALUE"""),176.17)</f>
        <v>176.17</v>
      </c>
      <c r="E576" s="1">
        <f>IFERROR(__xludf.DUMMYFUNCTION("""COMPUTED_VALUE"""),177.97)</f>
        <v>177.97</v>
      </c>
      <c r="F576" s="1">
        <f>IFERROR(__xludf.DUMMYFUNCTION("""COMPUTED_VALUE"""),6.7257573E7)</f>
        <v>67257573</v>
      </c>
    </row>
    <row r="577">
      <c r="A577" s="2">
        <f>IFERROR(__xludf.DUMMYFUNCTION("""COMPUTED_VALUE"""),45188.66666666667)</f>
        <v>45188.66667</v>
      </c>
      <c r="B577" s="1">
        <f>IFERROR(__xludf.DUMMYFUNCTION("""COMPUTED_VALUE"""),177.52)</f>
        <v>177.52</v>
      </c>
      <c r="C577" s="1">
        <f>IFERROR(__xludf.DUMMYFUNCTION("""COMPUTED_VALUE"""),179.63)</f>
        <v>179.63</v>
      </c>
      <c r="D577" s="1">
        <f>IFERROR(__xludf.DUMMYFUNCTION("""COMPUTED_VALUE"""),177.13)</f>
        <v>177.13</v>
      </c>
      <c r="E577" s="1">
        <f>IFERROR(__xludf.DUMMYFUNCTION("""COMPUTED_VALUE"""),179.07)</f>
        <v>179.07</v>
      </c>
      <c r="F577" s="1">
        <f>IFERROR(__xludf.DUMMYFUNCTION("""COMPUTED_VALUE"""),5.1826941E7)</f>
        <v>51826941</v>
      </c>
    </row>
    <row r="578">
      <c r="A578" s="2">
        <f>IFERROR(__xludf.DUMMYFUNCTION("""COMPUTED_VALUE"""),45189.66666666667)</f>
        <v>45189.66667</v>
      </c>
      <c r="B578" s="1">
        <f>IFERROR(__xludf.DUMMYFUNCTION("""COMPUTED_VALUE"""),179.26)</f>
        <v>179.26</v>
      </c>
      <c r="C578" s="1">
        <f>IFERROR(__xludf.DUMMYFUNCTION("""COMPUTED_VALUE"""),179.7)</f>
        <v>179.7</v>
      </c>
      <c r="D578" s="1">
        <f>IFERROR(__xludf.DUMMYFUNCTION("""COMPUTED_VALUE"""),175.4)</f>
        <v>175.4</v>
      </c>
      <c r="E578" s="1">
        <f>IFERROR(__xludf.DUMMYFUNCTION("""COMPUTED_VALUE"""),175.49)</f>
        <v>175.49</v>
      </c>
      <c r="F578" s="1">
        <f>IFERROR(__xludf.DUMMYFUNCTION("""COMPUTED_VALUE"""),5.8436181E7)</f>
        <v>58436181</v>
      </c>
    </row>
    <row r="579">
      <c r="A579" s="2">
        <f>IFERROR(__xludf.DUMMYFUNCTION("""COMPUTED_VALUE"""),45190.66666666667)</f>
        <v>45190.66667</v>
      </c>
      <c r="B579" s="1">
        <f>IFERROR(__xludf.DUMMYFUNCTION("""COMPUTED_VALUE"""),174.55)</f>
        <v>174.55</v>
      </c>
      <c r="C579" s="1">
        <f>IFERROR(__xludf.DUMMYFUNCTION("""COMPUTED_VALUE"""),176.3)</f>
        <v>176.3</v>
      </c>
      <c r="D579" s="1">
        <f>IFERROR(__xludf.DUMMYFUNCTION("""COMPUTED_VALUE"""),173.86)</f>
        <v>173.86</v>
      </c>
      <c r="E579" s="1">
        <f>IFERROR(__xludf.DUMMYFUNCTION("""COMPUTED_VALUE"""),173.93)</f>
        <v>173.93</v>
      </c>
      <c r="F579" s="1">
        <f>IFERROR(__xludf.DUMMYFUNCTION("""COMPUTED_VALUE"""),6.3149116E7)</f>
        <v>63149116</v>
      </c>
    </row>
    <row r="580">
      <c r="A580" s="2">
        <f>IFERROR(__xludf.DUMMYFUNCTION("""COMPUTED_VALUE"""),45191.66666666667)</f>
        <v>45191.66667</v>
      </c>
      <c r="B580" s="1">
        <f>IFERROR(__xludf.DUMMYFUNCTION("""COMPUTED_VALUE"""),174.67)</f>
        <v>174.67</v>
      </c>
      <c r="C580" s="1">
        <f>IFERROR(__xludf.DUMMYFUNCTION("""COMPUTED_VALUE"""),177.08)</f>
        <v>177.08</v>
      </c>
      <c r="D580" s="1">
        <f>IFERROR(__xludf.DUMMYFUNCTION("""COMPUTED_VALUE"""),174.05)</f>
        <v>174.05</v>
      </c>
      <c r="E580" s="1">
        <f>IFERROR(__xludf.DUMMYFUNCTION("""COMPUTED_VALUE"""),174.79)</f>
        <v>174.79</v>
      </c>
      <c r="F580" s="1">
        <f>IFERROR(__xludf.DUMMYFUNCTION("""COMPUTED_VALUE"""),5.6725385E7)</f>
        <v>56725385</v>
      </c>
    </row>
    <row r="581">
      <c r="A581" s="2">
        <f>IFERROR(__xludf.DUMMYFUNCTION("""COMPUTED_VALUE"""),45194.66666666667)</f>
        <v>45194.66667</v>
      </c>
      <c r="B581" s="1">
        <f>IFERROR(__xludf.DUMMYFUNCTION("""COMPUTED_VALUE"""),174.2)</f>
        <v>174.2</v>
      </c>
      <c r="C581" s="1">
        <f>IFERROR(__xludf.DUMMYFUNCTION("""COMPUTED_VALUE"""),176.97)</f>
        <v>176.97</v>
      </c>
      <c r="D581" s="1">
        <f>IFERROR(__xludf.DUMMYFUNCTION("""COMPUTED_VALUE"""),174.15)</f>
        <v>174.15</v>
      </c>
      <c r="E581" s="1">
        <f>IFERROR(__xludf.DUMMYFUNCTION("""COMPUTED_VALUE"""),176.08)</f>
        <v>176.08</v>
      </c>
      <c r="F581" s="1">
        <f>IFERROR(__xludf.DUMMYFUNCTION("""COMPUTED_VALUE"""),4.617274E7)</f>
        <v>46172740</v>
      </c>
    </row>
    <row r="582">
      <c r="A582" s="2">
        <f>IFERROR(__xludf.DUMMYFUNCTION("""COMPUTED_VALUE"""),45195.66666666667)</f>
        <v>45195.66667</v>
      </c>
      <c r="B582" s="1">
        <f>IFERROR(__xludf.DUMMYFUNCTION("""COMPUTED_VALUE"""),174.82)</f>
        <v>174.82</v>
      </c>
      <c r="C582" s="1">
        <f>IFERROR(__xludf.DUMMYFUNCTION("""COMPUTED_VALUE"""),175.2)</f>
        <v>175.2</v>
      </c>
      <c r="D582" s="1">
        <f>IFERROR(__xludf.DUMMYFUNCTION("""COMPUTED_VALUE"""),171.66)</f>
        <v>171.66</v>
      </c>
      <c r="E582" s="1">
        <f>IFERROR(__xludf.DUMMYFUNCTION("""COMPUTED_VALUE"""),171.96)</f>
        <v>171.96</v>
      </c>
      <c r="F582" s="1">
        <f>IFERROR(__xludf.DUMMYFUNCTION("""COMPUTED_VALUE"""),6.4588945E7)</f>
        <v>64588945</v>
      </c>
    </row>
    <row r="583">
      <c r="A583" s="2">
        <f>IFERROR(__xludf.DUMMYFUNCTION("""COMPUTED_VALUE"""),45196.66666666667)</f>
        <v>45196.66667</v>
      </c>
      <c r="B583" s="1">
        <f>IFERROR(__xludf.DUMMYFUNCTION("""COMPUTED_VALUE"""),172.62)</f>
        <v>172.62</v>
      </c>
      <c r="C583" s="1">
        <f>IFERROR(__xludf.DUMMYFUNCTION("""COMPUTED_VALUE"""),173.04)</f>
        <v>173.04</v>
      </c>
      <c r="D583" s="1">
        <f>IFERROR(__xludf.DUMMYFUNCTION("""COMPUTED_VALUE"""),169.05)</f>
        <v>169.05</v>
      </c>
      <c r="E583" s="1">
        <f>IFERROR(__xludf.DUMMYFUNCTION("""COMPUTED_VALUE"""),170.43)</f>
        <v>170.43</v>
      </c>
      <c r="F583" s="1">
        <f>IFERROR(__xludf.DUMMYFUNCTION("""COMPUTED_VALUE"""),6.6921808E7)</f>
        <v>66921808</v>
      </c>
    </row>
    <row r="584">
      <c r="A584" s="2">
        <f>IFERROR(__xludf.DUMMYFUNCTION("""COMPUTED_VALUE"""),45197.66666666667)</f>
        <v>45197.66667</v>
      </c>
      <c r="B584" s="1">
        <f>IFERROR(__xludf.DUMMYFUNCTION("""COMPUTED_VALUE"""),169.34)</f>
        <v>169.34</v>
      </c>
      <c r="C584" s="1">
        <f>IFERROR(__xludf.DUMMYFUNCTION("""COMPUTED_VALUE"""),172.03)</f>
        <v>172.03</v>
      </c>
      <c r="D584" s="1">
        <f>IFERROR(__xludf.DUMMYFUNCTION("""COMPUTED_VALUE"""),167.62)</f>
        <v>167.62</v>
      </c>
      <c r="E584" s="1">
        <f>IFERROR(__xludf.DUMMYFUNCTION("""COMPUTED_VALUE"""),170.69)</f>
        <v>170.69</v>
      </c>
      <c r="F584" s="1">
        <f>IFERROR(__xludf.DUMMYFUNCTION("""COMPUTED_VALUE"""),5.6294419E7)</f>
        <v>56294419</v>
      </c>
    </row>
    <row r="585">
      <c r="A585" s="2">
        <f>IFERROR(__xludf.DUMMYFUNCTION("""COMPUTED_VALUE"""),45198.66666666667)</f>
        <v>45198.66667</v>
      </c>
      <c r="B585" s="1">
        <f>IFERROR(__xludf.DUMMYFUNCTION("""COMPUTED_VALUE"""),172.02)</f>
        <v>172.02</v>
      </c>
      <c r="C585" s="1">
        <f>IFERROR(__xludf.DUMMYFUNCTION("""COMPUTED_VALUE"""),173.07)</f>
        <v>173.07</v>
      </c>
      <c r="D585" s="1">
        <f>IFERROR(__xludf.DUMMYFUNCTION("""COMPUTED_VALUE"""),170.34)</f>
        <v>170.34</v>
      </c>
      <c r="E585" s="1">
        <f>IFERROR(__xludf.DUMMYFUNCTION("""COMPUTED_VALUE"""),171.21)</f>
        <v>171.21</v>
      </c>
      <c r="F585" s="1">
        <f>IFERROR(__xludf.DUMMYFUNCTION("""COMPUTED_VALUE"""),5.1861083E7)</f>
        <v>51861083</v>
      </c>
    </row>
    <row r="586">
      <c r="A586" s="2">
        <f>IFERROR(__xludf.DUMMYFUNCTION("""COMPUTED_VALUE"""),45201.66666666667)</f>
        <v>45201.66667</v>
      </c>
      <c r="B586" s="1">
        <f>IFERROR(__xludf.DUMMYFUNCTION("""COMPUTED_VALUE"""),171.22)</f>
        <v>171.22</v>
      </c>
      <c r="C586" s="1">
        <f>IFERROR(__xludf.DUMMYFUNCTION("""COMPUTED_VALUE"""),174.3)</f>
        <v>174.3</v>
      </c>
      <c r="D586" s="1">
        <f>IFERROR(__xludf.DUMMYFUNCTION("""COMPUTED_VALUE"""),170.93)</f>
        <v>170.93</v>
      </c>
      <c r="E586" s="1">
        <f>IFERROR(__xludf.DUMMYFUNCTION("""COMPUTED_VALUE"""),173.75)</f>
        <v>173.75</v>
      </c>
      <c r="F586" s="1">
        <f>IFERROR(__xludf.DUMMYFUNCTION("""COMPUTED_VALUE"""),5.2164535E7)</f>
        <v>52164535</v>
      </c>
    </row>
    <row r="587">
      <c r="A587" s="2">
        <f>IFERROR(__xludf.DUMMYFUNCTION("""COMPUTED_VALUE"""),45202.66666666667)</f>
        <v>45202.66667</v>
      </c>
      <c r="B587" s="1">
        <f>IFERROR(__xludf.DUMMYFUNCTION("""COMPUTED_VALUE"""),172.26)</f>
        <v>172.26</v>
      </c>
      <c r="C587" s="1">
        <f>IFERROR(__xludf.DUMMYFUNCTION("""COMPUTED_VALUE"""),173.63)</f>
        <v>173.63</v>
      </c>
      <c r="D587" s="1">
        <f>IFERROR(__xludf.DUMMYFUNCTION("""COMPUTED_VALUE"""),170.82)</f>
        <v>170.82</v>
      </c>
      <c r="E587" s="1">
        <f>IFERROR(__xludf.DUMMYFUNCTION("""COMPUTED_VALUE"""),172.4)</f>
        <v>172.4</v>
      </c>
      <c r="F587" s="1">
        <f>IFERROR(__xludf.DUMMYFUNCTION("""COMPUTED_VALUE"""),4.9594613E7)</f>
        <v>49594613</v>
      </c>
    </row>
    <row r="588">
      <c r="A588" s="2">
        <f>IFERROR(__xludf.DUMMYFUNCTION("""COMPUTED_VALUE"""),45203.66666666667)</f>
        <v>45203.66667</v>
      </c>
      <c r="B588" s="1">
        <f>IFERROR(__xludf.DUMMYFUNCTION("""COMPUTED_VALUE"""),171.09)</f>
        <v>171.09</v>
      </c>
      <c r="C588" s="1">
        <f>IFERROR(__xludf.DUMMYFUNCTION("""COMPUTED_VALUE"""),174.21)</f>
        <v>174.21</v>
      </c>
      <c r="D588" s="1">
        <f>IFERROR(__xludf.DUMMYFUNCTION("""COMPUTED_VALUE"""),170.97)</f>
        <v>170.97</v>
      </c>
      <c r="E588" s="1">
        <f>IFERROR(__xludf.DUMMYFUNCTION("""COMPUTED_VALUE"""),173.66)</f>
        <v>173.66</v>
      </c>
      <c r="F588" s="1">
        <f>IFERROR(__xludf.DUMMYFUNCTION("""COMPUTED_VALUE"""),5.3020286E7)</f>
        <v>53020286</v>
      </c>
    </row>
    <row r="589">
      <c r="A589" s="2">
        <f>IFERROR(__xludf.DUMMYFUNCTION("""COMPUTED_VALUE"""),45204.66666666667)</f>
        <v>45204.66667</v>
      </c>
      <c r="B589" s="1">
        <f>IFERROR(__xludf.DUMMYFUNCTION("""COMPUTED_VALUE"""),173.79)</f>
        <v>173.79</v>
      </c>
      <c r="C589" s="1">
        <f>IFERROR(__xludf.DUMMYFUNCTION("""COMPUTED_VALUE"""),175.45)</f>
        <v>175.45</v>
      </c>
      <c r="D589" s="1">
        <f>IFERROR(__xludf.DUMMYFUNCTION("""COMPUTED_VALUE"""),172.68)</f>
        <v>172.68</v>
      </c>
      <c r="E589" s="1">
        <f>IFERROR(__xludf.DUMMYFUNCTION("""COMPUTED_VALUE"""),174.91)</f>
        <v>174.91</v>
      </c>
      <c r="F589" s="1">
        <f>IFERROR(__xludf.DUMMYFUNCTION("""COMPUTED_VALUE"""),4.8527918E7)</f>
        <v>48527918</v>
      </c>
    </row>
    <row r="590">
      <c r="A590" s="2">
        <f>IFERROR(__xludf.DUMMYFUNCTION("""COMPUTED_VALUE"""),45205.66666666667)</f>
        <v>45205.66667</v>
      </c>
      <c r="B590" s="1">
        <f>IFERROR(__xludf.DUMMYFUNCTION("""COMPUTED_VALUE"""),173.8)</f>
        <v>173.8</v>
      </c>
      <c r="C590" s="1">
        <f>IFERROR(__xludf.DUMMYFUNCTION("""COMPUTED_VALUE"""),177.99)</f>
        <v>177.99</v>
      </c>
      <c r="D590" s="1">
        <f>IFERROR(__xludf.DUMMYFUNCTION("""COMPUTED_VALUE"""),173.18)</f>
        <v>173.18</v>
      </c>
      <c r="E590" s="1">
        <f>IFERROR(__xludf.DUMMYFUNCTION("""COMPUTED_VALUE"""),177.49)</f>
        <v>177.49</v>
      </c>
      <c r="F590" s="1">
        <f>IFERROR(__xludf.DUMMYFUNCTION("""COMPUTED_VALUE"""),5.7266675E7)</f>
        <v>57266675</v>
      </c>
    </row>
    <row r="591">
      <c r="A591" s="2">
        <f>IFERROR(__xludf.DUMMYFUNCTION("""COMPUTED_VALUE"""),45208.66666666667)</f>
        <v>45208.66667</v>
      </c>
      <c r="B591" s="1">
        <f>IFERROR(__xludf.DUMMYFUNCTION("""COMPUTED_VALUE"""),176.81)</f>
        <v>176.81</v>
      </c>
      <c r="C591" s="1">
        <f>IFERROR(__xludf.DUMMYFUNCTION("""COMPUTED_VALUE"""),179.05)</f>
        <v>179.05</v>
      </c>
      <c r="D591" s="1">
        <f>IFERROR(__xludf.DUMMYFUNCTION("""COMPUTED_VALUE"""),175.8)</f>
        <v>175.8</v>
      </c>
      <c r="E591" s="1">
        <f>IFERROR(__xludf.DUMMYFUNCTION("""COMPUTED_VALUE"""),178.99)</f>
        <v>178.99</v>
      </c>
      <c r="F591" s="1">
        <f>IFERROR(__xludf.DUMMYFUNCTION("""COMPUTED_VALUE"""),4.2390772E7)</f>
        <v>42390772</v>
      </c>
    </row>
    <row r="592">
      <c r="A592" s="2">
        <f>IFERROR(__xludf.DUMMYFUNCTION("""COMPUTED_VALUE"""),45209.66666666667)</f>
        <v>45209.66667</v>
      </c>
      <c r="B592" s="1">
        <f>IFERROR(__xludf.DUMMYFUNCTION("""COMPUTED_VALUE"""),178.1)</f>
        <v>178.1</v>
      </c>
      <c r="C592" s="1">
        <f>IFERROR(__xludf.DUMMYFUNCTION("""COMPUTED_VALUE"""),179.72)</f>
        <v>179.72</v>
      </c>
      <c r="D592" s="1">
        <f>IFERROR(__xludf.DUMMYFUNCTION("""COMPUTED_VALUE"""),177.95)</f>
        <v>177.95</v>
      </c>
      <c r="E592" s="1">
        <f>IFERROR(__xludf.DUMMYFUNCTION("""COMPUTED_VALUE"""),178.39)</f>
        <v>178.39</v>
      </c>
      <c r="F592" s="1">
        <f>IFERROR(__xludf.DUMMYFUNCTION("""COMPUTED_VALUE"""),4.3698019E7)</f>
        <v>43698019</v>
      </c>
    </row>
    <row r="593">
      <c r="A593" s="2">
        <f>IFERROR(__xludf.DUMMYFUNCTION("""COMPUTED_VALUE"""),45210.66666666667)</f>
        <v>45210.66667</v>
      </c>
      <c r="B593" s="1">
        <f>IFERROR(__xludf.DUMMYFUNCTION("""COMPUTED_VALUE"""),178.2)</f>
        <v>178.2</v>
      </c>
      <c r="C593" s="1">
        <f>IFERROR(__xludf.DUMMYFUNCTION("""COMPUTED_VALUE"""),179.85)</f>
        <v>179.85</v>
      </c>
      <c r="D593" s="1">
        <f>IFERROR(__xludf.DUMMYFUNCTION("""COMPUTED_VALUE"""),177.6)</f>
        <v>177.6</v>
      </c>
      <c r="E593" s="1">
        <f>IFERROR(__xludf.DUMMYFUNCTION("""COMPUTED_VALUE"""),179.8)</f>
        <v>179.8</v>
      </c>
      <c r="F593" s="1">
        <f>IFERROR(__xludf.DUMMYFUNCTION("""COMPUTED_VALUE"""),4.7551098E7)</f>
        <v>47551098</v>
      </c>
    </row>
    <row r="594">
      <c r="A594" s="2">
        <f>IFERROR(__xludf.DUMMYFUNCTION("""COMPUTED_VALUE"""),45211.66666666667)</f>
        <v>45211.66667</v>
      </c>
      <c r="B594" s="1">
        <f>IFERROR(__xludf.DUMMYFUNCTION("""COMPUTED_VALUE"""),180.07)</f>
        <v>180.07</v>
      </c>
      <c r="C594" s="1">
        <f>IFERROR(__xludf.DUMMYFUNCTION("""COMPUTED_VALUE"""),182.34)</f>
        <v>182.34</v>
      </c>
      <c r="D594" s="1">
        <f>IFERROR(__xludf.DUMMYFUNCTION("""COMPUTED_VALUE"""),179.04)</f>
        <v>179.04</v>
      </c>
      <c r="E594" s="1">
        <f>IFERROR(__xludf.DUMMYFUNCTION("""COMPUTED_VALUE"""),180.71)</f>
        <v>180.71</v>
      </c>
      <c r="F594" s="1">
        <f>IFERROR(__xludf.DUMMYFUNCTION("""COMPUTED_VALUE"""),5.6743119E7)</f>
        <v>56743119</v>
      </c>
    </row>
    <row r="595">
      <c r="A595" s="2">
        <f>IFERROR(__xludf.DUMMYFUNCTION("""COMPUTED_VALUE"""),45212.66666666667)</f>
        <v>45212.66667</v>
      </c>
      <c r="B595" s="1">
        <f>IFERROR(__xludf.DUMMYFUNCTION("""COMPUTED_VALUE"""),181.42)</f>
        <v>181.42</v>
      </c>
      <c r="C595" s="1">
        <f>IFERROR(__xludf.DUMMYFUNCTION("""COMPUTED_VALUE"""),181.93)</f>
        <v>181.93</v>
      </c>
      <c r="D595" s="1">
        <f>IFERROR(__xludf.DUMMYFUNCTION("""COMPUTED_VALUE"""),178.14)</f>
        <v>178.14</v>
      </c>
      <c r="E595" s="1">
        <f>IFERROR(__xludf.DUMMYFUNCTION("""COMPUTED_VALUE"""),178.85)</f>
        <v>178.85</v>
      </c>
      <c r="F595" s="1">
        <f>IFERROR(__xludf.DUMMYFUNCTION("""COMPUTED_VALUE"""),5.1456082E7)</f>
        <v>51456082</v>
      </c>
    </row>
    <row r="596">
      <c r="A596" s="2">
        <f>IFERROR(__xludf.DUMMYFUNCTION("""COMPUTED_VALUE"""),45215.66666666667)</f>
        <v>45215.66667</v>
      </c>
      <c r="B596" s="1">
        <f>IFERROR(__xludf.DUMMYFUNCTION("""COMPUTED_VALUE"""),176.75)</f>
        <v>176.75</v>
      </c>
      <c r="C596" s="1">
        <f>IFERROR(__xludf.DUMMYFUNCTION("""COMPUTED_VALUE"""),179.08)</f>
        <v>179.08</v>
      </c>
      <c r="D596" s="1">
        <f>IFERROR(__xludf.DUMMYFUNCTION("""COMPUTED_VALUE"""),176.51)</f>
        <v>176.51</v>
      </c>
      <c r="E596" s="1">
        <f>IFERROR(__xludf.DUMMYFUNCTION("""COMPUTED_VALUE"""),178.72)</f>
        <v>178.72</v>
      </c>
      <c r="F596" s="1">
        <f>IFERROR(__xludf.DUMMYFUNCTION("""COMPUTED_VALUE"""),5.2516984E7)</f>
        <v>52516984</v>
      </c>
    </row>
    <row r="597">
      <c r="A597" s="2">
        <f>IFERROR(__xludf.DUMMYFUNCTION("""COMPUTED_VALUE"""),45216.66666666667)</f>
        <v>45216.66667</v>
      </c>
      <c r="B597" s="1">
        <f>IFERROR(__xludf.DUMMYFUNCTION("""COMPUTED_VALUE"""),176.65)</f>
        <v>176.65</v>
      </c>
      <c r="C597" s="1">
        <f>IFERROR(__xludf.DUMMYFUNCTION("""COMPUTED_VALUE"""),178.42)</f>
        <v>178.42</v>
      </c>
      <c r="D597" s="1">
        <f>IFERROR(__xludf.DUMMYFUNCTION("""COMPUTED_VALUE"""),174.8)</f>
        <v>174.8</v>
      </c>
      <c r="E597" s="1">
        <f>IFERROR(__xludf.DUMMYFUNCTION("""COMPUTED_VALUE"""),177.15)</f>
        <v>177.15</v>
      </c>
      <c r="F597" s="1">
        <f>IFERROR(__xludf.DUMMYFUNCTION("""COMPUTED_VALUE"""),5.754935E7)</f>
        <v>57549350</v>
      </c>
    </row>
    <row r="598">
      <c r="A598" s="2">
        <f>IFERROR(__xludf.DUMMYFUNCTION("""COMPUTED_VALUE"""),45217.66666666667)</f>
        <v>45217.66667</v>
      </c>
      <c r="B598" s="1">
        <f>IFERROR(__xludf.DUMMYFUNCTION("""COMPUTED_VALUE"""),175.58)</f>
        <v>175.58</v>
      </c>
      <c r="C598" s="1">
        <f>IFERROR(__xludf.DUMMYFUNCTION("""COMPUTED_VALUE"""),177.58)</f>
        <v>177.58</v>
      </c>
      <c r="D598" s="1">
        <f>IFERROR(__xludf.DUMMYFUNCTION("""COMPUTED_VALUE"""),175.11)</f>
        <v>175.11</v>
      </c>
      <c r="E598" s="1">
        <f>IFERROR(__xludf.DUMMYFUNCTION("""COMPUTED_VALUE"""),175.84)</f>
        <v>175.84</v>
      </c>
      <c r="F598" s="1">
        <f>IFERROR(__xludf.DUMMYFUNCTION("""COMPUTED_VALUE"""),5.4764375E7)</f>
        <v>54764375</v>
      </c>
    </row>
    <row r="599">
      <c r="A599" s="2">
        <f>IFERROR(__xludf.DUMMYFUNCTION("""COMPUTED_VALUE"""),45218.66666666667)</f>
        <v>45218.66667</v>
      </c>
      <c r="B599" s="1">
        <f>IFERROR(__xludf.DUMMYFUNCTION("""COMPUTED_VALUE"""),176.04)</f>
        <v>176.04</v>
      </c>
      <c r="C599" s="1">
        <f>IFERROR(__xludf.DUMMYFUNCTION("""COMPUTED_VALUE"""),177.84)</f>
        <v>177.84</v>
      </c>
      <c r="D599" s="1">
        <f>IFERROR(__xludf.DUMMYFUNCTION("""COMPUTED_VALUE"""),175.19)</f>
        <v>175.19</v>
      </c>
      <c r="E599" s="1">
        <f>IFERROR(__xludf.DUMMYFUNCTION("""COMPUTED_VALUE"""),175.46)</f>
        <v>175.46</v>
      </c>
      <c r="F599" s="1">
        <f>IFERROR(__xludf.DUMMYFUNCTION("""COMPUTED_VALUE"""),5.9302863E7)</f>
        <v>59302863</v>
      </c>
    </row>
    <row r="600">
      <c r="A600" s="2">
        <f>IFERROR(__xludf.DUMMYFUNCTION("""COMPUTED_VALUE"""),45219.66666666667)</f>
        <v>45219.66667</v>
      </c>
      <c r="B600" s="1">
        <f>IFERROR(__xludf.DUMMYFUNCTION("""COMPUTED_VALUE"""),175.31)</f>
        <v>175.31</v>
      </c>
      <c r="C600" s="1">
        <f>IFERROR(__xludf.DUMMYFUNCTION("""COMPUTED_VALUE"""),175.42)</f>
        <v>175.42</v>
      </c>
      <c r="D600" s="1">
        <f>IFERROR(__xludf.DUMMYFUNCTION("""COMPUTED_VALUE"""),172.64)</f>
        <v>172.64</v>
      </c>
      <c r="E600" s="1">
        <f>IFERROR(__xludf.DUMMYFUNCTION("""COMPUTED_VALUE"""),172.88)</f>
        <v>172.88</v>
      </c>
      <c r="F600" s="1">
        <f>IFERROR(__xludf.DUMMYFUNCTION("""COMPUTED_VALUE"""),6.4244028E7)</f>
        <v>64244028</v>
      </c>
    </row>
    <row r="601">
      <c r="A601" s="2">
        <f>IFERROR(__xludf.DUMMYFUNCTION("""COMPUTED_VALUE"""),45222.66666666667)</f>
        <v>45222.66667</v>
      </c>
      <c r="B601" s="1">
        <f>IFERROR(__xludf.DUMMYFUNCTION("""COMPUTED_VALUE"""),170.91)</f>
        <v>170.91</v>
      </c>
      <c r="C601" s="1">
        <f>IFERROR(__xludf.DUMMYFUNCTION("""COMPUTED_VALUE"""),174.01)</f>
        <v>174.01</v>
      </c>
      <c r="D601" s="1">
        <f>IFERROR(__xludf.DUMMYFUNCTION("""COMPUTED_VALUE"""),169.93)</f>
        <v>169.93</v>
      </c>
      <c r="E601" s="1">
        <f>IFERROR(__xludf.DUMMYFUNCTION("""COMPUTED_VALUE"""),173.0)</f>
        <v>173</v>
      </c>
      <c r="F601" s="1">
        <f>IFERROR(__xludf.DUMMYFUNCTION("""COMPUTED_VALUE"""),5.5980109E7)</f>
        <v>55980109</v>
      </c>
    </row>
    <row r="602">
      <c r="A602" s="2">
        <f>IFERROR(__xludf.DUMMYFUNCTION("""COMPUTED_VALUE"""),45223.66666666667)</f>
        <v>45223.66667</v>
      </c>
      <c r="B602" s="1">
        <f>IFERROR(__xludf.DUMMYFUNCTION("""COMPUTED_VALUE"""),173.05)</f>
        <v>173.05</v>
      </c>
      <c r="C602" s="1">
        <f>IFERROR(__xludf.DUMMYFUNCTION("""COMPUTED_VALUE"""),173.67)</f>
        <v>173.67</v>
      </c>
      <c r="D602" s="1">
        <f>IFERROR(__xludf.DUMMYFUNCTION("""COMPUTED_VALUE"""),171.45)</f>
        <v>171.45</v>
      </c>
      <c r="E602" s="1">
        <f>IFERROR(__xludf.DUMMYFUNCTION("""COMPUTED_VALUE"""),173.44)</f>
        <v>173.44</v>
      </c>
      <c r="F602" s="1">
        <f>IFERROR(__xludf.DUMMYFUNCTION("""COMPUTED_VALUE"""),4.3816644E7)</f>
        <v>43816644</v>
      </c>
    </row>
    <row r="603">
      <c r="A603" s="2">
        <f>IFERROR(__xludf.DUMMYFUNCTION("""COMPUTED_VALUE"""),45224.66666666667)</f>
        <v>45224.66667</v>
      </c>
      <c r="B603" s="1">
        <f>IFERROR(__xludf.DUMMYFUNCTION("""COMPUTED_VALUE"""),171.88)</f>
        <v>171.88</v>
      </c>
      <c r="C603" s="1">
        <f>IFERROR(__xludf.DUMMYFUNCTION("""COMPUTED_VALUE"""),173.06)</f>
        <v>173.06</v>
      </c>
      <c r="D603" s="1">
        <f>IFERROR(__xludf.DUMMYFUNCTION("""COMPUTED_VALUE"""),170.65)</f>
        <v>170.65</v>
      </c>
      <c r="E603" s="1">
        <f>IFERROR(__xludf.DUMMYFUNCTION("""COMPUTED_VALUE"""),171.1)</f>
        <v>171.1</v>
      </c>
      <c r="F603" s="1">
        <f>IFERROR(__xludf.DUMMYFUNCTION("""COMPUTED_VALUE"""),5.7156962E7)</f>
        <v>57156962</v>
      </c>
    </row>
    <row r="604">
      <c r="A604" s="2">
        <f>IFERROR(__xludf.DUMMYFUNCTION("""COMPUTED_VALUE"""),45225.66666666667)</f>
        <v>45225.66667</v>
      </c>
      <c r="B604" s="1">
        <f>IFERROR(__xludf.DUMMYFUNCTION("""COMPUTED_VALUE"""),170.37)</f>
        <v>170.37</v>
      </c>
      <c r="C604" s="1">
        <f>IFERROR(__xludf.DUMMYFUNCTION("""COMPUTED_VALUE"""),171.38)</f>
        <v>171.38</v>
      </c>
      <c r="D604" s="1">
        <f>IFERROR(__xludf.DUMMYFUNCTION("""COMPUTED_VALUE"""),165.67)</f>
        <v>165.67</v>
      </c>
      <c r="E604" s="1">
        <f>IFERROR(__xludf.DUMMYFUNCTION("""COMPUTED_VALUE"""),166.89)</f>
        <v>166.89</v>
      </c>
      <c r="F604" s="1">
        <f>IFERROR(__xludf.DUMMYFUNCTION("""COMPUTED_VALUE"""),7.0625258E7)</f>
        <v>70625258</v>
      </c>
    </row>
    <row r="605">
      <c r="A605" s="2">
        <f>IFERROR(__xludf.DUMMYFUNCTION("""COMPUTED_VALUE"""),45226.66666666667)</f>
        <v>45226.66667</v>
      </c>
      <c r="B605" s="1">
        <f>IFERROR(__xludf.DUMMYFUNCTION("""COMPUTED_VALUE"""),166.91)</f>
        <v>166.91</v>
      </c>
      <c r="C605" s="1">
        <f>IFERROR(__xludf.DUMMYFUNCTION("""COMPUTED_VALUE"""),168.96)</f>
        <v>168.96</v>
      </c>
      <c r="D605" s="1">
        <f>IFERROR(__xludf.DUMMYFUNCTION("""COMPUTED_VALUE"""),166.83)</f>
        <v>166.83</v>
      </c>
      <c r="E605" s="1">
        <f>IFERROR(__xludf.DUMMYFUNCTION("""COMPUTED_VALUE"""),168.22)</f>
        <v>168.22</v>
      </c>
      <c r="F605" s="1">
        <f>IFERROR(__xludf.DUMMYFUNCTION("""COMPUTED_VALUE"""),5.8499129E7)</f>
        <v>58499129</v>
      </c>
    </row>
    <row r="606">
      <c r="A606" s="2">
        <f>IFERROR(__xludf.DUMMYFUNCTION("""COMPUTED_VALUE"""),45229.66666666667)</f>
        <v>45229.66667</v>
      </c>
      <c r="B606" s="1">
        <f>IFERROR(__xludf.DUMMYFUNCTION("""COMPUTED_VALUE"""),169.02)</f>
        <v>169.02</v>
      </c>
      <c r="C606" s="1">
        <f>IFERROR(__xludf.DUMMYFUNCTION("""COMPUTED_VALUE"""),171.17)</f>
        <v>171.17</v>
      </c>
      <c r="D606" s="1">
        <f>IFERROR(__xludf.DUMMYFUNCTION("""COMPUTED_VALUE"""),168.87)</f>
        <v>168.87</v>
      </c>
      <c r="E606" s="1">
        <f>IFERROR(__xludf.DUMMYFUNCTION("""COMPUTED_VALUE"""),170.29)</f>
        <v>170.29</v>
      </c>
      <c r="F606" s="1">
        <f>IFERROR(__xludf.DUMMYFUNCTION("""COMPUTED_VALUE"""),5.1130955E7)</f>
        <v>51130955</v>
      </c>
    </row>
    <row r="607">
      <c r="A607" s="2">
        <f>IFERROR(__xludf.DUMMYFUNCTION("""COMPUTED_VALUE"""),45230.66666666667)</f>
        <v>45230.66667</v>
      </c>
      <c r="B607" s="1">
        <f>IFERROR(__xludf.DUMMYFUNCTION("""COMPUTED_VALUE"""),169.35)</f>
        <v>169.35</v>
      </c>
      <c r="C607" s="1">
        <f>IFERROR(__xludf.DUMMYFUNCTION("""COMPUTED_VALUE"""),170.9)</f>
        <v>170.9</v>
      </c>
      <c r="D607" s="1">
        <f>IFERROR(__xludf.DUMMYFUNCTION("""COMPUTED_VALUE"""),167.9)</f>
        <v>167.9</v>
      </c>
      <c r="E607" s="1">
        <f>IFERROR(__xludf.DUMMYFUNCTION("""COMPUTED_VALUE"""),170.77)</f>
        <v>170.77</v>
      </c>
      <c r="F607" s="1">
        <f>IFERROR(__xludf.DUMMYFUNCTION("""COMPUTED_VALUE"""),4.4846017E7)</f>
        <v>44846017</v>
      </c>
    </row>
    <row r="608">
      <c r="A608" s="2">
        <f>IFERROR(__xludf.DUMMYFUNCTION("""COMPUTED_VALUE"""),45231.66666666667)</f>
        <v>45231.66667</v>
      </c>
      <c r="B608" s="1">
        <f>IFERROR(__xludf.DUMMYFUNCTION("""COMPUTED_VALUE"""),171.0)</f>
        <v>171</v>
      </c>
      <c r="C608" s="1">
        <f>IFERROR(__xludf.DUMMYFUNCTION("""COMPUTED_VALUE"""),174.23)</f>
        <v>174.23</v>
      </c>
      <c r="D608" s="1">
        <f>IFERROR(__xludf.DUMMYFUNCTION("""COMPUTED_VALUE"""),170.12)</f>
        <v>170.12</v>
      </c>
      <c r="E608" s="1">
        <f>IFERROR(__xludf.DUMMYFUNCTION("""COMPUTED_VALUE"""),173.97)</f>
        <v>173.97</v>
      </c>
      <c r="F608" s="1">
        <f>IFERROR(__xludf.DUMMYFUNCTION("""COMPUTED_VALUE"""),5.6934906E7)</f>
        <v>56934906</v>
      </c>
    </row>
    <row r="609">
      <c r="A609" s="2">
        <f>IFERROR(__xludf.DUMMYFUNCTION("""COMPUTED_VALUE"""),45232.66666666667)</f>
        <v>45232.66667</v>
      </c>
      <c r="B609" s="1">
        <f>IFERROR(__xludf.DUMMYFUNCTION("""COMPUTED_VALUE"""),175.52)</f>
        <v>175.52</v>
      </c>
      <c r="C609" s="1">
        <f>IFERROR(__xludf.DUMMYFUNCTION("""COMPUTED_VALUE"""),177.78)</f>
        <v>177.78</v>
      </c>
      <c r="D609" s="1">
        <f>IFERROR(__xludf.DUMMYFUNCTION("""COMPUTED_VALUE"""),175.46)</f>
        <v>175.46</v>
      </c>
      <c r="E609" s="1">
        <f>IFERROR(__xludf.DUMMYFUNCTION("""COMPUTED_VALUE"""),177.57)</f>
        <v>177.57</v>
      </c>
      <c r="F609" s="1">
        <f>IFERROR(__xludf.DUMMYFUNCTION("""COMPUTED_VALUE"""),7.7334752E7)</f>
        <v>77334752</v>
      </c>
    </row>
    <row r="610">
      <c r="A610" s="2">
        <f>IFERROR(__xludf.DUMMYFUNCTION("""COMPUTED_VALUE"""),45233.66666666667)</f>
        <v>45233.66667</v>
      </c>
      <c r="B610" s="1">
        <f>IFERROR(__xludf.DUMMYFUNCTION("""COMPUTED_VALUE"""),174.24)</f>
        <v>174.24</v>
      </c>
      <c r="C610" s="1">
        <f>IFERROR(__xludf.DUMMYFUNCTION("""COMPUTED_VALUE"""),176.82)</f>
        <v>176.82</v>
      </c>
      <c r="D610" s="1">
        <f>IFERROR(__xludf.DUMMYFUNCTION("""COMPUTED_VALUE"""),173.35)</f>
        <v>173.35</v>
      </c>
      <c r="E610" s="1">
        <f>IFERROR(__xludf.DUMMYFUNCTION("""COMPUTED_VALUE"""),176.65)</f>
        <v>176.65</v>
      </c>
      <c r="F610" s="1">
        <f>IFERROR(__xludf.DUMMYFUNCTION("""COMPUTED_VALUE"""),7.9829246E7)</f>
        <v>79829246</v>
      </c>
    </row>
    <row r="611">
      <c r="A611" s="2">
        <f>IFERROR(__xludf.DUMMYFUNCTION("""COMPUTED_VALUE"""),45236.66666666667)</f>
        <v>45236.66667</v>
      </c>
      <c r="B611" s="1">
        <f>IFERROR(__xludf.DUMMYFUNCTION("""COMPUTED_VALUE"""),176.38)</f>
        <v>176.38</v>
      </c>
      <c r="C611" s="1">
        <f>IFERROR(__xludf.DUMMYFUNCTION("""COMPUTED_VALUE"""),179.43)</f>
        <v>179.43</v>
      </c>
      <c r="D611" s="1">
        <f>IFERROR(__xludf.DUMMYFUNCTION("""COMPUTED_VALUE"""),176.21)</f>
        <v>176.21</v>
      </c>
      <c r="E611" s="1">
        <f>IFERROR(__xludf.DUMMYFUNCTION("""COMPUTED_VALUE"""),179.23)</f>
        <v>179.23</v>
      </c>
      <c r="F611" s="1">
        <f>IFERROR(__xludf.DUMMYFUNCTION("""COMPUTED_VALUE"""),6.384131E7)</f>
        <v>63841310</v>
      </c>
    </row>
    <row r="612">
      <c r="A612" s="2">
        <f>IFERROR(__xludf.DUMMYFUNCTION("""COMPUTED_VALUE"""),45237.66666666667)</f>
        <v>45237.66667</v>
      </c>
      <c r="B612" s="1">
        <f>IFERROR(__xludf.DUMMYFUNCTION("""COMPUTED_VALUE"""),179.18)</f>
        <v>179.18</v>
      </c>
      <c r="C612" s="1">
        <f>IFERROR(__xludf.DUMMYFUNCTION("""COMPUTED_VALUE"""),182.44)</f>
        <v>182.44</v>
      </c>
      <c r="D612" s="1">
        <f>IFERROR(__xludf.DUMMYFUNCTION("""COMPUTED_VALUE"""),178.97)</f>
        <v>178.97</v>
      </c>
      <c r="E612" s="1">
        <f>IFERROR(__xludf.DUMMYFUNCTION("""COMPUTED_VALUE"""),181.82)</f>
        <v>181.82</v>
      </c>
      <c r="F612" s="1">
        <f>IFERROR(__xludf.DUMMYFUNCTION("""COMPUTED_VALUE"""),7.0529966E7)</f>
        <v>70529966</v>
      </c>
    </row>
    <row r="613">
      <c r="A613" s="2">
        <f>IFERROR(__xludf.DUMMYFUNCTION("""COMPUTED_VALUE"""),45238.66666666667)</f>
        <v>45238.66667</v>
      </c>
      <c r="B613" s="1">
        <f>IFERROR(__xludf.DUMMYFUNCTION("""COMPUTED_VALUE"""),182.35)</f>
        <v>182.35</v>
      </c>
      <c r="C613" s="1">
        <f>IFERROR(__xludf.DUMMYFUNCTION("""COMPUTED_VALUE"""),183.45)</f>
        <v>183.45</v>
      </c>
      <c r="D613" s="1">
        <f>IFERROR(__xludf.DUMMYFUNCTION("""COMPUTED_VALUE"""),181.59)</f>
        <v>181.59</v>
      </c>
      <c r="E613" s="1">
        <f>IFERROR(__xludf.DUMMYFUNCTION("""COMPUTED_VALUE"""),182.89)</f>
        <v>182.89</v>
      </c>
      <c r="F613" s="1">
        <f>IFERROR(__xludf.DUMMYFUNCTION("""COMPUTED_VALUE"""),4.9340282E7)</f>
        <v>49340282</v>
      </c>
    </row>
    <row r="614">
      <c r="A614" s="2">
        <f>IFERROR(__xludf.DUMMYFUNCTION("""COMPUTED_VALUE"""),45239.66666666667)</f>
        <v>45239.66667</v>
      </c>
      <c r="B614" s="1">
        <f>IFERROR(__xludf.DUMMYFUNCTION("""COMPUTED_VALUE"""),182.96)</f>
        <v>182.96</v>
      </c>
      <c r="C614" s="1">
        <f>IFERROR(__xludf.DUMMYFUNCTION("""COMPUTED_VALUE"""),184.12)</f>
        <v>184.12</v>
      </c>
      <c r="D614" s="1">
        <f>IFERROR(__xludf.DUMMYFUNCTION("""COMPUTED_VALUE"""),181.81)</f>
        <v>181.81</v>
      </c>
      <c r="E614" s="1">
        <f>IFERROR(__xludf.DUMMYFUNCTION("""COMPUTED_VALUE"""),182.41)</f>
        <v>182.41</v>
      </c>
      <c r="F614" s="1">
        <f>IFERROR(__xludf.DUMMYFUNCTION("""COMPUTED_VALUE"""),5.376354E7)</f>
        <v>53763540</v>
      </c>
    </row>
    <row r="615">
      <c r="A615" s="2">
        <f>IFERROR(__xludf.DUMMYFUNCTION("""COMPUTED_VALUE"""),45240.66666666667)</f>
        <v>45240.66667</v>
      </c>
      <c r="B615" s="1">
        <f>IFERROR(__xludf.DUMMYFUNCTION("""COMPUTED_VALUE"""),183.97)</f>
        <v>183.97</v>
      </c>
      <c r="C615" s="1">
        <f>IFERROR(__xludf.DUMMYFUNCTION("""COMPUTED_VALUE"""),186.57)</f>
        <v>186.57</v>
      </c>
      <c r="D615" s="1">
        <f>IFERROR(__xludf.DUMMYFUNCTION("""COMPUTED_VALUE"""),183.53)</f>
        <v>183.53</v>
      </c>
      <c r="E615" s="1">
        <f>IFERROR(__xludf.DUMMYFUNCTION("""COMPUTED_VALUE"""),186.4)</f>
        <v>186.4</v>
      </c>
      <c r="F615" s="1">
        <f>IFERROR(__xludf.DUMMYFUNCTION("""COMPUTED_VALUE"""),6.6177922E7)</f>
        <v>66177922</v>
      </c>
    </row>
    <row r="616">
      <c r="A616" s="2">
        <f>IFERROR(__xludf.DUMMYFUNCTION("""COMPUTED_VALUE"""),45243.66666666667)</f>
        <v>45243.66667</v>
      </c>
      <c r="B616" s="1">
        <f>IFERROR(__xludf.DUMMYFUNCTION("""COMPUTED_VALUE"""),185.82)</f>
        <v>185.82</v>
      </c>
      <c r="C616" s="1">
        <f>IFERROR(__xludf.DUMMYFUNCTION("""COMPUTED_VALUE"""),186.03)</f>
        <v>186.03</v>
      </c>
      <c r="D616" s="1">
        <f>IFERROR(__xludf.DUMMYFUNCTION("""COMPUTED_VALUE"""),184.21)</f>
        <v>184.21</v>
      </c>
      <c r="E616" s="1">
        <f>IFERROR(__xludf.DUMMYFUNCTION("""COMPUTED_VALUE"""),184.8)</f>
        <v>184.8</v>
      </c>
      <c r="F616" s="1">
        <f>IFERROR(__xludf.DUMMYFUNCTION("""COMPUTED_VALUE"""),4.3627519E7)</f>
        <v>43627519</v>
      </c>
    </row>
    <row r="617">
      <c r="A617" s="2">
        <f>IFERROR(__xludf.DUMMYFUNCTION("""COMPUTED_VALUE"""),45244.66666666667)</f>
        <v>45244.66667</v>
      </c>
      <c r="B617" s="1">
        <f>IFERROR(__xludf.DUMMYFUNCTION("""COMPUTED_VALUE"""),187.7)</f>
        <v>187.7</v>
      </c>
      <c r="C617" s="1">
        <f>IFERROR(__xludf.DUMMYFUNCTION("""COMPUTED_VALUE"""),188.11)</f>
        <v>188.11</v>
      </c>
      <c r="D617" s="1">
        <f>IFERROR(__xludf.DUMMYFUNCTION("""COMPUTED_VALUE"""),186.3)</f>
        <v>186.3</v>
      </c>
      <c r="E617" s="1">
        <f>IFERROR(__xludf.DUMMYFUNCTION("""COMPUTED_VALUE"""),187.44)</f>
        <v>187.44</v>
      </c>
      <c r="F617" s="1">
        <f>IFERROR(__xludf.DUMMYFUNCTION("""COMPUTED_VALUE"""),6.0108378E7)</f>
        <v>60108378</v>
      </c>
    </row>
    <row r="618">
      <c r="A618" s="2">
        <f>IFERROR(__xludf.DUMMYFUNCTION("""COMPUTED_VALUE"""),45245.66666666667)</f>
        <v>45245.66667</v>
      </c>
      <c r="B618" s="1">
        <f>IFERROR(__xludf.DUMMYFUNCTION("""COMPUTED_VALUE"""),187.85)</f>
        <v>187.85</v>
      </c>
      <c r="C618" s="1">
        <f>IFERROR(__xludf.DUMMYFUNCTION("""COMPUTED_VALUE"""),189.5)</f>
        <v>189.5</v>
      </c>
      <c r="D618" s="1">
        <f>IFERROR(__xludf.DUMMYFUNCTION("""COMPUTED_VALUE"""),187.78)</f>
        <v>187.78</v>
      </c>
      <c r="E618" s="1">
        <f>IFERROR(__xludf.DUMMYFUNCTION("""COMPUTED_VALUE"""),188.01)</f>
        <v>188.01</v>
      </c>
      <c r="F618" s="1">
        <f>IFERROR(__xludf.DUMMYFUNCTION("""COMPUTED_VALUE"""),5.3790499E7)</f>
        <v>53790499</v>
      </c>
    </row>
    <row r="619">
      <c r="A619" s="2">
        <f>IFERROR(__xludf.DUMMYFUNCTION("""COMPUTED_VALUE"""),45246.66666666667)</f>
        <v>45246.66667</v>
      </c>
      <c r="B619" s="1">
        <f>IFERROR(__xludf.DUMMYFUNCTION("""COMPUTED_VALUE"""),189.57)</f>
        <v>189.57</v>
      </c>
      <c r="C619" s="1">
        <f>IFERROR(__xludf.DUMMYFUNCTION("""COMPUTED_VALUE"""),190.96)</f>
        <v>190.96</v>
      </c>
      <c r="D619" s="1">
        <f>IFERROR(__xludf.DUMMYFUNCTION("""COMPUTED_VALUE"""),188.65)</f>
        <v>188.65</v>
      </c>
      <c r="E619" s="1">
        <f>IFERROR(__xludf.DUMMYFUNCTION("""COMPUTED_VALUE"""),189.71)</f>
        <v>189.71</v>
      </c>
      <c r="F619" s="1">
        <f>IFERROR(__xludf.DUMMYFUNCTION("""COMPUTED_VALUE"""),5.4412915E7)</f>
        <v>54412915</v>
      </c>
    </row>
    <row r="620">
      <c r="A620" s="2">
        <f>IFERROR(__xludf.DUMMYFUNCTION("""COMPUTED_VALUE"""),45247.66666666667)</f>
        <v>45247.66667</v>
      </c>
      <c r="B620" s="1">
        <f>IFERROR(__xludf.DUMMYFUNCTION("""COMPUTED_VALUE"""),190.25)</f>
        <v>190.25</v>
      </c>
      <c r="C620" s="1">
        <f>IFERROR(__xludf.DUMMYFUNCTION("""COMPUTED_VALUE"""),190.38)</f>
        <v>190.38</v>
      </c>
      <c r="D620" s="1">
        <f>IFERROR(__xludf.DUMMYFUNCTION("""COMPUTED_VALUE"""),188.57)</f>
        <v>188.57</v>
      </c>
      <c r="E620" s="1">
        <f>IFERROR(__xludf.DUMMYFUNCTION("""COMPUTED_VALUE"""),189.69)</f>
        <v>189.69</v>
      </c>
      <c r="F620" s="1">
        <f>IFERROR(__xludf.DUMMYFUNCTION("""COMPUTED_VALUE"""),5.0941404E7)</f>
        <v>50941404</v>
      </c>
    </row>
    <row r="621">
      <c r="A621" s="2">
        <f>IFERROR(__xludf.DUMMYFUNCTION("""COMPUTED_VALUE"""),45250.66666666667)</f>
        <v>45250.66667</v>
      </c>
      <c r="B621" s="1">
        <f>IFERROR(__xludf.DUMMYFUNCTION("""COMPUTED_VALUE"""),189.89)</f>
        <v>189.89</v>
      </c>
      <c r="C621" s="1">
        <f>IFERROR(__xludf.DUMMYFUNCTION("""COMPUTED_VALUE"""),191.91)</f>
        <v>191.91</v>
      </c>
      <c r="D621" s="1">
        <f>IFERROR(__xludf.DUMMYFUNCTION("""COMPUTED_VALUE"""),189.88)</f>
        <v>189.88</v>
      </c>
      <c r="E621" s="1">
        <f>IFERROR(__xludf.DUMMYFUNCTION("""COMPUTED_VALUE"""),191.45)</f>
        <v>191.45</v>
      </c>
      <c r="F621" s="1">
        <f>IFERROR(__xludf.DUMMYFUNCTION("""COMPUTED_VALUE"""),4.6538614E7)</f>
        <v>46538614</v>
      </c>
    </row>
    <row r="622">
      <c r="A622" s="2">
        <f>IFERROR(__xludf.DUMMYFUNCTION("""COMPUTED_VALUE"""),45251.66666666667)</f>
        <v>45251.66667</v>
      </c>
      <c r="B622" s="1">
        <f>IFERROR(__xludf.DUMMYFUNCTION("""COMPUTED_VALUE"""),191.41)</f>
        <v>191.41</v>
      </c>
      <c r="C622" s="1">
        <f>IFERROR(__xludf.DUMMYFUNCTION("""COMPUTED_VALUE"""),191.52)</f>
        <v>191.52</v>
      </c>
      <c r="D622" s="1">
        <f>IFERROR(__xludf.DUMMYFUNCTION("""COMPUTED_VALUE"""),189.74)</f>
        <v>189.74</v>
      </c>
      <c r="E622" s="1">
        <f>IFERROR(__xludf.DUMMYFUNCTION("""COMPUTED_VALUE"""),190.64)</f>
        <v>190.64</v>
      </c>
      <c r="F622" s="1">
        <f>IFERROR(__xludf.DUMMYFUNCTION("""COMPUTED_VALUE"""),3.8134485E7)</f>
        <v>38134485</v>
      </c>
    </row>
    <row r="623">
      <c r="A623" s="2">
        <f>IFERROR(__xludf.DUMMYFUNCTION("""COMPUTED_VALUE"""),45252.66666666667)</f>
        <v>45252.66667</v>
      </c>
      <c r="B623" s="1">
        <f>IFERROR(__xludf.DUMMYFUNCTION("""COMPUTED_VALUE"""),191.49)</f>
        <v>191.49</v>
      </c>
      <c r="C623" s="1">
        <f>IFERROR(__xludf.DUMMYFUNCTION("""COMPUTED_VALUE"""),192.93)</f>
        <v>192.93</v>
      </c>
      <c r="D623" s="1">
        <f>IFERROR(__xludf.DUMMYFUNCTION("""COMPUTED_VALUE"""),190.83)</f>
        <v>190.83</v>
      </c>
      <c r="E623" s="1">
        <f>IFERROR(__xludf.DUMMYFUNCTION("""COMPUTED_VALUE"""),191.31)</f>
        <v>191.31</v>
      </c>
      <c r="F623" s="1">
        <f>IFERROR(__xludf.DUMMYFUNCTION("""COMPUTED_VALUE"""),3.9630011E7)</f>
        <v>39630011</v>
      </c>
    </row>
    <row r="624">
      <c r="A624" s="2">
        <f>IFERROR(__xludf.DUMMYFUNCTION("""COMPUTED_VALUE"""),45254.54513888889)</f>
        <v>45254.54514</v>
      </c>
      <c r="B624" s="1">
        <f>IFERROR(__xludf.DUMMYFUNCTION("""COMPUTED_VALUE"""),190.87)</f>
        <v>190.87</v>
      </c>
      <c r="C624" s="1">
        <f>IFERROR(__xludf.DUMMYFUNCTION("""COMPUTED_VALUE"""),190.9)</f>
        <v>190.9</v>
      </c>
      <c r="D624" s="1">
        <f>IFERROR(__xludf.DUMMYFUNCTION("""COMPUTED_VALUE"""),189.25)</f>
        <v>189.25</v>
      </c>
      <c r="E624" s="1">
        <f>IFERROR(__xludf.DUMMYFUNCTION("""COMPUTED_VALUE"""),189.97)</f>
        <v>189.97</v>
      </c>
      <c r="F624" s="1">
        <f>IFERROR(__xludf.DUMMYFUNCTION("""COMPUTED_VALUE"""),2.4048344E7)</f>
        <v>24048344</v>
      </c>
    </row>
    <row r="625">
      <c r="A625" s="2">
        <f>IFERROR(__xludf.DUMMYFUNCTION("""COMPUTED_VALUE"""),45257.66666666667)</f>
        <v>45257.66667</v>
      </c>
      <c r="B625" s="1">
        <f>IFERROR(__xludf.DUMMYFUNCTION("""COMPUTED_VALUE"""),189.92)</f>
        <v>189.92</v>
      </c>
      <c r="C625" s="1">
        <f>IFERROR(__xludf.DUMMYFUNCTION("""COMPUTED_VALUE"""),190.67)</f>
        <v>190.67</v>
      </c>
      <c r="D625" s="1">
        <f>IFERROR(__xludf.DUMMYFUNCTION("""COMPUTED_VALUE"""),188.9)</f>
        <v>188.9</v>
      </c>
      <c r="E625" s="1">
        <f>IFERROR(__xludf.DUMMYFUNCTION("""COMPUTED_VALUE"""),189.79)</f>
        <v>189.79</v>
      </c>
      <c r="F625" s="1">
        <f>IFERROR(__xludf.DUMMYFUNCTION("""COMPUTED_VALUE"""),4.0552609E7)</f>
        <v>40552609</v>
      </c>
    </row>
    <row r="626">
      <c r="A626" s="2">
        <f>IFERROR(__xludf.DUMMYFUNCTION("""COMPUTED_VALUE"""),45258.66666666667)</f>
        <v>45258.66667</v>
      </c>
      <c r="B626" s="1">
        <f>IFERROR(__xludf.DUMMYFUNCTION("""COMPUTED_VALUE"""),189.78)</f>
        <v>189.78</v>
      </c>
      <c r="C626" s="1">
        <f>IFERROR(__xludf.DUMMYFUNCTION("""COMPUTED_VALUE"""),191.08)</f>
        <v>191.08</v>
      </c>
      <c r="D626" s="1">
        <f>IFERROR(__xludf.DUMMYFUNCTION("""COMPUTED_VALUE"""),189.4)</f>
        <v>189.4</v>
      </c>
      <c r="E626" s="1">
        <f>IFERROR(__xludf.DUMMYFUNCTION("""COMPUTED_VALUE"""),190.4)</f>
        <v>190.4</v>
      </c>
      <c r="F626" s="1">
        <f>IFERROR(__xludf.DUMMYFUNCTION("""COMPUTED_VALUE"""),3.8415419E7)</f>
        <v>38415419</v>
      </c>
    </row>
    <row r="627">
      <c r="A627" s="2">
        <f>IFERROR(__xludf.DUMMYFUNCTION("""COMPUTED_VALUE"""),45259.66666666667)</f>
        <v>45259.66667</v>
      </c>
      <c r="B627" s="1">
        <f>IFERROR(__xludf.DUMMYFUNCTION("""COMPUTED_VALUE"""),190.9)</f>
        <v>190.9</v>
      </c>
      <c r="C627" s="1">
        <f>IFERROR(__xludf.DUMMYFUNCTION("""COMPUTED_VALUE"""),192.09)</f>
        <v>192.09</v>
      </c>
      <c r="D627" s="1">
        <f>IFERROR(__xludf.DUMMYFUNCTION("""COMPUTED_VALUE"""),188.97)</f>
        <v>188.97</v>
      </c>
      <c r="E627" s="1">
        <f>IFERROR(__xludf.DUMMYFUNCTION("""COMPUTED_VALUE"""),189.37)</f>
        <v>189.37</v>
      </c>
      <c r="F627" s="1">
        <f>IFERROR(__xludf.DUMMYFUNCTION("""COMPUTED_VALUE"""),4.3014224E7)</f>
        <v>43014224</v>
      </c>
    </row>
    <row r="628">
      <c r="A628" s="2">
        <f>IFERROR(__xludf.DUMMYFUNCTION("""COMPUTED_VALUE"""),45260.66666666667)</f>
        <v>45260.66667</v>
      </c>
      <c r="B628" s="1">
        <f>IFERROR(__xludf.DUMMYFUNCTION("""COMPUTED_VALUE"""),189.84)</f>
        <v>189.84</v>
      </c>
      <c r="C628" s="1">
        <f>IFERROR(__xludf.DUMMYFUNCTION("""COMPUTED_VALUE"""),190.32)</f>
        <v>190.32</v>
      </c>
      <c r="D628" s="1">
        <f>IFERROR(__xludf.DUMMYFUNCTION("""COMPUTED_VALUE"""),188.19)</f>
        <v>188.19</v>
      </c>
      <c r="E628" s="1">
        <f>IFERROR(__xludf.DUMMYFUNCTION("""COMPUTED_VALUE"""),189.95)</f>
        <v>189.95</v>
      </c>
      <c r="F628" s="1">
        <f>IFERROR(__xludf.DUMMYFUNCTION("""COMPUTED_VALUE"""),4.8794366E7)</f>
        <v>48794366</v>
      </c>
    </row>
    <row r="629">
      <c r="A629" s="2">
        <f>IFERROR(__xludf.DUMMYFUNCTION("""COMPUTED_VALUE"""),45261.66666666667)</f>
        <v>45261.66667</v>
      </c>
      <c r="B629" s="1">
        <f>IFERROR(__xludf.DUMMYFUNCTION("""COMPUTED_VALUE"""),190.33)</f>
        <v>190.33</v>
      </c>
      <c r="C629" s="1">
        <f>IFERROR(__xludf.DUMMYFUNCTION("""COMPUTED_VALUE"""),191.56)</f>
        <v>191.56</v>
      </c>
      <c r="D629" s="1">
        <f>IFERROR(__xludf.DUMMYFUNCTION("""COMPUTED_VALUE"""),189.23)</f>
        <v>189.23</v>
      </c>
      <c r="E629" s="1">
        <f>IFERROR(__xludf.DUMMYFUNCTION("""COMPUTED_VALUE"""),191.24)</f>
        <v>191.24</v>
      </c>
      <c r="F629" s="1">
        <f>IFERROR(__xludf.DUMMYFUNCTION("""COMPUTED_VALUE"""),4.5704823E7)</f>
        <v>45704823</v>
      </c>
    </row>
    <row r="630">
      <c r="A630" s="2">
        <f>IFERROR(__xludf.DUMMYFUNCTION("""COMPUTED_VALUE"""),45264.66666666667)</f>
        <v>45264.66667</v>
      </c>
      <c r="B630" s="1">
        <f>IFERROR(__xludf.DUMMYFUNCTION("""COMPUTED_VALUE"""),189.98)</f>
        <v>189.98</v>
      </c>
      <c r="C630" s="1">
        <f>IFERROR(__xludf.DUMMYFUNCTION("""COMPUTED_VALUE"""),190.05)</f>
        <v>190.05</v>
      </c>
      <c r="D630" s="1">
        <f>IFERROR(__xludf.DUMMYFUNCTION("""COMPUTED_VALUE"""),187.45)</f>
        <v>187.45</v>
      </c>
      <c r="E630" s="1">
        <f>IFERROR(__xludf.DUMMYFUNCTION("""COMPUTED_VALUE"""),189.43)</f>
        <v>189.43</v>
      </c>
      <c r="F630" s="1">
        <f>IFERROR(__xludf.DUMMYFUNCTION("""COMPUTED_VALUE"""),4.3389519E7)</f>
        <v>43389519</v>
      </c>
    </row>
    <row r="631">
      <c r="A631" s="2">
        <f>IFERROR(__xludf.DUMMYFUNCTION("""COMPUTED_VALUE"""),45265.66666666667)</f>
        <v>45265.66667</v>
      </c>
      <c r="B631" s="1">
        <f>IFERROR(__xludf.DUMMYFUNCTION("""COMPUTED_VALUE"""),190.21)</f>
        <v>190.21</v>
      </c>
      <c r="C631" s="1">
        <f>IFERROR(__xludf.DUMMYFUNCTION("""COMPUTED_VALUE"""),194.4)</f>
        <v>194.4</v>
      </c>
      <c r="D631" s="1">
        <f>IFERROR(__xludf.DUMMYFUNCTION("""COMPUTED_VALUE"""),190.18)</f>
        <v>190.18</v>
      </c>
      <c r="E631" s="1">
        <f>IFERROR(__xludf.DUMMYFUNCTION("""COMPUTED_VALUE"""),193.42)</f>
        <v>193.42</v>
      </c>
      <c r="F631" s="1">
        <f>IFERROR(__xludf.DUMMYFUNCTION("""COMPUTED_VALUE"""),6.6628398E7)</f>
        <v>66628398</v>
      </c>
    </row>
    <row r="632">
      <c r="A632" s="2">
        <f>IFERROR(__xludf.DUMMYFUNCTION("""COMPUTED_VALUE"""),45266.66666666667)</f>
        <v>45266.66667</v>
      </c>
      <c r="B632" s="1">
        <f>IFERROR(__xludf.DUMMYFUNCTION("""COMPUTED_VALUE"""),194.45)</f>
        <v>194.45</v>
      </c>
      <c r="C632" s="1">
        <f>IFERROR(__xludf.DUMMYFUNCTION("""COMPUTED_VALUE"""),194.76)</f>
        <v>194.76</v>
      </c>
      <c r="D632" s="1">
        <f>IFERROR(__xludf.DUMMYFUNCTION("""COMPUTED_VALUE"""),192.11)</f>
        <v>192.11</v>
      </c>
      <c r="E632" s="1">
        <f>IFERROR(__xludf.DUMMYFUNCTION("""COMPUTED_VALUE"""),192.32)</f>
        <v>192.32</v>
      </c>
      <c r="F632" s="1">
        <f>IFERROR(__xludf.DUMMYFUNCTION("""COMPUTED_VALUE"""),4.1089737E7)</f>
        <v>41089737</v>
      </c>
    </row>
    <row r="633">
      <c r="A633" s="2">
        <f>IFERROR(__xludf.DUMMYFUNCTION("""COMPUTED_VALUE"""),45267.66666666667)</f>
        <v>45267.66667</v>
      </c>
      <c r="B633" s="1">
        <f>IFERROR(__xludf.DUMMYFUNCTION("""COMPUTED_VALUE"""),193.63)</f>
        <v>193.63</v>
      </c>
      <c r="C633" s="1">
        <f>IFERROR(__xludf.DUMMYFUNCTION("""COMPUTED_VALUE"""),195.0)</f>
        <v>195</v>
      </c>
      <c r="D633" s="1">
        <f>IFERROR(__xludf.DUMMYFUNCTION("""COMPUTED_VALUE"""),193.59)</f>
        <v>193.59</v>
      </c>
      <c r="E633" s="1">
        <f>IFERROR(__xludf.DUMMYFUNCTION("""COMPUTED_VALUE"""),194.27)</f>
        <v>194.27</v>
      </c>
      <c r="F633" s="1">
        <f>IFERROR(__xludf.DUMMYFUNCTION("""COMPUTED_VALUE"""),4.7477655E7)</f>
        <v>47477655</v>
      </c>
    </row>
    <row r="634">
      <c r="A634" s="2">
        <f>IFERROR(__xludf.DUMMYFUNCTION("""COMPUTED_VALUE"""),45268.66666666667)</f>
        <v>45268.66667</v>
      </c>
      <c r="B634" s="1">
        <f>IFERROR(__xludf.DUMMYFUNCTION("""COMPUTED_VALUE"""),194.2)</f>
        <v>194.2</v>
      </c>
      <c r="C634" s="1">
        <f>IFERROR(__xludf.DUMMYFUNCTION("""COMPUTED_VALUE"""),195.99)</f>
        <v>195.99</v>
      </c>
      <c r="D634" s="1">
        <f>IFERROR(__xludf.DUMMYFUNCTION("""COMPUTED_VALUE"""),193.67)</f>
        <v>193.67</v>
      </c>
      <c r="E634" s="1">
        <f>IFERROR(__xludf.DUMMYFUNCTION("""COMPUTED_VALUE"""),195.71)</f>
        <v>195.71</v>
      </c>
      <c r="F634" s="1">
        <f>IFERROR(__xludf.DUMMYFUNCTION("""COMPUTED_VALUE"""),5.3406358E7)</f>
        <v>53406358</v>
      </c>
    </row>
    <row r="635">
      <c r="A635" s="2">
        <f>IFERROR(__xludf.DUMMYFUNCTION("""COMPUTED_VALUE"""),45271.66666666667)</f>
        <v>45271.66667</v>
      </c>
      <c r="B635" s="1">
        <f>IFERROR(__xludf.DUMMYFUNCTION("""COMPUTED_VALUE"""),193.11)</f>
        <v>193.11</v>
      </c>
      <c r="C635" s="1">
        <f>IFERROR(__xludf.DUMMYFUNCTION("""COMPUTED_VALUE"""),193.49)</f>
        <v>193.49</v>
      </c>
      <c r="D635" s="1">
        <f>IFERROR(__xludf.DUMMYFUNCTION("""COMPUTED_VALUE"""),191.42)</f>
        <v>191.42</v>
      </c>
      <c r="E635" s="1">
        <f>IFERROR(__xludf.DUMMYFUNCTION("""COMPUTED_VALUE"""),193.18)</f>
        <v>193.18</v>
      </c>
      <c r="F635" s="1">
        <f>IFERROR(__xludf.DUMMYFUNCTION("""COMPUTED_VALUE"""),6.0943699E7)</f>
        <v>60943699</v>
      </c>
    </row>
    <row r="636">
      <c r="A636" s="2">
        <f>IFERROR(__xludf.DUMMYFUNCTION("""COMPUTED_VALUE"""),45272.66666666667)</f>
        <v>45272.66667</v>
      </c>
      <c r="B636" s="1">
        <f>IFERROR(__xludf.DUMMYFUNCTION("""COMPUTED_VALUE"""),193.08)</f>
        <v>193.08</v>
      </c>
      <c r="C636" s="1">
        <f>IFERROR(__xludf.DUMMYFUNCTION("""COMPUTED_VALUE"""),194.72)</f>
        <v>194.72</v>
      </c>
      <c r="D636" s="1">
        <f>IFERROR(__xludf.DUMMYFUNCTION("""COMPUTED_VALUE"""),191.72)</f>
        <v>191.72</v>
      </c>
      <c r="E636" s="1">
        <f>IFERROR(__xludf.DUMMYFUNCTION("""COMPUTED_VALUE"""),194.71)</f>
        <v>194.71</v>
      </c>
      <c r="F636" s="1">
        <f>IFERROR(__xludf.DUMMYFUNCTION("""COMPUTED_VALUE"""),5.26969E7)</f>
        <v>52696900</v>
      </c>
    </row>
    <row r="637">
      <c r="A637" s="2">
        <f>IFERROR(__xludf.DUMMYFUNCTION("""COMPUTED_VALUE"""),45273.66666666667)</f>
        <v>45273.66667</v>
      </c>
      <c r="B637" s="1">
        <f>IFERROR(__xludf.DUMMYFUNCTION("""COMPUTED_VALUE"""),195.09)</f>
        <v>195.09</v>
      </c>
      <c r="C637" s="1">
        <f>IFERROR(__xludf.DUMMYFUNCTION("""COMPUTED_VALUE"""),198.0)</f>
        <v>198</v>
      </c>
      <c r="D637" s="1">
        <f>IFERROR(__xludf.DUMMYFUNCTION("""COMPUTED_VALUE"""),194.85)</f>
        <v>194.85</v>
      </c>
      <c r="E637" s="1">
        <f>IFERROR(__xludf.DUMMYFUNCTION("""COMPUTED_VALUE"""),197.96)</f>
        <v>197.96</v>
      </c>
      <c r="F637" s="1">
        <f>IFERROR(__xludf.DUMMYFUNCTION("""COMPUTED_VALUE"""),7.0404183E7)</f>
        <v>70404183</v>
      </c>
    </row>
    <row r="638">
      <c r="A638" s="2">
        <f>IFERROR(__xludf.DUMMYFUNCTION("""COMPUTED_VALUE"""),45274.66666666667)</f>
        <v>45274.66667</v>
      </c>
      <c r="B638" s="1">
        <f>IFERROR(__xludf.DUMMYFUNCTION("""COMPUTED_VALUE"""),198.02)</f>
        <v>198.02</v>
      </c>
      <c r="C638" s="1">
        <f>IFERROR(__xludf.DUMMYFUNCTION("""COMPUTED_VALUE"""),199.62)</f>
        <v>199.62</v>
      </c>
      <c r="D638" s="1">
        <f>IFERROR(__xludf.DUMMYFUNCTION("""COMPUTED_VALUE"""),196.16)</f>
        <v>196.16</v>
      </c>
      <c r="E638" s="1">
        <f>IFERROR(__xludf.DUMMYFUNCTION("""COMPUTED_VALUE"""),198.11)</f>
        <v>198.11</v>
      </c>
      <c r="F638" s="1">
        <f>IFERROR(__xludf.DUMMYFUNCTION("""COMPUTED_VALUE"""),6.6831572E7)</f>
        <v>66831572</v>
      </c>
    </row>
    <row r="639">
      <c r="A639" s="2">
        <f>IFERROR(__xludf.DUMMYFUNCTION("""COMPUTED_VALUE"""),45275.66666666667)</f>
        <v>45275.66667</v>
      </c>
      <c r="B639" s="1">
        <f>IFERROR(__xludf.DUMMYFUNCTION("""COMPUTED_VALUE"""),197.53)</f>
        <v>197.53</v>
      </c>
      <c r="C639" s="1">
        <f>IFERROR(__xludf.DUMMYFUNCTION("""COMPUTED_VALUE"""),198.4)</f>
        <v>198.4</v>
      </c>
      <c r="D639" s="1">
        <f>IFERROR(__xludf.DUMMYFUNCTION("""COMPUTED_VALUE"""),197.0)</f>
        <v>197</v>
      </c>
      <c r="E639" s="1">
        <f>IFERROR(__xludf.DUMMYFUNCTION("""COMPUTED_VALUE"""),197.57)</f>
        <v>197.57</v>
      </c>
      <c r="F639" s="1">
        <f>IFERROR(__xludf.DUMMYFUNCTION("""COMPUTED_VALUE"""),1.28538401E8)</f>
        <v>128538401</v>
      </c>
    </row>
    <row r="640">
      <c r="A640" s="2">
        <f>IFERROR(__xludf.DUMMYFUNCTION("""COMPUTED_VALUE"""),45278.66666666667)</f>
        <v>45278.66667</v>
      </c>
      <c r="B640" s="1">
        <f>IFERROR(__xludf.DUMMYFUNCTION("""COMPUTED_VALUE"""),196.09)</f>
        <v>196.09</v>
      </c>
      <c r="C640" s="1">
        <f>IFERROR(__xludf.DUMMYFUNCTION("""COMPUTED_VALUE"""),196.63)</f>
        <v>196.63</v>
      </c>
      <c r="D640" s="1">
        <f>IFERROR(__xludf.DUMMYFUNCTION("""COMPUTED_VALUE"""),194.39)</f>
        <v>194.39</v>
      </c>
      <c r="E640" s="1">
        <f>IFERROR(__xludf.DUMMYFUNCTION("""COMPUTED_VALUE"""),195.89)</f>
        <v>195.89</v>
      </c>
      <c r="F640" s="1">
        <f>IFERROR(__xludf.DUMMYFUNCTION("""COMPUTED_VALUE"""),5.5751861E7)</f>
        <v>55751861</v>
      </c>
    </row>
    <row r="641">
      <c r="A641" s="2">
        <f>IFERROR(__xludf.DUMMYFUNCTION("""COMPUTED_VALUE"""),45279.66666666667)</f>
        <v>45279.66667</v>
      </c>
      <c r="B641" s="1">
        <f>IFERROR(__xludf.DUMMYFUNCTION("""COMPUTED_VALUE"""),196.16)</f>
        <v>196.16</v>
      </c>
      <c r="C641" s="1">
        <f>IFERROR(__xludf.DUMMYFUNCTION("""COMPUTED_VALUE"""),196.95)</f>
        <v>196.95</v>
      </c>
      <c r="D641" s="1">
        <f>IFERROR(__xludf.DUMMYFUNCTION("""COMPUTED_VALUE"""),195.89)</f>
        <v>195.89</v>
      </c>
      <c r="E641" s="1">
        <f>IFERROR(__xludf.DUMMYFUNCTION("""COMPUTED_VALUE"""),196.94)</f>
        <v>196.94</v>
      </c>
      <c r="F641" s="1">
        <f>IFERROR(__xludf.DUMMYFUNCTION("""COMPUTED_VALUE"""),4.0714051E7)</f>
        <v>40714051</v>
      </c>
    </row>
    <row r="642">
      <c r="A642" s="2">
        <f>IFERROR(__xludf.DUMMYFUNCTION("""COMPUTED_VALUE"""),45280.66666666667)</f>
        <v>45280.66667</v>
      </c>
      <c r="B642" s="1">
        <f>IFERROR(__xludf.DUMMYFUNCTION("""COMPUTED_VALUE"""),196.9)</f>
        <v>196.9</v>
      </c>
      <c r="C642" s="1">
        <f>IFERROR(__xludf.DUMMYFUNCTION("""COMPUTED_VALUE"""),197.68)</f>
        <v>197.68</v>
      </c>
      <c r="D642" s="1">
        <f>IFERROR(__xludf.DUMMYFUNCTION("""COMPUTED_VALUE"""),194.83)</f>
        <v>194.83</v>
      </c>
      <c r="E642" s="1">
        <f>IFERROR(__xludf.DUMMYFUNCTION("""COMPUTED_VALUE"""),194.83)</f>
        <v>194.83</v>
      </c>
      <c r="F642" s="1">
        <f>IFERROR(__xludf.DUMMYFUNCTION("""COMPUTED_VALUE"""),5.2242815E7)</f>
        <v>52242815</v>
      </c>
    </row>
    <row r="643">
      <c r="A643" s="2">
        <f>IFERROR(__xludf.DUMMYFUNCTION("""COMPUTED_VALUE"""),45281.66666666667)</f>
        <v>45281.66667</v>
      </c>
      <c r="B643" s="1">
        <f>IFERROR(__xludf.DUMMYFUNCTION("""COMPUTED_VALUE"""),196.1)</f>
        <v>196.1</v>
      </c>
      <c r="C643" s="1">
        <f>IFERROR(__xludf.DUMMYFUNCTION("""COMPUTED_VALUE"""),197.08)</f>
        <v>197.08</v>
      </c>
      <c r="D643" s="1">
        <f>IFERROR(__xludf.DUMMYFUNCTION("""COMPUTED_VALUE"""),193.5)</f>
        <v>193.5</v>
      </c>
      <c r="E643" s="1">
        <f>IFERROR(__xludf.DUMMYFUNCTION("""COMPUTED_VALUE"""),194.68)</f>
        <v>194.68</v>
      </c>
      <c r="F643" s="1">
        <f>IFERROR(__xludf.DUMMYFUNCTION("""COMPUTED_VALUE"""),4.6482549E7)</f>
        <v>46482549</v>
      </c>
    </row>
    <row r="644">
      <c r="A644" s="2">
        <f>IFERROR(__xludf.DUMMYFUNCTION("""COMPUTED_VALUE"""),45282.66666666667)</f>
        <v>45282.66667</v>
      </c>
      <c r="B644" s="1">
        <f>IFERROR(__xludf.DUMMYFUNCTION("""COMPUTED_VALUE"""),195.18)</f>
        <v>195.18</v>
      </c>
      <c r="C644" s="1">
        <f>IFERROR(__xludf.DUMMYFUNCTION("""COMPUTED_VALUE"""),195.41)</f>
        <v>195.41</v>
      </c>
      <c r="D644" s="1">
        <f>IFERROR(__xludf.DUMMYFUNCTION("""COMPUTED_VALUE"""),192.97)</f>
        <v>192.97</v>
      </c>
      <c r="E644" s="1">
        <f>IFERROR(__xludf.DUMMYFUNCTION("""COMPUTED_VALUE"""),193.6)</f>
        <v>193.6</v>
      </c>
      <c r="F644" s="1">
        <f>IFERROR(__xludf.DUMMYFUNCTION("""COMPUTED_VALUE"""),3.714957E7)</f>
        <v>37149570</v>
      </c>
    </row>
    <row r="645">
      <c r="A645" s="2">
        <f>IFERROR(__xludf.DUMMYFUNCTION("""COMPUTED_VALUE"""),45286.66666666667)</f>
        <v>45286.66667</v>
      </c>
      <c r="B645" s="1">
        <f>IFERROR(__xludf.DUMMYFUNCTION("""COMPUTED_VALUE"""),193.61)</f>
        <v>193.61</v>
      </c>
      <c r="C645" s="1">
        <f>IFERROR(__xludf.DUMMYFUNCTION("""COMPUTED_VALUE"""),193.89)</f>
        <v>193.89</v>
      </c>
      <c r="D645" s="1">
        <f>IFERROR(__xludf.DUMMYFUNCTION("""COMPUTED_VALUE"""),192.83)</f>
        <v>192.83</v>
      </c>
      <c r="E645" s="1">
        <f>IFERROR(__xludf.DUMMYFUNCTION("""COMPUTED_VALUE"""),193.05)</f>
        <v>193.05</v>
      </c>
      <c r="F645" s="1">
        <f>IFERROR(__xludf.DUMMYFUNCTION("""COMPUTED_VALUE"""),2.891931E7)</f>
        <v>28919310</v>
      </c>
    </row>
    <row r="646">
      <c r="A646" s="2">
        <f>IFERROR(__xludf.DUMMYFUNCTION("""COMPUTED_VALUE"""),45287.66666666667)</f>
        <v>45287.66667</v>
      </c>
      <c r="B646" s="1">
        <f>IFERROR(__xludf.DUMMYFUNCTION("""COMPUTED_VALUE"""),192.49)</f>
        <v>192.49</v>
      </c>
      <c r="C646" s="1">
        <f>IFERROR(__xludf.DUMMYFUNCTION("""COMPUTED_VALUE"""),193.5)</f>
        <v>193.5</v>
      </c>
      <c r="D646" s="1">
        <f>IFERROR(__xludf.DUMMYFUNCTION("""COMPUTED_VALUE"""),191.09)</f>
        <v>191.09</v>
      </c>
      <c r="E646" s="1">
        <f>IFERROR(__xludf.DUMMYFUNCTION("""COMPUTED_VALUE"""),193.15)</f>
        <v>193.15</v>
      </c>
      <c r="F646" s="1">
        <f>IFERROR(__xludf.DUMMYFUNCTION("""COMPUTED_VALUE"""),4.8087681E7)</f>
        <v>48087681</v>
      </c>
    </row>
    <row r="647">
      <c r="A647" s="2">
        <f>IFERROR(__xludf.DUMMYFUNCTION("""COMPUTED_VALUE"""),45288.66666666667)</f>
        <v>45288.66667</v>
      </c>
      <c r="B647" s="1">
        <f>IFERROR(__xludf.DUMMYFUNCTION("""COMPUTED_VALUE"""),194.14)</f>
        <v>194.14</v>
      </c>
      <c r="C647" s="1">
        <f>IFERROR(__xludf.DUMMYFUNCTION("""COMPUTED_VALUE"""),194.66)</f>
        <v>194.66</v>
      </c>
      <c r="D647" s="1">
        <f>IFERROR(__xludf.DUMMYFUNCTION("""COMPUTED_VALUE"""),193.17)</f>
        <v>193.17</v>
      </c>
      <c r="E647" s="1">
        <f>IFERROR(__xludf.DUMMYFUNCTION("""COMPUTED_VALUE"""),193.58)</f>
        <v>193.58</v>
      </c>
      <c r="F647" s="1">
        <f>IFERROR(__xludf.DUMMYFUNCTION("""COMPUTED_VALUE"""),3.4049898E7)</f>
        <v>34049898</v>
      </c>
    </row>
    <row r="648">
      <c r="A648" s="2">
        <f>IFERROR(__xludf.DUMMYFUNCTION("""COMPUTED_VALUE"""),45289.66666666667)</f>
        <v>45289.66667</v>
      </c>
      <c r="B648" s="1">
        <f>IFERROR(__xludf.DUMMYFUNCTION("""COMPUTED_VALUE"""),193.9)</f>
        <v>193.9</v>
      </c>
      <c r="C648" s="1">
        <f>IFERROR(__xludf.DUMMYFUNCTION("""COMPUTED_VALUE"""),194.4)</f>
        <v>194.4</v>
      </c>
      <c r="D648" s="1">
        <f>IFERROR(__xludf.DUMMYFUNCTION("""COMPUTED_VALUE"""),191.73)</f>
        <v>191.73</v>
      </c>
      <c r="E648" s="1">
        <f>IFERROR(__xludf.DUMMYFUNCTION("""COMPUTED_VALUE"""),192.53)</f>
        <v>192.53</v>
      </c>
      <c r="F648" s="1">
        <f>IFERROR(__xludf.DUMMYFUNCTION("""COMPUTED_VALUE"""),4.2672148E7)</f>
        <v>42672148</v>
      </c>
    </row>
    <row r="649">
      <c r="A649" s="2">
        <f>IFERROR(__xludf.DUMMYFUNCTION("""COMPUTED_VALUE"""),45293.66666666667)</f>
        <v>45293.66667</v>
      </c>
      <c r="B649" s="1">
        <f>IFERROR(__xludf.DUMMYFUNCTION("""COMPUTED_VALUE"""),187.15)</f>
        <v>187.15</v>
      </c>
      <c r="C649" s="1">
        <f>IFERROR(__xludf.DUMMYFUNCTION("""COMPUTED_VALUE"""),188.44)</f>
        <v>188.44</v>
      </c>
      <c r="D649" s="1">
        <f>IFERROR(__xludf.DUMMYFUNCTION("""COMPUTED_VALUE"""),183.89)</f>
        <v>183.89</v>
      </c>
      <c r="E649" s="1">
        <f>IFERROR(__xludf.DUMMYFUNCTION("""COMPUTED_VALUE"""),185.64)</f>
        <v>185.64</v>
      </c>
      <c r="F649" s="1">
        <f>IFERROR(__xludf.DUMMYFUNCTION("""COMPUTED_VALUE"""),8.2488674E7)</f>
        <v>82488674</v>
      </c>
    </row>
    <row r="650">
      <c r="A650" s="2">
        <f>IFERROR(__xludf.DUMMYFUNCTION("""COMPUTED_VALUE"""),45294.66666666667)</f>
        <v>45294.66667</v>
      </c>
      <c r="B650" s="1">
        <f>IFERROR(__xludf.DUMMYFUNCTION("""COMPUTED_VALUE"""),184.22)</f>
        <v>184.22</v>
      </c>
      <c r="C650" s="1">
        <f>IFERROR(__xludf.DUMMYFUNCTION("""COMPUTED_VALUE"""),185.88)</f>
        <v>185.88</v>
      </c>
      <c r="D650" s="1">
        <f>IFERROR(__xludf.DUMMYFUNCTION("""COMPUTED_VALUE"""),183.43)</f>
        <v>183.43</v>
      </c>
      <c r="E650" s="1">
        <f>IFERROR(__xludf.DUMMYFUNCTION("""COMPUTED_VALUE"""),184.25)</f>
        <v>184.25</v>
      </c>
      <c r="F650" s="1">
        <f>IFERROR(__xludf.DUMMYFUNCTION("""COMPUTED_VALUE"""),5.841446E7)</f>
        <v>58414460</v>
      </c>
    </row>
    <row r="651">
      <c r="A651" s="2">
        <f>IFERROR(__xludf.DUMMYFUNCTION("""COMPUTED_VALUE"""),45295.66666666667)</f>
        <v>45295.66667</v>
      </c>
      <c r="B651" s="1">
        <f>IFERROR(__xludf.DUMMYFUNCTION("""COMPUTED_VALUE"""),182.15)</f>
        <v>182.15</v>
      </c>
      <c r="C651" s="1">
        <f>IFERROR(__xludf.DUMMYFUNCTION("""COMPUTED_VALUE"""),183.09)</f>
        <v>183.09</v>
      </c>
      <c r="D651" s="1">
        <f>IFERROR(__xludf.DUMMYFUNCTION("""COMPUTED_VALUE"""),180.88)</f>
        <v>180.88</v>
      </c>
      <c r="E651" s="1">
        <f>IFERROR(__xludf.DUMMYFUNCTION("""COMPUTED_VALUE"""),181.91)</f>
        <v>181.91</v>
      </c>
      <c r="F651" s="1">
        <f>IFERROR(__xludf.DUMMYFUNCTION("""COMPUTED_VALUE"""),7.198357E7)</f>
        <v>71983570</v>
      </c>
    </row>
    <row r="652">
      <c r="A652" s="2">
        <f>IFERROR(__xludf.DUMMYFUNCTION("""COMPUTED_VALUE"""),45296.66666666667)</f>
        <v>45296.66667</v>
      </c>
      <c r="B652" s="1">
        <f>IFERROR(__xludf.DUMMYFUNCTION("""COMPUTED_VALUE"""),181.99)</f>
        <v>181.99</v>
      </c>
      <c r="C652" s="1">
        <f>IFERROR(__xludf.DUMMYFUNCTION("""COMPUTED_VALUE"""),182.76)</f>
        <v>182.76</v>
      </c>
      <c r="D652" s="1">
        <f>IFERROR(__xludf.DUMMYFUNCTION("""COMPUTED_VALUE"""),180.17)</f>
        <v>180.17</v>
      </c>
      <c r="E652" s="1">
        <f>IFERROR(__xludf.DUMMYFUNCTION("""COMPUTED_VALUE"""),181.18)</f>
        <v>181.18</v>
      </c>
      <c r="F652" s="1">
        <f>IFERROR(__xludf.DUMMYFUNCTION("""COMPUTED_VALUE"""),6.2379661E7)</f>
        <v>62379661</v>
      </c>
    </row>
    <row r="653">
      <c r="A653" s="2">
        <f>IFERROR(__xludf.DUMMYFUNCTION("""COMPUTED_VALUE"""),45299.66666666667)</f>
        <v>45299.66667</v>
      </c>
      <c r="B653" s="1">
        <f>IFERROR(__xludf.DUMMYFUNCTION("""COMPUTED_VALUE"""),182.09)</f>
        <v>182.09</v>
      </c>
      <c r="C653" s="1">
        <f>IFERROR(__xludf.DUMMYFUNCTION("""COMPUTED_VALUE"""),185.6)</f>
        <v>185.6</v>
      </c>
      <c r="D653" s="1">
        <f>IFERROR(__xludf.DUMMYFUNCTION("""COMPUTED_VALUE"""),181.5)</f>
        <v>181.5</v>
      </c>
      <c r="E653" s="1">
        <f>IFERROR(__xludf.DUMMYFUNCTION("""COMPUTED_VALUE"""),185.56)</f>
        <v>185.56</v>
      </c>
      <c r="F653" s="1">
        <f>IFERROR(__xludf.DUMMYFUNCTION("""COMPUTED_VALUE"""),5.914447E7)</f>
        <v>59144470</v>
      </c>
    </row>
    <row r="654">
      <c r="A654" s="2">
        <f>IFERROR(__xludf.DUMMYFUNCTION("""COMPUTED_VALUE"""),45300.66666666667)</f>
        <v>45300.66667</v>
      </c>
      <c r="B654" s="1">
        <f>IFERROR(__xludf.DUMMYFUNCTION("""COMPUTED_VALUE"""),183.92)</f>
        <v>183.92</v>
      </c>
      <c r="C654" s="1">
        <f>IFERROR(__xludf.DUMMYFUNCTION("""COMPUTED_VALUE"""),185.15)</f>
        <v>185.15</v>
      </c>
      <c r="D654" s="1">
        <f>IFERROR(__xludf.DUMMYFUNCTION("""COMPUTED_VALUE"""),182.73)</f>
        <v>182.73</v>
      </c>
      <c r="E654" s="1">
        <f>IFERROR(__xludf.DUMMYFUNCTION("""COMPUTED_VALUE"""),185.14)</f>
        <v>185.14</v>
      </c>
      <c r="F654" s="1">
        <f>IFERROR(__xludf.DUMMYFUNCTION("""COMPUTED_VALUE"""),4.2841809E7)</f>
        <v>42841809</v>
      </c>
    </row>
    <row r="655">
      <c r="A655" s="2">
        <f>IFERROR(__xludf.DUMMYFUNCTION("""COMPUTED_VALUE"""),45301.66666666667)</f>
        <v>45301.66667</v>
      </c>
      <c r="B655" s="1">
        <f>IFERROR(__xludf.DUMMYFUNCTION("""COMPUTED_VALUE"""),184.35)</f>
        <v>184.35</v>
      </c>
      <c r="C655" s="1">
        <f>IFERROR(__xludf.DUMMYFUNCTION("""COMPUTED_VALUE"""),186.4)</f>
        <v>186.4</v>
      </c>
      <c r="D655" s="1">
        <f>IFERROR(__xludf.DUMMYFUNCTION("""COMPUTED_VALUE"""),183.92)</f>
        <v>183.92</v>
      </c>
      <c r="E655" s="1">
        <f>IFERROR(__xludf.DUMMYFUNCTION("""COMPUTED_VALUE"""),186.19)</f>
        <v>186.19</v>
      </c>
      <c r="F655" s="1">
        <f>IFERROR(__xludf.DUMMYFUNCTION("""COMPUTED_VALUE"""),4.6792908E7)</f>
        <v>46792908</v>
      </c>
    </row>
    <row r="656">
      <c r="A656" s="2">
        <f>IFERROR(__xludf.DUMMYFUNCTION("""COMPUTED_VALUE"""),45302.66666666667)</f>
        <v>45302.66667</v>
      </c>
      <c r="B656" s="1">
        <f>IFERROR(__xludf.DUMMYFUNCTION("""COMPUTED_VALUE"""),186.54)</f>
        <v>186.54</v>
      </c>
      <c r="C656" s="1">
        <f>IFERROR(__xludf.DUMMYFUNCTION("""COMPUTED_VALUE"""),187.05)</f>
        <v>187.05</v>
      </c>
      <c r="D656" s="1">
        <f>IFERROR(__xludf.DUMMYFUNCTION("""COMPUTED_VALUE"""),183.62)</f>
        <v>183.62</v>
      </c>
      <c r="E656" s="1">
        <f>IFERROR(__xludf.DUMMYFUNCTION("""COMPUTED_VALUE"""),185.59)</f>
        <v>185.59</v>
      </c>
      <c r="F656" s="1">
        <f>IFERROR(__xludf.DUMMYFUNCTION("""COMPUTED_VALUE"""),4.9128408E7)</f>
        <v>49128408</v>
      </c>
    </row>
    <row r="657">
      <c r="A657" s="2">
        <f>IFERROR(__xludf.DUMMYFUNCTION("""COMPUTED_VALUE"""),45303.66666666667)</f>
        <v>45303.66667</v>
      </c>
      <c r="B657" s="1">
        <f>IFERROR(__xludf.DUMMYFUNCTION("""COMPUTED_VALUE"""),186.06)</f>
        <v>186.06</v>
      </c>
      <c r="C657" s="1">
        <f>IFERROR(__xludf.DUMMYFUNCTION("""COMPUTED_VALUE"""),186.74)</f>
        <v>186.74</v>
      </c>
      <c r="D657" s="1">
        <f>IFERROR(__xludf.DUMMYFUNCTION("""COMPUTED_VALUE"""),185.19)</f>
        <v>185.19</v>
      </c>
      <c r="E657" s="1">
        <f>IFERROR(__xludf.DUMMYFUNCTION("""COMPUTED_VALUE"""),185.92)</f>
        <v>185.92</v>
      </c>
      <c r="F657" s="1">
        <f>IFERROR(__xludf.DUMMYFUNCTION("""COMPUTED_VALUE"""),4.0477782E7)</f>
        <v>40477782</v>
      </c>
    </row>
    <row r="658">
      <c r="A658" s="2">
        <f>IFERROR(__xludf.DUMMYFUNCTION("""COMPUTED_VALUE"""),45307.66666666667)</f>
        <v>45307.66667</v>
      </c>
      <c r="B658" s="1">
        <f>IFERROR(__xludf.DUMMYFUNCTION("""COMPUTED_VALUE"""),182.16)</f>
        <v>182.16</v>
      </c>
      <c r="C658" s="1">
        <f>IFERROR(__xludf.DUMMYFUNCTION("""COMPUTED_VALUE"""),184.26)</f>
        <v>184.26</v>
      </c>
      <c r="D658" s="1">
        <f>IFERROR(__xludf.DUMMYFUNCTION("""COMPUTED_VALUE"""),180.93)</f>
        <v>180.93</v>
      </c>
      <c r="E658" s="1">
        <f>IFERROR(__xludf.DUMMYFUNCTION("""COMPUTED_VALUE"""),183.63)</f>
        <v>183.63</v>
      </c>
      <c r="F658" s="1">
        <f>IFERROR(__xludf.DUMMYFUNCTION("""COMPUTED_VALUE"""),6.5603041E7)</f>
        <v>65603041</v>
      </c>
    </row>
    <row r="659">
      <c r="A659" s="2">
        <f>IFERROR(__xludf.DUMMYFUNCTION("""COMPUTED_VALUE"""),45308.66666666667)</f>
        <v>45308.66667</v>
      </c>
      <c r="B659" s="1">
        <f>IFERROR(__xludf.DUMMYFUNCTION("""COMPUTED_VALUE"""),181.27)</f>
        <v>181.27</v>
      </c>
      <c r="C659" s="1">
        <f>IFERROR(__xludf.DUMMYFUNCTION("""COMPUTED_VALUE"""),182.93)</f>
        <v>182.93</v>
      </c>
      <c r="D659" s="1">
        <f>IFERROR(__xludf.DUMMYFUNCTION("""COMPUTED_VALUE"""),180.3)</f>
        <v>180.3</v>
      </c>
      <c r="E659" s="1">
        <f>IFERROR(__xludf.DUMMYFUNCTION("""COMPUTED_VALUE"""),182.68)</f>
        <v>182.68</v>
      </c>
      <c r="F659" s="1">
        <f>IFERROR(__xludf.DUMMYFUNCTION("""COMPUTED_VALUE"""),4.7317433E7)</f>
        <v>47317433</v>
      </c>
    </row>
    <row r="660">
      <c r="A660" s="2">
        <f>IFERROR(__xludf.DUMMYFUNCTION("""COMPUTED_VALUE"""),45309.66666666667)</f>
        <v>45309.66667</v>
      </c>
      <c r="B660" s="1">
        <f>IFERROR(__xludf.DUMMYFUNCTION("""COMPUTED_VALUE"""),186.09)</f>
        <v>186.09</v>
      </c>
      <c r="C660" s="1">
        <f>IFERROR(__xludf.DUMMYFUNCTION("""COMPUTED_VALUE"""),189.14)</f>
        <v>189.14</v>
      </c>
      <c r="D660" s="1">
        <f>IFERROR(__xludf.DUMMYFUNCTION("""COMPUTED_VALUE"""),185.83)</f>
        <v>185.83</v>
      </c>
      <c r="E660" s="1">
        <f>IFERROR(__xludf.DUMMYFUNCTION("""COMPUTED_VALUE"""),188.63)</f>
        <v>188.63</v>
      </c>
      <c r="F660" s="1">
        <f>IFERROR(__xludf.DUMMYFUNCTION("""COMPUTED_VALUE"""),7.8005754E7)</f>
        <v>78005754</v>
      </c>
    </row>
    <row r="661">
      <c r="A661" s="2">
        <f>IFERROR(__xludf.DUMMYFUNCTION("""COMPUTED_VALUE"""),45310.66666666667)</f>
        <v>45310.66667</v>
      </c>
      <c r="B661" s="1">
        <f>IFERROR(__xludf.DUMMYFUNCTION("""COMPUTED_VALUE"""),189.33)</f>
        <v>189.33</v>
      </c>
      <c r="C661" s="1">
        <f>IFERROR(__xludf.DUMMYFUNCTION("""COMPUTED_VALUE"""),191.95)</f>
        <v>191.95</v>
      </c>
      <c r="D661" s="1">
        <f>IFERROR(__xludf.DUMMYFUNCTION("""COMPUTED_VALUE"""),188.82)</f>
        <v>188.82</v>
      </c>
      <c r="E661" s="1">
        <f>IFERROR(__xludf.DUMMYFUNCTION("""COMPUTED_VALUE"""),191.56)</f>
        <v>191.56</v>
      </c>
      <c r="F661" s="1">
        <f>IFERROR(__xludf.DUMMYFUNCTION("""COMPUTED_VALUE"""),6.8902985E7)</f>
        <v>68902985</v>
      </c>
    </row>
    <row r="662">
      <c r="A662" s="2">
        <f>IFERROR(__xludf.DUMMYFUNCTION("""COMPUTED_VALUE"""),45313.66666666667)</f>
        <v>45313.66667</v>
      </c>
      <c r="B662" s="1">
        <f>IFERROR(__xludf.DUMMYFUNCTION("""COMPUTED_VALUE"""),192.3)</f>
        <v>192.3</v>
      </c>
      <c r="C662" s="1">
        <f>IFERROR(__xludf.DUMMYFUNCTION("""COMPUTED_VALUE"""),195.33)</f>
        <v>195.33</v>
      </c>
      <c r="D662" s="1">
        <f>IFERROR(__xludf.DUMMYFUNCTION("""COMPUTED_VALUE"""),192.26)</f>
        <v>192.26</v>
      </c>
      <c r="E662" s="1">
        <f>IFERROR(__xludf.DUMMYFUNCTION("""COMPUTED_VALUE"""),193.89)</f>
        <v>193.89</v>
      </c>
      <c r="F662" s="1">
        <f>IFERROR(__xludf.DUMMYFUNCTION("""COMPUTED_VALUE"""),6.0133852E7)</f>
        <v>60133852</v>
      </c>
    </row>
    <row r="663">
      <c r="A663" s="2">
        <f>IFERROR(__xludf.DUMMYFUNCTION("""COMPUTED_VALUE"""),45314.66666666667)</f>
        <v>45314.66667</v>
      </c>
      <c r="B663" s="1">
        <f>IFERROR(__xludf.DUMMYFUNCTION("""COMPUTED_VALUE"""),195.02)</f>
        <v>195.02</v>
      </c>
      <c r="C663" s="1">
        <f>IFERROR(__xludf.DUMMYFUNCTION("""COMPUTED_VALUE"""),195.75)</f>
        <v>195.75</v>
      </c>
      <c r="D663" s="1">
        <f>IFERROR(__xludf.DUMMYFUNCTION("""COMPUTED_VALUE"""),193.83)</f>
        <v>193.83</v>
      </c>
      <c r="E663" s="1">
        <f>IFERROR(__xludf.DUMMYFUNCTION("""COMPUTED_VALUE"""),195.18)</f>
        <v>195.18</v>
      </c>
      <c r="F663" s="1">
        <f>IFERROR(__xludf.DUMMYFUNCTION("""COMPUTED_VALUE"""),4.235559E7)</f>
        <v>42355590</v>
      </c>
    </row>
    <row r="664">
      <c r="A664" s="2">
        <f>IFERROR(__xludf.DUMMYFUNCTION("""COMPUTED_VALUE"""),45315.66666666667)</f>
        <v>45315.66667</v>
      </c>
      <c r="B664" s="1">
        <f>IFERROR(__xludf.DUMMYFUNCTION("""COMPUTED_VALUE"""),195.42)</f>
        <v>195.42</v>
      </c>
      <c r="C664" s="1">
        <f>IFERROR(__xludf.DUMMYFUNCTION("""COMPUTED_VALUE"""),196.38)</f>
        <v>196.38</v>
      </c>
      <c r="D664" s="1">
        <f>IFERROR(__xludf.DUMMYFUNCTION("""COMPUTED_VALUE"""),194.34)</f>
        <v>194.34</v>
      </c>
      <c r="E664" s="1">
        <f>IFERROR(__xludf.DUMMYFUNCTION("""COMPUTED_VALUE"""),194.5)</f>
        <v>194.5</v>
      </c>
      <c r="F664" s="1">
        <f>IFERROR(__xludf.DUMMYFUNCTION("""COMPUTED_VALUE"""),5.3631316E7)</f>
        <v>53631316</v>
      </c>
    </row>
    <row r="665">
      <c r="A665" s="2">
        <f>IFERROR(__xludf.DUMMYFUNCTION("""COMPUTED_VALUE"""),45316.66666666667)</f>
        <v>45316.66667</v>
      </c>
      <c r="B665" s="1">
        <f>IFERROR(__xludf.DUMMYFUNCTION("""COMPUTED_VALUE"""),195.22)</f>
        <v>195.22</v>
      </c>
      <c r="C665" s="1">
        <f>IFERROR(__xludf.DUMMYFUNCTION("""COMPUTED_VALUE"""),196.27)</f>
        <v>196.27</v>
      </c>
      <c r="D665" s="1">
        <f>IFERROR(__xludf.DUMMYFUNCTION("""COMPUTED_VALUE"""),193.11)</f>
        <v>193.11</v>
      </c>
      <c r="E665" s="1">
        <f>IFERROR(__xludf.DUMMYFUNCTION("""COMPUTED_VALUE"""),194.17)</f>
        <v>194.17</v>
      </c>
      <c r="F665" s="1">
        <f>IFERROR(__xludf.DUMMYFUNCTION("""COMPUTED_VALUE"""),5.4822126E7)</f>
        <v>54822126</v>
      </c>
    </row>
    <row r="666">
      <c r="A666" s="2">
        <f>IFERROR(__xludf.DUMMYFUNCTION("""COMPUTED_VALUE"""),45317.66666666667)</f>
        <v>45317.66667</v>
      </c>
      <c r="B666" s="1">
        <f>IFERROR(__xludf.DUMMYFUNCTION("""COMPUTED_VALUE"""),194.27)</f>
        <v>194.27</v>
      </c>
      <c r="C666" s="1">
        <f>IFERROR(__xludf.DUMMYFUNCTION("""COMPUTED_VALUE"""),194.76)</f>
        <v>194.76</v>
      </c>
      <c r="D666" s="1">
        <f>IFERROR(__xludf.DUMMYFUNCTION("""COMPUTED_VALUE"""),191.94)</f>
        <v>191.94</v>
      </c>
      <c r="E666" s="1">
        <f>IFERROR(__xludf.DUMMYFUNCTION("""COMPUTED_VALUE"""),192.42)</f>
        <v>192.42</v>
      </c>
      <c r="F666" s="1">
        <f>IFERROR(__xludf.DUMMYFUNCTION("""COMPUTED_VALUE"""),4.4594011E7)</f>
        <v>44594011</v>
      </c>
    </row>
    <row r="667">
      <c r="A667" s="2">
        <f>IFERROR(__xludf.DUMMYFUNCTION("""COMPUTED_VALUE"""),45320.66666666667)</f>
        <v>45320.66667</v>
      </c>
      <c r="B667" s="1">
        <f>IFERROR(__xludf.DUMMYFUNCTION("""COMPUTED_VALUE"""),192.01)</f>
        <v>192.01</v>
      </c>
      <c r="C667" s="1">
        <f>IFERROR(__xludf.DUMMYFUNCTION("""COMPUTED_VALUE"""),192.2)</f>
        <v>192.2</v>
      </c>
      <c r="D667" s="1">
        <f>IFERROR(__xludf.DUMMYFUNCTION("""COMPUTED_VALUE"""),189.58)</f>
        <v>189.58</v>
      </c>
      <c r="E667" s="1">
        <f>IFERROR(__xludf.DUMMYFUNCTION("""COMPUTED_VALUE"""),191.73)</f>
        <v>191.73</v>
      </c>
      <c r="F667" s="1">
        <f>IFERROR(__xludf.DUMMYFUNCTION("""COMPUTED_VALUE"""),4.7145622E7)</f>
        <v>47145622</v>
      </c>
    </row>
    <row r="668">
      <c r="A668" s="2">
        <f>IFERROR(__xludf.DUMMYFUNCTION("""COMPUTED_VALUE"""),45321.66666666667)</f>
        <v>45321.66667</v>
      </c>
      <c r="B668" s="1">
        <f>IFERROR(__xludf.DUMMYFUNCTION("""COMPUTED_VALUE"""),190.94)</f>
        <v>190.94</v>
      </c>
      <c r="C668" s="1">
        <f>IFERROR(__xludf.DUMMYFUNCTION("""COMPUTED_VALUE"""),191.8)</f>
        <v>191.8</v>
      </c>
      <c r="D668" s="1">
        <f>IFERROR(__xludf.DUMMYFUNCTION("""COMPUTED_VALUE"""),187.47)</f>
        <v>187.47</v>
      </c>
      <c r="E668" s="1">
        <f>IFERROR(__xludf.DUMMYFUNCTION("""COMPUTED_VALUE"""),188.04)</f>
        <v>188.04</v>
      </c>
      <c r="F668" s="1">
        <f>IFERROR(__xludf.DUMMYFUNCTION("""COMPUTED_VALUE"""),5.585937E7)</f>
        <v>55859370</v>
      </c>
    </row>
    <row r="669">
      <c r="A669" s="2">
        <f>IFERROR(__xludf.DUMMYFUNCTION("""COMPUTED_VALUE"""),45322.66666666667)</f>
        <v>45322.66667</v>
      </c>
      <c r="B669" s="1">
        <f>IFERROR(__xludf.DUMMYFUNCTION("""COMPUTED_VALUE"""),187.04)</f>
        <v>187.04</v>
      </c>
      <c r="C669" s="1">
        <f>IFERROR(__xludf.DUMMYFUNCTION("""COMPUTED_VALUE"""),187.1)</f>
        <v>187.1</v>
      </c>
      <c r="D669" s="1">
        <f>IFERROR(__xludf.DUMMYFUNCTION("""COMPUTED_VALUE"""),184.35)</f>
        <v>184.35</v>
      </c>
      <c r="E669" s="1">
        <f>IFERROR(__xludf.DUMMYFUNCTION("""COMPUTED_VALUE"""),184.4)</f>
        <v>184.4</v>
      </c>
      <c r="F669" s="1">
        <f>IFERROR(__xludf.DUMMYFUNCTION("""COMPUTED_VALUE"""),5.5467803E7)</f>
        <v>55467803</v>
      </c>
    </row>
    <row r="670">
      <c r="A670" s="2">
        <f>IFERROR(__xludf.DUMMYFUNCTION("""COMPUTED_VALUE"""),45323.66666666667)</f>
        <v>45323.66667</v>
      </c>
      <c r="B670" s="1">
        <f>IFERROR(__xludf.DUMMYFUNCTION("""COMPUTED_VALUE"""),183.99)</f>
        <v>183.99</v>
      </c>
      <c r="C670" s="1">
        <f>IFERROR(__xludf.DUMMYFUNCTION("""COMPUTED_VALUE"""),186.95)</f>
        <v>186.95</v>
      </c>
      <c r="D670" s="1">
        <f>IFERROR(__xludf.DUMMYFUNCTION("""COMPUTED_VALUE"""),183.82)</f>
        <v>183.82</v>
      </c>
      <c r="E670" s="1">
        <f>IFERROR(__xludf.DUMMYFUNCTION("""COMPUTED_VALUE"""),186.86)</f>
        <v>186.86</v>
      </c>
      <c r="F670" s="1">
        <f>IFERROR(__xludf.DUMMYFUNCTION("""COMPUTED_VALUE"""),6.4885408E7)</f>
        <v>64885408</v>
      </c>
    </row>
    <row r="671">
      <c r="A671" s="2">
        <f>IFERROR(__xludf.DUMMYFUNCTION("""COMPUTED_VALUE"""),45324.66666666667)</f>
        <v>45324.66667</v>
      </c>
      <c r="B671" s="1">
        <f>IFERROR(__xludf.DUMMYFUNCTION("""COMPUTED_VALUE"""),179.86)</f>
        <v>179.86</v>
      </c>
      <c r="C671" s="1">
        <f>IFERROR(__xludf.DUMMYFUNCTION("""COMPUTED_VALUE"""),187.33)</f>
        <v>187.33</v>
      </c>
      <c r="D671" s="1">
        <f>IFERROR(__xludf.DUMMYFUNCTION("""COMPUTED_VALUE"""),179.25)</f>
        <v>179.25</v>
      </c>
      <c r="E671" s="1">
        <f>IFERROR(__xludf.DUMMYFUNCTION("""COMPUTED_VALUE"""),185.85)</f>
        <v>185.85</v>
      </c>
      <c r="F671" s="1">
        <f>IFERROR(__xludf.DUMMYFUNCTION("""COMPUTED_VALUE"""),1.0255168E8)</f>
        <v>102551680</v>
      </c>
    </row>
    <row r="672">
      <c r="A672" s="2">
        <f>IFERROR(__xludf.DUMMYFUNCTION("""COMPUTED_VALUE"""),45327.66666666667)</f>
        <v>45327.66667</v>
      </c>
      <c r="B672" s="1">
        <f>IFERROR(__xludf.DUMMYFUNCTION("""COMPUTED_VALUE"""),188.15)</f>
        <v>188.15</v>
      </c>
      <c r="C672" s="1">
        <f>IFERROR(__xludf.DUMMYFUNCTION("""COMPUTED_VALUE"""),189.25)</f>
        <v>189.25</v>
      </c>
      <c r="D672" s="1">
        <f>IFERROR(__xludf.DUMMYFUNCTION("""COMPUTED_VALUE"""),185.84)</f>
        <v>185.84</v>
      </c>
      <c r="E672" s="1">
        <f>IFERROR(__xludf.DUMMYFUNCTION("""COMPUTED_VALUE"""),187.68)</f>
        <v>187.68</v>
      </c>
      <c r="F672" s="1">
        <f>IFERROR(__xludf.DUMMYFUNCTION("""COMPUTED_VALUE"""),6.966882E7)</f>
        <v>69668820</v>
      </c>
    </row>
    <row r="673">
      <c r="A673" s="2">
        <f>IFERROR(__xludf.DUMMYFUNCTION("""COMPUTED_VALUE"""),45328.66666666667)</f>
        <v>45328.66667</v>
      </c>
      <c r="B673" s="1">
        <f>IFERROR(__xludf.DUMMYFUNCTION("""COMPUTED_VALUE"""),186.86)</f>
        <v>186.86</v>
      </c>
      <c r="C673" s="1">
        <f>IFERROR(__xludf.DUMMYFUNCTION("""COMPUTED_VALUE"""),189.31)</f>
        <v>189.31</v>
      </c>
      <c r="D673" s="1">
        <f>IFERROR(__xludf.DUMMYFUNCTION("""COMPUTED_VALUE"""),186.77)</f>
        <v>186.77</v>
      </c>
      <c r="E673" s="1">
        <f>IFERROR(__xludf.DUMMYFUNCTION("""COMPUTED_VALUE"""),189.3)</f>
        <v>189.3</v>
      </c>
      <c r="F673" s="1">
        <f>IFERROR(__xludf.DUMMYFUNCTION("""COMPUTED_VALUE"""),4.3490759E7)</f>
        <v>43490759</v>
      </c>
    </row>
    <row r="674">
      <c r="A674" s="2">
        <f>IFERROR(__xludf.DUMMYFUNCTION("""COMPUTED_VALUE"""),45329.66666666667)</f>
        <v>45329.66667</v>
      </c>
      <c r="B674" s="1">
        <f>IFERROR(__xludf.DUMMYFUNCTION("""COMPUTED_VALUE"""),190.64)</f>
        <v>190.64</v>
      </c>
      <c r="C674" s="1">
        <f>IFERROR(__xludf.DUMMYFUNCTION("""COMPUTED_VALUE"""),191.05)</f>
        <v>191.05</v>
      </c>
      <c r="D674" s="1">
        <f>IFERROR(__xludf.DUMMYFUNCTION("""COMPUTED_VALUE"""),188.61)</f>
        <v>188.61</v>
      </c>
      <c r="E674" s="1">
        <f>IFERROR(__xludf.DUMMYFUNCTION("""COMPUTED_VALUE"""),189.41)</f>
        <v>189.41</v>
      </c>
      <c r="F674" s="1">
        <f>IFERROR(__xludf.DUMMYFUNCTION("""COMPUTED_VALUE"""),5.3438955E7)</f>
        <v>53438955</v>
      </c>
    </row>
    <row r="675">
      <c r="A675" s="2">
        <f>IFERROR(__xludf.DUMMYFUNCTION("""COMPUTED_VALUE"""),45330.66666666667)</f>
        <v>45330.66667</v>
      </c>
      <c r="B675" s="1">
        <f>IFERROR(__xludf.DUMMYFUNCTION("""COMPUTED_VALUE"""),189.39)</f>
        <v>189.39</v>
      </c>
      <c r="C675" s="1">
        <f>IFERROR(__xludf.DUMMYFUNCTION("""COMPUTED_VALUE"""),189.54)</f>
        <v>189.54</v>
      </c>
      <c r="D675" s="1">
        <f>IFERROR(__xludf.DUMMYFUNCTION("""COMPUTED_VALUE"""),187.35)</f>
        <v>187.35</v>
      </c>
      <c r="E675" s="1">
        <f>IFERROR(__xludf.DUMMYFUNCTION("""COMPUTED_VALUE"""),188.32)</f>
        <v>188.32</v>
      </c>
      <c r="F675" s="1">
        <f>IFERROR(__xludf.DUMMYFUNCTION("""COMPUTED_VALUE"""),4.0962046E7)</f>
        <v>40962046</v>
      </c>
    </row>
    <row r="676">
      <c r="A676" s="2">
        <f>IFERROR(__xludf.DUMMYFUNCTION("""COMPUTED_VALUE"""),45331.66666666667)</f>
        <v>45331.66667</v>
      </c>
      <c r="B676" s="1">
        <f>IFERROR(__xludf.DUMMYFUNCTION("""COMPUTED_VALUE"""),188.65)</f>
        <v>188.65</v>
      </c>
      <c r="C676" s="1">
        <f>IFERROR(__xludf.DUMMYFUNCTION("""COMPUTED_VALUE"""),189.99)</f>
        <v>189.99</v>
      </c>
      <c r="D676" s="1">
        <f>IFERROR(__xludf.DUMMYFUNCTION("""COMPUTED_VALUE"""),188.0)</f>
        <v>188</v>
      </c>
      <c r="E676" s="1">
        <f>IFERROR(__xludf.DUMMYFUNCTION("""COMPUTED_VALUE"""),188.85)</f>
        <v>188.85</v>
      </c>
      <c r="F676" s="1">
        <f>IFERROR(__xludf.DUMMYFUNCTION("""COMPUTED_VALUE"""),4.5155216E7)</f>
        <v>45155216</v>
      </c>
    </row>
    <row r="677">
      <c r="A677" s="2">
        <f>IFERROR(__xludf.DUMMYFUNCTION("""COMPUTED_VALUE"""),45334.66666666667)</f>
        <v>45334.66667</v>
      </c>
      <c r="B677" s="1">
        <f>IFERROR(__xludf.DUMMYFUNCTION("""COMPUTED_VALUE"""),188.42)</f>
        <v>188.42</v>
      </c>
      <c r="C677" s="1">
        <f>IFERROR(__xludf.DUMMYFUNCTION("""COMPUTED_VALUE"""),188.67)</f>
        <v>188.67</v>
      </c>
      <c r="D677" s="1">
        <f>IFERROR(__xludf.DUMMYFUNCTION("""COMPUTED_VALUE"""),186.79)</f>
        <v>186.79</v>
      </c>
      <c r="E677" s="1">
        <f>IFERROR(__xludf.DUMMYFUNCTION("""COMPUTED_VALUE"""),187.15)</f>
        <v>187.15</v>
      </c>
      <c r="F677" s="1">
        <f>IFERROR(__xludf.DUMMYFUNCTION("""COMPUTED_VALUE"""),4.1781934E7)</f>
        <v>41781934</v>
      </c>
    </row>
    <row r="678">
      <c r="A678" s="2">
        <f>IFERROR(__xludf.DUMMYFUNCTION("""COMPUTED_VALUE"""),45335.66666666667)</f>
        <v>45335.66667</v>
      </c>
      <c r="B678" s="1">
        <f>IFERROR(__xludf.DUMMYFUNCTION("""COMPUTED_VALUE"""),185.77)</f>
        <v>185.77</v>
      </c>
      <c r="C678" s="1">
        <f>IFERROR(__xludf.DUMMYFUNCTION("""COMPUTED_VALUE"""),186.21)</f>
        <v>186.21</v>
      </c>
      <c r="D678" s="1">
        <f>IFERROR(__xludf.DUMMYFUNCTION("""COMPUTED_VALUE"""),183.51)</f>
        <v>183.51</v>
      </c>
      <c r="E678" s="1">
        <f>IFERROR(__xludf.DUMMYFUNCTION("""COMPUTED_VALUE"""),185.04)</f>
        <v>185.04</v>
      </c>
      <c r="F678" s="1">
        <f>IFERROR(__xludf.DUMMYFUNCTION("""COMPUTED_VALUE"""),5.6529529E7)</f>
        <v>56529529</v>
      </c>
    </row>
    <row r="679">
      <c r="A679" s="2">
        <f>IFERROR(__xludf.DUMMYFUNCTION("""COMPUTED_VALUE"""),45336.66666666667)</f>
        <v>45336.66667</v>
      </c>
      <c r="B679" s="1">
        <f>IFERROR(__xludf.DUMMYFUNCTION("""COMPUTED_VALUE"""),185.32)</f>
        <v>185.32</v>
      </c>
      <c r="C679" s="1">
        <f>IFERROR(__xludf.DUMMYFUNCTION("""COMPUTED_VALUE"""),185.53)</f>
        <v>185.53</v>
      </c>
      <c r="D679" s="1">
        <f>IFERROR(__xludf.DUMMYFUNCTION("""COMPUTED_VALUE"""),182.44)</f>
        <v>182.44</v>
      </c>
      <c r="E679" s="1">
        <f>IFERROR(__xludf.DUMMYFUNCTION("""COMPUTED_VALUE"""),184.15)</f>
        <v>184.15</v>
      </c>
      <c r="F679" s="1">
        <f>IFERROR(__xludf.DUMMYFUNCTION("""COMPUTED_VALUE"""),5.4630517E7)</f>
        <v>54630517</v>
      </c>
    </row>
    <row r="680">
      <c r="A680" s="2">
        <f>IFERROR(__xludf.DUMMYFUNCTION("""COMPUTED_VALUE"""),45337.66666666667)</f>
        <v>45337.66667</v>
      </c>
      <c r="B680" s="1">
        <f>IFERROR(__xludf.DUMMYFUNCTION("""COMPUTED_VALUE"""),183.55)</f>
        <v>183.55</v>
      </c>
      <c r="C680" s="1">
        <f>IFERROR(__xludf.DUMMYFUNCTION("""COMPUTED_VALUE"""),184.49)</f>
        <v>184.49</v>
      </c>
      <c r="D680" s="1">
        <f>IFERROR(__xludf.DUMMYFUNCTION("""COMPUTED_VALUE"""),181.35)</f>
        <v>181.35</v>
      </c>
      <c r="E680" s="1">
        <f>IFERROR(__xludf.DUMMYFUNCTION("""COMPUTED_VALUE"""),183.86)</f>
        <v>183.86</v>
      </c>
      <c r="F680" s="1">
        <f>IFERROR(__xludf.DUMMYFUNCTION("""COMPUTED_VALUE"""),6.5434496E7)</f>
        <v>65434496</v>
      </c>
    </row>
    <row r="681">
      <c r="A681" s="2">
        <f>IFERROR(__xludf.DUMMYFUNCTION("""COMPUTED_VALUE"""),45338.66666666667)</f>
        <v>45338.66667</v>
      </c>
      <c r="B681" s="1">
        <f>IFERROR(__xludf.DUMMYFUNCTION("""COMPUTED_VALUE"""),183.42)</f>
        <v>183.42</v>
      </c>
      <c r="C681" s="1">
        <f>IFERROR(__xludf.DUMMYFUNCTION("""COMPUTED_VALUE"""),184.85)</f>
        <v>184.85</v>
      </c>
      <c r="D681" s="1">
        <f>IFERROR(__xludf.DUMMYFUNCTION("""COMPUTED_VALUE"""),181.67)</f>
        <v>181.67</v>
      </c>
      <c r="E681" s="1">
        <f>IFERROR(__xludf.DUMMYFUNCTION("""COMPUTED_VALUE"""),182.31)</f>
        <v>182.31</v>
      </c>
      <c r="F681" s="1">
        <f>IFERROR(__xludf.DUMMYFUNCTION("""COMPUTED_VALUE"""),4.9752465E7)</f>
        <v>49752465</v>
      </c>
    </row>
    <row r="682">
      <c r="A682" s="2">
        <f>IFERROR(__xludf.DUMMYFUNCTION("""COMPUTED_VALUE"""),45342.66666666667)</f>
        <v>45342.66667</v>
      </c>
      <c r="B682" s="1">
        <f>IFERROR(__xludf.DUMMYFUNCTION("""COMPUTED_VALUE"""),181.79)</f>
        <v>181.79</v>
      </c>
      <c r="C682" s="1">
        <f>IFERROR(__xludf.DUMMYFUNCTION("""COMPUTED_VALUE"""),182.43)</f>
        <v>182.43</v>
      </c>
      <c r="D682" s="1">
        <f>IFERROR(__xludf.DUMMYFUNCTION("""COMPUTED_VALUE"""),180.0)</f>
        <v>180</v>
      </c>
      <c r="E682" s="1">
        <f>IFERROR(__xludf.DUMMYFUNCTION("""COMPUTED_VALUE"""),181.56)</f>
        <v>181.56</v>
      </c>
      <c r="F682" s="1">
        <f>IFERROR(__xludf.DUMMYFUNCTION("""COMPUTED_VALUE"""),5.3665553E7)</f>
        <v>53665553</v>
      </c>
    </row>
    <row r="683">
      <c r="A683" s="2">
        <f>IFERROR(__xludf.DUMMYFUNCTION("""COMPUTED_VALUE"""),45343.66666666667)</f>
        <v>45343.66667</v>
      </c>
      <c r="B683" s="1">
        <f>IFERROR(__xludf.DUMMYFUNCTION("""COMPUTED_VALUE"""),181.94)</f>
        <v>181.94</v>
      </c>
      <c r="C683" s="1">
        <f>IFERROR(__xludf.DUMMYFUNCTION("""COMPUTED_VALUE"""),182.89)</f>
        <v>182.89</v>
      </c>
      <c r="D683" s="1">
        <f>IFERROR(__xludf.DUMMYFUNCTION("""COMPUTED_VALUE"""),180.66)</f>
        <v>180.66</v>
      </c>
      <c r="E683" s="1">
        <f>IFERROR(__xludf.DUMMYFUNCTION("""COMPUTED_VALUE"""),182.32)</f>
        <v>182.32</v>
      </c>
      <c r="F683" s="1">
        <f>IFERROR(__xludf.DUMMYFUNCTION("""COMPUTED_VALUE"""),4.1529674E7)</f>
        <v>41529674</v>
      </c>
    </row>
    <row r="684">
      <c r="A684" s="2">
        <f>IFERROR(__xludf.DUMMYFUNCTION("""COMPUTED_VALUE"""),45344.66666666667)</f>
        <v>45344.66667</v>
      </c>
      <c r="B684" s="1">
        <f>IFERROR(__xludf.DUMMYFUNCTION("""COMPUTED_VALUE"""),183.48)</f>
        <v>183.48</v>
      </c>
      <c r="C684" s="1">
        <f>IFERROR(__xludf.DUMMYFUNCTION("""COMPUTED_VALUE"""),184.96)</f>
        <v>184.96</v>
      </c>
      <c r="D684" s="1">
        <f>IFERROR(__xludf.DUMMYFUNCTION("""COMPUTED_VALUE"""),182.46)</f>
        <v>182.46</v>
      </c>
      <c r="E684" s="1">
        <f>IFERROR(__xludf.DUMMYFUNCTION("""COMPUTED_VALUE"""),184.37)</f>
        <v>184.37</v>
      </c>
      <c r="F684" s="1">
        <f>IFERROR(__xludf.DUMMYFUNCTION("""COMPUTED_VALUE"""),5.2292208E7)</f>
        <v>52292208</v>
      </c>
    </row>
    <row r="685">
      <c r="A685" s="2">
        <f>IFERROR(__xludf.DUMMYFUNCTION("""COMPUTED_VALUE"""),45345.66666666667)</f>
        <v>45345.66667</v>
      </c>
      <c r="B685" s="1">
        <f>IFERROR(__xludf.DUMMYFUNCTION("""COMPUTED_VALUE"""),185.01)</f>
        <v>185.01</v>
      </c>
      <c r="C685" s="1">
        <f>IFERROR(__xludf.DUMMYFUNCTION("""COMPUTED_VALUE"""),185.04)</f>
        <v>185.04</v>
      </c>
      <c r="D685" s="1">
        <f>IFERROR(__xludf.DUMMYFUNCTION("""COMPUTED_VALUE"""),182.23)</f>
        <v>182.23</v>
      </c>
      <c r="E685" s="1">
        <f>IFERROR(__xludf.DUMMYFUNCTION("""COMPUTED_VALUE"""),182.52)</f>
        <v>182.52</v>
      </c>
      <c r="F685" s="1">
        <f>IFERROR(__xludf.DUMMYFUNCTION("""COMPUTED_VALUE"""),4.5119677E7)</f>
        <v>45119677</v>
      </c>
    </row>
    <row r="686">
      <c r="A686" s="2">
        <f>IFERROR(__xludf.DUMMYFUNCTION("""COMPUTED_VALUE"""),45348.66666666667)</f>
        <v>45348.66667</v>
      </c>
      <c r="B686" s="1">
        <f>IFERROR(__xludf.DUMMYFUNCTION("""COMPUTED_VALUE"""),182.24)</f>
        <v>182.24</v>
      </c>
      <c r="C686" s="1">
        <f>IFERROR(__xludf.DUMMYFUNCTION("""COMPUTED_VALUE"""),182.76)</f>
        <v>182.76</v>
      </c>
      <c r="D686" s="1">
        <f>IFERROR(__xludf.DUMMYFUNCTION("""COMPUTED_VALUE"""),180.65)</f>
        <v>180.65</v>
      </c>
      <c r="E686" s="1">
        <f>IFERROR(__xludf.DUMMYFUNCTION("""COMPUTED_VALUE"""),181.16)</f>
        <v>181.16</v>
      </c>
      <c r="F686" s="1">
        <f>IFERROR(__xludf.DUMMYFUNCTION("""COMPUTED_VALUE"""),4.0867421E7)</f>
        <v>40867421</v>
      </c>
    </row>
    <row r="687">
      <c r="A687" s="2">
        <f>IFERROR(__xludf.DUMMYFUNCTION("""COMPUTED_VALUE"""),45349.66666666667)</f>
        <v>45349.66667</v>
      </c>
      <c r="B687" s="1">
        <f>IFERROR(__xludf.DUMMYFUNCTION("""COMPUTED_VALUE"""),181.1)</f>
        <v>181.1</v>
      </c>
      <c r="C687" s="1">
        <f>IFERROR(__xludf.DUMMYFUNCTION("""COMPUTED_VALUE"""),183.92)</f>
        <v>183.92</v>
      </c>
      <c r="D687" s="1">
        <f>IFERROR(__xludf.DUMMYFUNCTION("""COMPUTED_VALUE"""),179.56)</f>
        <v>179.56</v>
      </c>
      <c r="E687" s="1">
        <f>IFERROR(__xludf.DUMMYFUNCTION("""COMPUTED_VALUE"""),182.63)</f>
        <v>182.63</v>
      </c>
      <c r="F687" s="1">
        <f>IFERROR(__xludf.DUMMYFUNCTION("""COMPUTED_VALUE"""),5.4318851E7)</f>
        <v>54318851</v>
      </c>
    </row>
    <row r="688">
      <c r="A688" s="2">
        <f>IFERROR(__xludf.DUMMYFUNCTION("""COMPUTED_VALUE"""),45350.66666666667)</f>
        <v>45350.66667</v>
      </c>
      <c r="B688" s="1">
        <f>IFERROR(__xludf.DUMMYFUNCTION("""COMPUTED_VALUE"""),182.51)</f>
        <v>182.51</v>
      </c>
      <c r="C688" s="1">
        <f>IFERROR(__xludf.DUMMYFUNCTION("""COMPUTED_VALUE"""),183.12)</f>
        <v>183.12</v>
      </c>
      <c r="D688" s="1">
        <f>IFERROR(__xludf.DUMMYFUNCTION("""COMPUTED_VALUE"""),180.13)</f>
        <v>180.13</v>
      </c>
      <c r="E688" s="1">
        <f>IFERROR(__xludf.DUMMYFUNCTION("""COMPUTED_VALUE"""),181.42)</f>
        <v>181.42</v>
      </c>
      <c r="F688" s="1">
        <f>IFERROR(__xludf.DUMMYFUNCTION("""COMPUTED_VALUE"""),4.8953939E7)</f>
        <v>48953939</v>
      </c>
    </row>
    <row r="689">
      <c r="A689" s="2">
        <f>IFERROR(__xludf.DUMMYFUNCTION("""COMPUTED_VALUE"""),45351.66666666667)</f>
        <v>45351.66667</v>
      </c>
      <c r="B689" s="1">
        <f>IFERROR(__xludf.DUMMYFUNCTION("""COMPUTED_VALUE"""),181.27)</f>
        <v>181.27</v>
      </c>
      <c r="C689" s="1">
        <f>IFERROR(__xludf.DUMMYFUNCTION("""COMPUTED_VALUE"""),182.57)</f>
        <v>182.57</v>
      </c>
      <c r="D689" s="1">
        <f>IFERROR(__xludf.DUMMYFUNCTION("""COMPUTED_VALUE"""),179.53)</f>
        <v>179.53</v>
      </c>
      <c r="E689" s="1">
        <f>IFERROR(__xludf.DUMMYFUNCTION("""COMPUTED_VALUE"""),180.75)</f>
        <v>180.75</v>
      </c>
      <c r="F689" s="1">
        <f>IFERROR(__xludf.DUMMYFUNCTION("""COMPUTED_VALUE"""),1.36682597E8)</f>
        <v>136682597</v>
      </c>
    </row>
    <row r="690">
      <c r="A690" s="2">
        <f>IFERROR(__xludf.DUMMYFUNCTION("""COMPUTED_VALUE"""),45352.66666666667)</f>
        <v>45352.66667</v>
      </c>
      <c r="B690" s="1">
        <f>IFERROR(__xludf.DUMMYFUNCTION("""COMPUTED_VALUE"""),179.55)</f>
        <v>179.55</v>
      </c>
      <c r="C690" s="1">
        <f>IFERROR(__xludf.DUMMYFUNCTION("""COMPUTED_VALUE"""),180.53)</f>
        <v>180.53</v>
      </c>
      <c r="D690" s="1">
        <f>IFERROR(__xludf.DUMMYFUNCTION("""COMPUTED_VALUE"""),177.38)</f>
        <v>177.38</v>
      </c>
      <c r="E690" s="1">
        <f>IFERROR(__xludf.DUMMYFUNCTION("""COMPUTED_VALUE"""),179.66)</f>
        <v>179.66</v>
      </c>
      <c r="F690" s="1">
        <f>IFERROR(__xludf.DUMMYFUNCTION("""COMPUTED_VALUE"""),7.3563082E7)</f>
        <v>73563082</v>
      </c>
    </row>
    <row r="691">
      <c r="A691" s="2">
        <f>IFERROR(__xludf.DUMMYFUNCTION("""COMPUTED_VALUE"""),45355.66666666667)</f>
        <v>45355.66667</v>
      </c>
      <c r="B691" s="1">
        <f>IFERROR(__xludf.DUMMYFUNCTION("""COMPUTED_VALUE"""),176.15)</f>
        <v>176.15</v>
      </c>
      <c r="C691" s="1">
        <f>IFERROR(__xludf.DUMMYFUNCTION("""COMPUTED_VALUE"""),176.9)</f>
        <v>176.9</v>
      </c>
      <c r="D691" s="1">
        <f>IFERROR(__xludf.DUMMYFUNCTION("""COMPUTED_VALUE"""),173.79)</f>
        <v>173.79</v>
      </c>
      <c r="E691" s="1">
        <f>IFERROR(__xludf.DUMMYFUNCTION("""COMPUTED_VALUE"""),175.1)</f>
        <v>175.1</v>
      </c>
      <c r="F691" s="1">
        <f>IFERROR(__xludf.DUMMYFUNCTION("""COMPUTED_VALUE"""),8.1510101E7)</f>
        <v>81510101</v>
      </c>
    </row>
    <row r="692">
      <c r="A692" s="2">
        <f>IFERROR(__xludf.DUMMYFUNCTION("""COMPUTED_VALUE"""),45356.66666666667)</f>
        <v>45356.66667</v>
      </c>
      <c r="B692" s="1">
        <f>IFERROR(__xludf.DUMMYFUNCTION("""COMPUTED_VALUE"""),170.76)</f>
        <v>170.76</v>
      </c>
      <c r="C692" s="1">
        <f>IFERROR(__xludf.DUMMYFUNCTION("""COMPUTED_VALUE"""),172.04)</f>
        <v>172.04</v>
      </c>
      <c r="D692" s="1">
        <f>IFERROR(__xludf.DUMMYFUNCTION("""COMPUTED_VALUE"""),169.62)</f>
        <v>169.62</v>
      </c>
      <c r="E692" s="1">
        <f>IFERROR(__xludf.DUMMYFUNCTION("""COMPUTED_VALUE"""),170.12)</f>
        <v>170.12</v>
      </c>
      <c r="F692" s="1">
        <f>IFERROR(__xludf.DUMMYFUNCTION("""COMPUTED_VALUE"""),9.5132355E7)</f>
        <v>95132355</v>
      </c>
    </row>
    <row r="693">
      <c r="A693" s="2">
        <f>IFERROR(__xludf.DUMMYFUNCTION("""COMPUTED_VALUE"""),45357.66666666667)</f>
        <v>45357.66667</v>
      </c>
      <c r="B693" s="1">
        <f>IFERROR(__xludf.DUMMYFUNCTION("""COMPUTED_VALUE"""),171.06)</f>
        <v>171.06</v>
      </c>
      <c r="C693" s="1">
        <f>IFERROR(__xludf.DUMMYFUNCTION("""COMPUTED_VALUE"""),171.24)</f>
        <v>171.24</v>
      </c>
      <c r="D693" s="1">
        <f>IFERROR(__xludf.DUMMYFUNCTION("""COMPUTED_VALUE"""),168.68)</f>
        <v>168.68</v>
      </c>
      <c r="E693" s="1">
        <f>IFERROR(__xludf.DUMMYFUNCTION("""COMPUTED_VALUE"""),169.12)</f>
        <v>169.12</v>
      </c>
      <c r="F693" s="1">
        <f>IFERROR(__xludf.DUMMYFUNCTION("""COMPUTED_VALUE"""),6.8587707E7)</f>
        <v>68587707</v>
      </c>
    </row>
    <row r="694">
      <c r="A694" s="2">
        <f>IFERROR(__xludf.DUMMYFUNCTION("""COMPUTED_VALUE"""),45358.66666666667)</f>
        <v>45358.66667</v>
      </c>
      <c r="B694" s="1">
        <f>IFERROR(__xludf.DUMMYFUNCTION("""COMPUTED_VALUE"""),169.15)</f>
        <v>169.15</v>
      </c>
      <c r="C694" s="1">
        <f>IFERROR(__xludf.DUMMYFUNCTION("""COMPUTED_VALUE"""),170.73)</f>
        <v>170.73</v>
      </c>
      <c r="D694" s="1">
        <f>IFERROR(__xludf.DUMMYFUNCTION("""COMPUTED_VALUE"""),168.49)</f>
        <v>168.49</v>
      </c>
      <c r="E694" s="1">
        <f>IFERROR(__xludf.DUMMYFUNCTION("""COMPUTED_VALUE"""),169.0)</f>
        <v>169</v>
      </c>
      <c r="F694" s="1">
        <f>IFERROR(__xludf.DUMMYFUNCTION("""COMPUTED_VALUE"""),7.1765061E7)</f>
        <v>71765061</v>
      </c>
    </row>
    <row r="695">
      <c r="A695" s="2">
        <f>IFERROR(__xludf.DUMMYFUNCTION("""COMPUTED_VALUE"""),45359.66666666667)</f>
        <v>45359.66667</v>
      </c>
      <c r="B695" s="1">
        <f>IFERROR(__xludf.DUMMYFUNCTION("""COMPUTED_VALUE"""),169.0)</f>
        <v>169</v>
      </c>
      <c r="C695" s="1">
        <f>IFERROR(__xludf.DUMMYFUNCTION("""COMPUTED_VALUE"""),173.7)</f>
        <v>173.7</v>
      </c>
      <c r="D695" s="1">
        <f>IFERROR(__xludf.DUMMYFUNCTION("""COMPUTED_VALUE"""),168.94)</f>
        <v>168.94</v>
      </c>
      <c r="E695" s="1">
        <f>IFERROR(__xludf.DUMMYFUNCTION("""COMPUTED_VALUE"""),170.73)</f>
        <v>170.73</v>
      </c>
      <c r="F695" s="1">
        <f>IFERROR(__xludf.DUMMYFUNCTION("""COMPUTED_VALUE"""),7.6267041E7)</f>
        <v>76267041</v>
      </c>
    </row>
    <row r="696">
      <c r="A696" s="2">
        <f>IFERROR(__xludf.DUMMYFUNCTION("""COMPUTED_VALUE"""),45362.66666666667)</f>
        <v>45362.66667</v>
      </c>
      <c r="B696" s="1">
        <f>IFERROR(__xludf.DUMMYFUNCTION("""COMPUTED_VALUE"""),172.94)</f>
        <v>172.94</v>
      </c>
      <c r="C696" s="1">
        <f>IFERROR(__xludf.DUMMYFUNCTION("""COMPUTED_VALUE"""),174.38)</f>
        <v>174.38</v>
      </c>
      <c r="D696" s="1">
        <f>IFERROR(__xludf.DUMMYFUNCTION("""COMPUTED_VALUE"""),172.05)</f>
        <v>172.05</v>
      </c>
      <c r="E696" s="1">
        <f>IFERROR(__xludf.DUMMYFUNCTION("""COMPUTED_VALUE"""),172.75)</f>
        <v>172.75</v>
      </c>
      <c r="F696" s="1">
        <f>IFERROR(__xludf.DUMMYFUNCTION("""COMPUTED_VALUE"""),6.0139473E7)</f>
        <v>60139473</v>
      </c>
    </row>
    <row r="697">
      <c r="A697" s="2">
        <f>IFERROR(__xludf.DUMMYFUNCTION("""COMPUTED_VALUE"""),45363.66666666667)</f>
        <v>45363.66667</v>
      </c>
      <c r="B697" s="1">
        <f>IFERROR(__xludf.DUMMYFUNCTION("""COMPUTED_VALUE"""),173.15)</f>
        <v>173.15</v>
      </c>
      <c r="C697" s="1">
        <f>IFERROR(__xludf.DUMMYFUNCTION("""COMPUTED_VALUE"""),174.03)</f>
        <v>174.03</v>
      </c>
      <c r="D697" s="1">
        <f>IFERROR(__xludf.DUMMYFUNCTION("""COMPUTED_VALUE"""),171.01)</f>
        <v>171.01</v>
      </c>
      <c r="E697" s="1">
        <f>IFERROR(__xludf.DUMMYFUNCTION("""COMPUTED_VALUE"""),173.23)</f>
        <v>173.23</v>
      </c>
      <c r="F697" s="1">
        <f>IFERROR(__xludf.DUMMYFUNCTION("""COMPUTED_VALUE"""),5.9825372E7)</f>
        <v>59825372</v>
      </c>
    </row>
    <row r="698">
      <c r="A698" s="2">
        <f>IFERROR(__xludf.DUMMYFUNCTION("""COMPUTED_VALUE"""),45364.66666666667)</f>
        <v>45364.66667</v>
      </c>
      <c r="B698" s="1">
        <f>IFERROR(__xludf.DUMMYFUNCTION("""COMPUTED_VALUE"""),172.77)</f>
        <v>172.77</v>
      </c>
      <c r="C698" s="1">
        <f>IFERROR(__xludf.DUMMYFUNCTION("""COMPUTED_VALUE"""),173.19)</f>
        <v>173.19</v>
      </c>
      <c r="D698" s="1">
        <f>IFERROR(__xludf.DUMMYFUNCTION("""COMPUTED_VALUE"""),170.76)</f>
        <v>170.76</v>
      </c>
      <c r="E698" s="1">
        <f>IFERROR(__xludf.DUMMYFUNCTION("""COMPUTED_VALUE"""),171.13)</f>
        <v>171.13</v>
      </c>
      <c r="F698" s="1">
        <f>IFERROR(__xludf.DUMMYFUNCTION("""COMPUTED_VALUE"""),5.2488692E7)</f>
        <v>52488692</v>
      </c>
    </row>
    <row r="699">
      <c r="A699" s="2">
        <f>IFERROR(__xludf.DUMMYFUNCTION("""COMPUTED_VALUE"""),45365.66666666667)</f>
        <v>45365.66667</v>
      </c>
      <c r="B699" s="1">
        <f>IFERROR(__xludf.DUMMYFUNCTION("""COMPUTED_VALUE"""),172.91)</f>
        <v>172.91</v>
      </c>
      <c r="C699" s="1">
        <f>IFERROR(__xludf.DUMMYFUNCTION("""COMPUTED_VALUE"""),174.31)</f>
        <v>174.31</v>
      </c>
      <c r="D699" s="1">
        <f>IFERROR(__xludf.DUMMYFUNCTION("""COMPUTED_VALUE"""),172.05)</f>
        <v>172.05</v>
      </c>
      <c r="E699" s="1">
        <f>IFERROR(__xludf.DUMMYFUNCTION("""COMPUTED_VALUE"""),173.0)</f>
        <v>173</v>
      </c>
      <c r="F699" s="1">
        <f>IFERROR(__xludf.DUMMYFUNCTION("""COMPUTED_VALUE"""),7.2913507E7)</f>
        <v>72913507</v>
      </c>
    </row>
    <row r="700">
      <c r="A700" s="2">
        <f>IFERROR(__xludf.DUMMYFUNCTION("""COMPUTED_VALUE"""),45366.66666666667)</f>
        <v>45366.66667</v>
      </c>
      <c r="B700" s="1">
        <f>IFERROR(__xludf.DUMMYFUNCTION("""COMPUTED_VALUE"""),171.17)</f>
        <v>171.17</v>
      </c>
      <c r="C700" s="1">
        <f>IFERROR(__xludf.DUMMYFUNCTION("""COMPUTED_VALUE"""),172.62)</f>
        <v>172.62</v>
      </c>
      <c r="D700" s="1">
        <f>IFERROR(__xludf.DUMMYFUNCTION("""COMPUTED_VALUE"""),170.29)</f>
        <v>170.29</v>
      </c>
      <c r="E700" s="1">
        <f>IFERROR(__xludf.DUMMYFUNCTION("""COMPUTED_VALUE"""),172.62)</f>
        <v>172.62</v>
      </c>
      <c r="F700" s="1">
        <f>IFERROR(__xludf.DUMMYFUNCTION("""COMPUTED_VALUE"""),1.21752699E8)</f>
        <v>121752699</v>
      </c>
    </row>
    <row r="701">
      <c r="A701" s="2">
        <f>IFERROR(__xludf.DUMMYFUNCTION("""COMPUTED_VALUE"""),45369.66666666667)</f>
        <v>45369.66667</v>
      </c>
      <c r="B701" s="1">
        <f>IFERROR(__xludf.DUMMYFUNCTION("""COMPUTED_VALUE"""),175.57)</f>
        <v>175.57</v>
      </c>
      <c r="C701" s="1">
        <f>IFERROR(__xludf.DUMMYFUNCTION("""COMPUTED_VALUE"""),177.71)</f>
        <v>177.71</v>
      </c>
      <c r="D701" s="1">
        <f>IFERROR(__xludf.DUMMYFUNCTION("""COMPUTED_VALUE"""),173.52)</f>
        <v>173.52</v>
      </c>
      <c r="E701" s="1">
        <f>IFERROR(__xludf.DUMMYFUNCTION("""COMPUTED_VALUE"""),173.72)</f>
        <v>173.72</v>
      </c>
      <c r="F701" s="1">
        <f>IFERROR(__xludf.DUMMYFUNCTION("""COMPUTED_VALUE"""),7.5604184E7)</f>
        <v>75604184</v>
      </c>
    </row>
    <row r="702">
      <c r="A702" s="2">
        <f>IFERROR(__xludf.DUMMYFUNCTION("""COMPUTED_VALUE"""),45370.66666666667)</f>
        <v>45370.66667</v>
      </c>
      <c r="B702" s="1">
        <f>IFERROR(__xludf.DUMMYFUNCTION("""COMPUTED_VALUE"""),174.34)</f>
        <v>174.34</v>
      </c>
      <c r="C702" s="1">
        <f>IFERROR(__xludf.DUMMYFUNCTION("""COMPUTED_VALUE"""),176.61)</f>
        <v>176.61</v>
      </c>
      <c r="D702" s="1">
        <f>IFERROR(__xludf.DUMMYFUNCTION("""COMPUTED_VALUE"""),173.03)</f>
        <v>173.03</v>
      </c>
      <c r="E702" s="1">
        <f>IFERROR(__xludf.DUMMYFUNCTION("""COMPUTED_VALUE"""),176.08)</f>
        <v>176.08</v>
      </c>
      <c r="F702" s="1">
        <f>IFERROR(__xludf.DUMMYFUNCTION("""COMPUTED_VALUE"""),5.5215244E7)</f>
        <v>55215244</v>
      </c>
    </row>
    <row r="703">
      <c r="A703" s="2">
        <f>IFERROR(__xludf.DUMMYFUNCTION("""COMPUTED_VALUE"""),45371.66666666667)</f>
        <v>45371.66667</v>
      </c>
      <c r="B703" s="1">
        <f>IFERROR(__xludf.DUMMYFUNCTION("""COMPUTED_VALUE"""),175.72)</f>
        <v>175.72</v>
      </c>
      <c r="C703" s="1">
        <f>IFERROR(__xludf.DUMMYFUNCTION("""COMPUTED_VALUE"""),178.67)</f>
        <v>178.67</v>
      </c>
      <c r="D703" s="1">
        <f>IFERROR(__xludf.DUMMYFUNCTION("""COMPUTED_VALUE"""),175.09)</f>
        <v>175.09</v>
      </c>
      <c r="E703" s="1">
        <f>IFERROR(__xludf.DUMMYFUNCTION("""COMPUTED_VALUE"""),178.67)</f>
        <v>178.67</v>
      </c>
      <c r="F703" s="1">
        <f>IFERROR(__xludf.DUMMYFUNCTION("""COMPUTED_VALUE"""),5.3423102E7)</f>
        <v>53423102</v>
      </c>
    </row>
    <row r="704">
      <c r="A704" s="2">
        <f>IFERROR(__xludf.DUMMYFUNCTION("""COMPUTED_VALUE"""),45372.66666666667)</f>
        <v>45372.66667</v>
      </c>
      <c r="B704" s="1">
        <f>IFERROR(__xludf.DUMMYFUNCTION("""COMPUTED_VALUE"""),177.05)</f>
        <v>177.05</v>
      </c>
      <c r="C704" s="1">
        <f>IFERROR(__xludf.DUMMYFUNCTION("""COMPUTED_VALUE"""),177.49)</f>
        <v>177.49</v>
      </c>
      <c r="D704" s="1">
        <f>IFERROR(__xludf.DUMMYFUNCTION("""COMPUTED_VALUE"""),170.84)</f>
        <v>170.84</v>
      </c>
      <c r="E704" s="1">
        <f>IFERROR(__xludf.DUMMYFUNCTION("""COMPUTED_VALUE"""),171.37)</f>
        <v>171.37</v>
      </c>
      <c r="F704" s="1">
        <f>IFERROR(__xludf.DUMMYFUNCTION("""COMPUTED_VALUE"""),1.0618127E8)</f>
        <v>106181270</v>
      </c>
    </row>
    <row r="705">
      <c r="A705" s="2">
        <f>IFERROR(__xludf.DUMMYFUNCTION("""COMPUTED_VALUE"""),45373.66666666667)</f>
        <v>45373.66667</v>
      </c>
      <c r="B705" s="1">
        <f>IFERROR(__xludf.DUMMYFUNCTION("""COMPUTED_VALUE"""),171.76)</f>
        <v>171.76</v>
      </c>
      <c r="C705" s="1">
        <f>IFERROR(__xludf.DUMMYFUNCTION("""COMPUTED_VALUE"""),173.05)</f>
        <v>173.05</v>
      </c>
      <c r="D705" s="1">
        <f>IFERROR(__xludf.DUMMYFUNCTION("""COMPUTED_VALUE"""),170.06)</f>
        <v>170.06</v>
      </c>
      <c r="E705" s="1">
        <f>IFERROR(__xludf.DUMMYFUNCTION("""COMPUTED_VALUE"""),172.28)</f>
        <v>172.28</v>
      </c>
      <c r="F705" s="1">
        <f>IFERROR(__xludf.DUMMYFUNCTION("""COMPUTED_VALUE"""),7.1160138E7)</f>
        <v>71160138</v>
      </c>
    </row>
    <row r="706">
      <c r="A706" s="2">
        <f>IFERROR(__xludf.DUMMYFUNCTION("""COMPUTED_VALUE"""),45376.66666666667)</f>
        <v>45376.66667</v>
      </c>
      <c r="B706" s="1">
        <f>IFERROR(__xludf.DUMMYFUNCTION("""COMPUTED_VALUE"""),170.57)</f>
        <v>170.57</v>
      </c>
      <c r="C706" s="1">
        <f>IFERROR(__xludf.DUMMYFUNCTION("""COMPUTED_VALUE"""),171.94)</f>
        <v>171.94</v>
      </c>
      <c r="D706" s="1">
        <f>IFERROR(__xludf.DUMMYFUNCTION("""COMPUTED_VALUE"""),169.45)</f>
        <v>169.45</v>
      </c>
      <c r="E706" s="1">
        <f>IFERROR(__xludf.DUMMYFUNCTION("""COMPUTED_VALUE"""),170.85)</f>
        <v>170.85</v>
      </c>
      <c r="F706" s="1">
        <f>IFERROR(__xludf.DUMMYFUNCTION("""COMPUTED_VALUE"""),5.4288328E7)</f>
        <v>54288328</v>
      </c>
    </row>
    <row r="707">
      <c r="A707" s="2">
        <f>IFERROR(__xludf.DUMMYFUNCTION("""COMPUTED_VALUE"""),45377.66666666667)</f>
        <v>45377.66667</v>
      </c>
      <c r="B707" s="1">
        <f>IFERROR(__xludf.DUMMYFUNCTION("""COMPUTED_VALUE"""),170.0)</f>
        <v>170</v>
      </c>
      <c r="C707" s="1">
        <f>IFERROR(__xludf.DUMMYFUNCTION("""COMPUTED_VALUE"""),171.42)</f>
        <v>171.42</v>
      </c>
      <c r="D707" s="1">
        <f>IFERROR(__xludf.DUMMYFUNCTION("""COMPUTED_VALUE"""),169.58)</f>
        <v>169.58</v>
      </c>
      <c r="E707" s="1">
        <f>IFERROR(__xludf.DUMMYFUNCTION("""COMPUTED_VALUE"""),169.71)</f>
        <v>169.71</v>
      </c>
      <c r="F707" s="1">
        <f>IFERROR(__xludf.DUMMYFUNCTION("""COMPUTED_VALUE"""),5.7388449E7)</f>
        <v>57388449</v>
      </c>
    </row>
    <row r="708">
      <c r="A708" s="2">
        <f>IFERROR(__xludf.DUMMYFUNCTION("""COMPUTED_VALUE"""),45378.66666666667)</f>
        <v>45378.66667</v>
      </c>
      <c r="B708" s="1">
        <f>IFERROR(__xludf.DUMMYFUNCTION("""COMPUTED_VALUE"""),170.41)</f>
        <v>170.41</v>
      </c>
      <c r="C708" s="1">
        <f>IFERROR(__xludf.DUMMYFUNCTION("""COMPUTED_VALUE"""),173.6)</f>
        <v>173.6</v>
      </c>
      <c r="D708" s="1">
        <f>IFERROR(__xludf.DUMMYFUNCTION("""COMPUTED_VALUE"""),170.11)</f>
        <v>170.11</v>
      </c>
      <c r="E708" s="1">
        <f>IFERROR(__xludf.DUMMYFUNCTION("""COMPUTED_VALUE"""),173.31)</f>
        <v>173.31</v>
      </c>
      <c r="F708" s="1">
        <f>IFERROR(__xludf.DUMMYFUNCTION("""COMPUTED_VALUE"""),6.0273265E7)</f>
        <v>60273265</v>
      </c>
    </row>
    <row r="709">
      <c r="A709" s="2">
        <f>IFERROR(__xludf.DUMMYFUNCTION("""COMPUTED_VALUE"""),45379.66666666667)</f>
        <v>45379.66667</v>
      </c>
      <c r="B709" s="1">
        <f>IFERROR(__xludf.DUMMYFUNCTION("""COMPUTED_VALUE"""),171.75)</f>
        <v>171.75</v>
      </c>
      <c r="C709" s="1">
        <f>IFERROR(__xludf.DUMMYFUNCTION("""COMPUTED_VALUE"""),172.23)</f>
        <v>172.23</v>
      </c>
      <c r="D709" s="1">
        <f>IFERROR(__xludf.DUMMYFUNCTION("""COMPUTED_VALUE"""),170.51)</f>
        <v>170.51</v>
      </c>
      <c r="E709" s="1">
        <f>IFERROR(__xludf.DUMMYFUNCTION("""COMPUTED_VALUE"""),171.48)</f>
        <v>171.48</v>
      </c>
      <c r="F709" s="1">
        <f>IFERROR(__xludf.DUMMYFUNCTION("""COMPUTED_VALUE"""),6.567269E7)</f>
        <v>65672690</v>
      </c>
    </row>
    <row r="710">
      <c r="A710" s="2">
        <f>IFERROR(__xludf.DUMMYFUNCTION("""COMPUTED_VALUE"""),45383.66666666667)</f>
        <v>45383.66667</v>
      </c>
      <c r="B710" s="1">
        <f>IFERROR(__xludf.DUMMYFUNCTION("""COMPUTED_VALUE"""),171.19)</f>
        <v>171.19</v>
      </c>
      <c r="C710" s="1">
        <f>IFERROR(__xludf.DUMMYFUNCTION("""COMPUTED_VALUE"""),171.25)</f>
        <v>171.25</v>
      </c>
      <c r="D710" s="1">
        <f>IFERROR(__xludf.DUMMYFUNCTION("""COMPUTED_VALUE"""),169.48)</f>
        <v>169.48</v>
      </c>
      <c r="E710" s="1">
        <f>IFERROR(__xludf.DUMMYFUNCTION("""COMPUTED_VALUE"""),170.03)</f>
        <v>170.03</v>
      </c>
      <c r="F710" s="1">
        <f>IFERROR(__xludf.DUMMYFUNCTION("""COMPUTED_VALUE"""),4.62405E7)</f>
        <v>46240500</v>
      </c>
    </row>
    <row r="711">
      <c r="A711" s="2">
        <f>IFERROR(__xludf.DUMMYFUNCTION("""COMPUTED_VALUE"""),45384.66666666667)</f>
        <v>45384.66667</v>
      </c>
      <c r="B711" s="1">
        <f>IFERROR(__xludf.DUMMYFUNCTION("""COMPUTED_VALUE"""),169.08)</f>
        <v>169.08</v>
      </c>
      <c r="C711" s="1">
        <f>IFERROR(__xludf.DUMMYFUNCTION("""COMPUTED_VALUE"""),169.34)</f>
        <v>169.34</v>
      </c>
      <c r="D711" s="1">
        <f>IFERROR(__xludf.DUMMYFUNCTION("""COMPUTED_VALUE"""),168.23)</f>
        <v>168.23</v>
      </c>
      <c r="E711" s="1">
        <f>IFERROR(__xludf.DUMMYFUNCTION("""COMPUTED_VALUE"""),168.84)</f>
        <v>168.84</v>
      </c>
      <c r="F711" s="1">
        <f>IFERROR(__xludf.DUMMYFUNCTION("""COMPUTED_VALUE"""),4.9329481E7)</f>
        <v>49329481</v>
      </c>
    </row>
    <row r="712">
      <c r="A712" s="2">
        <f>IFERROR(__xludf.DUMMYFUNCTION("""COMPUTED_VALUE"""),45385.66666666667)</f>
        <v>45385.66667</v>
      </c>
      <c r="B712" s="1">
        <f>IFERROR(__xludf.DUMMYFUNCTION("""COMPUTED_VALUE"""),168.79)</f>
        <v>168.79</v>
      </c>
      <c r="C712" s="1">
        <f>IFERROR(__xludf.DUMMYFUNCTION("""COMPUTED_VALUE"""),170.68)</f>
        <v>170.68</v>
      </c>
      <c r="D712" s="1">
        <f>IFERROR(__xludf.DUMMYFUNCTION("""COMPUTED_VALUE"""),168.58)</f>
        <v>168.58</v>
      </c>
      <c r="E712" s="1">
        <f>IFERROR(__xludf.DUMMYFUNCTION("""COMPUTED_VALUE"""),169.65)</f>
        <v>169.65</v>
      </c>
      <c r="F712" s="1">
        <f>IFERROR(__xludf.DUMMYFUNCTION("""COMPUTED_VALUE"""),4.7691715E7)</f>
        <v>47691715</v>
      </c>
    </row>
    <row r="713">
      <c r="A713" s="2">
        <f>IFERROR(__xludf.DUMMYFUNCTION("""COMPUTED_VALUE"""),45386.66666666667)</f>
        <v>45386.66667</v>
      </c>
      <c r="B713" s="1">
        <f>IFERROR(__xludf.DUMMYFUNCTION("""COMPUTED_VALUE"""),170.29)</f>
        <v>170.29</v>
      </c>
      <c r="C713" s="1">
        <f>IFERROR(__xludf.DUMMYFUNCTION("""COMPUTED_VALUE"""),171.92)</f>
        <v>171.92</v>
      </c>
      <c r="D713" s="1">
        <f>IFERROR(__xludf.DUMMYFUNCTION("""COMPUTED_VALUE"""),168.82)</f>
        <v>168.82</v>
      </c>
      <c r="E713" s="1">
        <f>IFERROR(__xludf.DUMMYFUNCTION("""COMPUTED_VALUE"""),168.82)</f>
        <v>168.82</v>
      </c>
      <c r="F713" s="1">
        <f>IFERROR(__xludf.DUMMYFUNCTION("""COMPUTED_VALUE"""),5.3704386E7)</f>
        <v>53704386</v>
      </c>
    </row>
    <row r="714">
      <c r="A714" s="2">
        <f>IFERROR(__xludf.DUMMYFUNCTION("""COMPUTED_VALUE"""),45387.66666666667)</f>
        <v>45387.66667</v>
      </c>
      <c r="B714" s="1">
        <f>IFERROR(__xludf.DUMMYFUNCTION("""COMPUTED_VALUE"""),169.59)</f>
        <v>169.59</v>
      </c>
      <c r="C714" s="1">
        <f>IFERROR(__xludf.DUMMYFUNCTION("""COMPUTED_VALUE"""),170.39)</f>
        <v>170.39</v>
      </c>
      <c r="D714" s="1">
        <f>IFERROR(__xludf.DUMMYFUNCTION("""COMPUTED_VALUE"""),168.95)</f>
        <v>168.95</v>
      </c>
      <c r="E714" s="1">
        <f>IFERROR(__xludf.DUMMYFUNCTION("""COMPUTED_VALUE"""),169.58)</f>
        <v>169.58</v>
      </c>
      <c r="F714" s="1">
        <f>IFERROR(__xludf.DUMMYFUNCTION("""COMPUTED_VALUE"""),4.2104826E7)</f>
        <v>42104826</v>
      </c>
    </row>
    <row r="715">
      <c r="A715" s="2">
        <f>IFERROR(__xludf.DUMMYFUNCTION("""COMPUTED_VALUE"""),45390.66666666667)</f>
        <v>45390.66667</v>
      </c>
      <c r="B715" s="1">
        <f>IFERROR(__xludf.DUMMYFUNCTION("""COMPUTED_VALUE"""),169.03)</f>
        <v>169.03</v>
      </c>
      <c r="C715" s="1">
        <f>IFERROR(__xludf.DUMMYFUNCTION("""COMPUTED_VALUE"""),169.2)</f>
        <v>169.2</v>
      </c>
      <c r="D715" s="1">
        <f>IFERROR(__xludf.DUMMYFUNCTION("""COMPUTED_VALUE"""),168.24)</f>
        <v>168.24</v>
      </c>
      <c r="E715" s="1">
        <f>IFERROR(__xludf.DUMMYFUNCTION("""COMPUTED_VALUE"""),168.45)</f>
        <v>168.45</v>
      </c>
      <c r="F715" s="1">
        <f>IFERROR(__xludf.DUMMYFUNCTION("""COMPUTED_VALUE"""),3.7425513E7)</f>
        <v>37425513</v>
      </c>
    </row>
    <row r="716">
      <c r="A716" s="2">
        <f>IFERROR(__xludf.DUMMYFUNCTION("""COMPUTED_VALUE"""),45391.66666666667)</f>
        <v>45391.66667</v>
      </c>
      <c r="B716" s="1">
        <f>IFERROR(__xludf.DUMMYFUNCTION("""COMPUTED_VALUE"""),168.7)</f>
        <v>168.7</v>
      </c>
      <c r="C716" s="1">
        <f>IFERROR(__xludf.DUMMYFUNCTION("""COMPUTED_VALUE"""),170.08)</f>
        <v>170.08</v>
      </c>
      <c r="D716" s="1">
        <f>IFERROR(__xludf.DUMMYFUNCTION("""COMPUTED_VALUE"""),168.35)</f>
        <v>168.35</v>
      </c>
      <c r="E716" s="1">
        <f>IFERROR(__xludf.DUMMYFUNCTION("""COMPUTED_VALUE"""),169.67)</f>
        <v>169.67</v>
      </c>
      <c r="F716" s="1">
        <f>IFERROR(__xludf.DUMMYFUNCTION("""COMPUTED_VALUE"""),4.2451209E7)</f>
        <v>42451209</v>
      </c>
    </row>
    <row r="717">
      <c r="A717" s="2">
        <f>IFERROR(__xludf.DUMMYFUNCTION("""COMPUTED_VALUE"""),45392.66666666667)</f>
        <v>45392.66667</v>
      </c>
      <c r="B717" s="1">
        <f>IFERROR(__xludf.DUMMYFUNCTION("""COMPUTED_VALUE"""),168.8)</f>
        <v>168.8</v>
      </c>
      <c r="C717" s="1">
        <f>IFERROR(__xludf.DUMMYFUNCTION("""COMPUTED_VALUE"""),169.09)</f>
        <v>169.09</v>
      </c>
      <c r="D717" s="1">
        <f>IFERROR(__xludf.DUMMYFUNCTION("""COMPUTED_VALUE"""),167.11)</f>
        <v>167.11</v>
      </c>
      <c r="E717" s="1">
        <f>IFERROR(__xludf.DUMMYFUNCTION("""COMPUTED_VALUE"""),167.78)</f>
        <v>167.78</v>
      </c>
      <c r="F717" s="1">
        <f>IFERROR(__xludf.DUMMYFUNCTION("""COMPUTED_VALUE"""),4.9709336E7)</f>
        <v>49709336</v>
      </c>
    </row>
    <row r="718">
      <c r="A718" s="2">
        <f>IFERROR(__xludf.DUMMYFUNCTION("""COMPUTED_VALUE"""),45393.66666666667)</f>
        <v>45393.66667</v>
      </c>
      <c r="B718" s="1">
        <f>IFERROR(__xludf.DUMMYFUNCTION("""COMPUTED_VALUE"""),168.34)</f>
        <v>168.34</v>
      </c>
      <c r="C718" s="1">
        <f>IFERROR(__xludf.DUMMYFUNCTION("""COMPUTED_VALUE"""),175.46)</f>
        <v>175.46</v>
      </c>
      <c r="D718" s="1">
        <f>IFERROR(__xludf.DUMMYFUNCTION("""COMPUTED_VALUE"""),168.16)</f>
        <v>168.16</v>
      </c>
      <c r="E718" s="1">
        <f>IFERROR(__xludf.DUMMYFUNCTION("""COMPUTED_VALUE"""),175.04)</f>
        <v>175.04</v>
      </c>
      <c r="F718" s="1">
        <f>IFERROR(__xludf.DUMMYFUNCTION("""COMPUTED_VALUE"""),9.1070275E7)</f>
        <v>91070275</v>
      </c>
    </row>
    <row r="719">
      <c r="A719" s="2">
        <f>IFERROR(__xludf.DUMMYFUNCTION("""COMPUTED_VALUE"""),45394.66666666667)</f>
        <v>45394.66667</v>
      </c>
      <c r="B719" s="1">
        <f>IFERROR(__xludf.DUMMYFUNCTION("""COMPUTED_VALUE"""),174.26)</f>
        <v>174.26</v>
      </c>
      <c r="C719" s="1">
        <f>IFERROR(__xludf.DUMMYFUNCTION("""COMPUTED_VALUE"""),178.36)</f>
        <v>178.36</v>
      </c>
      <c r="D719" s="1">
        <f>IFERROR(__xludf.DUMMYFUNCTION("""COMPUTED_VALUE"""),174.21)</f>
        <v>174.21</v>
      </c>
      <c r="E719" s="1">
        <f>IFERROR(__xludf.DUMMYFUNCTION("""COMPUTED_VALUE"""),176.55)</f>
        <v>176.55</v>
      </c>
      <c r="F719" s="1">
        <f>IFERROR(__xludf.DUMMYFUNCTION("""COMPUTED_VALUE"""),1.01670886E8)</f>
        <v>101670886</v>
      </c>
    </row>
    <row r="720">
      <c r="A720" s="2">
        <f>IFERROR(__xludf.DUMMYFUNCTION("""COMPUTED_VALUE"""),45397.66666666667)</f>
        <v>45397.66667</v>
      </c>
      <c r="B720" s="1">
        <f>IFERROR(__xludf.DUMMYFUNCTION("""COMPUTED_VALUE"""),175.36)</f>
        <v>175.36</v>
      </c>
      <c r="C720" s="1">
        <f>IFERROR(__xludf.DUMMYFUNCTION("""COMPUTED_VALUE"""),176.63)</f>
        <v>176.63</v>
      </c>
      <c r="D720" s="1">
        <f>IFERROR(__xludf.DUMMYFUNCTION("""COMPUTED_VALUE"""),172.5)</f>
        <v>172.5</v>
      </c>
      <c r="E720" s="1">
        <f>IFERROR(__xludf.DUMMYFUNCTION("""COMPUTED_VALUE"""),172.69)</f>
        <v>172.69</v>
      </c>
      <c r="F720" s="1">
        <f>IFERROR(__xludf.DUMMYFUNCTION("""COMPUTED_VALUE"""),7.3531773E7)</f>
        <v>73531773</v>
      </c>
    </row>
    <row r="721">
      <c r="A721" s="2">
        <f>IFERROR(__xludf.DUMMYFUNCTION("""COMPUTED_VALUE"""),45398.66666666667)</f>
        <v>45398.66667</v>
      </c>
      <c r="B721" s="1">
        <f>IFERROR(__xludf.DUMMYFUNCTION("""COMPUTED_VALUE"""),171.75)</f>
        <v>171.75</v>
      </c>
      <c r="C721" s="1">
        <f>IFERROR(__xludf.DUMMYFUNCTION("""COMPUTED_VALUE"""),173.76)</f>
        <v>173.76</v>
      </c>
      <c r="D721" s="1">
        <f>IFERROR(__xludf.DUMMYFUNCTION("""COMPUTED_VALUE"""),168.27)</f>
        <v>168.27</v>
      </c>
      <c r="E721" s="1">
        <f>IFERROR(__xludf.DUMMYFUNCTION("""COMPUTED_VALUE"""),169.38)</f>
        <v>169.38</v>
      </c>
      <c r="F721" s="1">
        <f>IFERROR(__xludf.DUMMYFUNCTION("""COMPUTED_VALUE"""),7.3711235E7)</f>
        <v>73711235</v>
      </c>
    </row>
    <row r="722">
      <c r="A722" s="2">
        <f>IFERROR(__xludf.DUMMYFUNCTION("""COMPUTED_VALUE"""),45399.66666666667)</f>
        <v>45399.66667</v>
      </c>
      <c r="B722" s="1">
        <f>IFERROR(__xludf.DUMMYFUNCTION("""COMPUTED_VALUE"""),169.61)</f>
        <v>169.61</v>
      </c>
      <c r="C722" s="1">
        <f>IFERROR(__xludf.DUMMYFUNCTION("""COMPUTED_VALUE"""),170.65)</f>
        <v>170.65</v>
      </c>
      <c r="D722" s="1">
        <f>IFERROR(__xludf.DUMMYFUNCTION("""COMPUTED_VALUE"""),168.0)</f>
        <v>168</v>
      </c>
      <c r="E722" s="1">
        <f>IFERROR(__xludf.DUMMYFUNCTION("""COMPUTED_VALUE"""),168.0)</f>
        <v>168</v>
      </c>
      <c r="F722" s="1">
        <f>IFERROR(__xludf.DUMMYFUNCTION("""COMPUTED_VALUE"""),5.090121E7)</f>
        <v>50901210</v>
      </c>
    </row>
    <row r="723">
      <c r="A723" s="2">
        <f>IFERROR(__xludf.DUMMYFUNCTION("""COMPUTED_VALUE"""),45400.66666666667)</f>
        <v>45400.66667</v>
      </c>
      <c r="B723" s="1">
        <f>IFERROR(__xludf.DUMMYFUNCTION("""COMPUTED_VALUE"""),168.03)</f>
        <v>168.03</v>
      </c>
      <c r="C723" s="1">
        <f>IFERROR(__xludf.DUMMYFUNCTION("""COMPUTED_VALUE"""),168.64)</f>
        <v>168.64</v>
      </c>
      <c r="D723" s="1">
        <f>IFERROR(__xludf.DUMMYFUNCTION("""COMPUTED_VALUE"""),166.55)</f>
        <v>166.55</v>
      </c>
      <c r="E723" s="1">
        <f>IFERROR(__xludf.DUMMYFUNCTION("""COMPUTED_VALUE"""),167.04)</f>
        <v>167.04</v>
      </c>
      <c r="F723" s="1">
        <f>IFERROR(__xludf.DUMMYFUNCTION("""COMPUTED_VALUE"""),4.3122903E7)</f>
        <v>43122903</v>
      </c>
    </row>
    <row r="724">
      <c r="A724" s="2">
        <f>IFERROR(__xludf.DUMMYFUNCTION("""COMPUTED_VALUE"""),45401.66666666667)</f>
        <v>45401.66667</v>
      </c>
      <c r="B724" s="1">
        <f>IFERROR(__xludf.DUMMYFUNCTION("""COMPUTED_VALUE"""),166.21)</f>
        <v>166.21</v>
      </c>
      <c r="C724" s="1">
        <f>IFERROR(__xludf.DUMMYFUNCTION("""COMPUTED_VALUE"""),166.4)</f>
        <v>166.4</v>
      </c>
      <c r="D724" s="1">
        <f>IFERROR(__xludf.DUMMYFUNCTION("""COMPUTED_VALUE"""),164.08)</f>
        <v>164.08</v>
      </c>
      <c r="E724" s="1">
        <f>IFERROR(__xludf.DUMMYFUNCTION("""COMPUTED_VALUE"""),165.0)</f>
        <v>165</v>
      </c>
      <c r="F724" s="1">
        <f>IFERROR(__xludf.DUMMYFUNCTION("""COMPUTED_VALUE"""),6.8149377E7)</f>
        <v>68149377</v>
      </c>
    </row>
    <row r="725">
      <c r="A725" s="2">
        <f>IFERROR(__xludf.DUMMYFUNCTION("""COMPUTED_VALUE"""),45404.66666666667)</f>
        <v>45404.66667</v>
      </c>
      <c r="B725" s="1">
        <f>IFERROR(__xludf.DUMMYFUNCTION("""COMPUTED_VALUE"""),165.52)</f>
        <v>165.52</v>
      </c>
      <c r="C725" s="1">
        <f>IFERROR(__xludf.DUMMYFUNCTION("""COMPUTED_VALUE"""),167.26)</f>
        <v>167.26</v>
      </c>
      <c r="D725" s="1">
        <f>IFERROR(__xludf.DUMMYFUNCTION("""COMPUTED_VALUE"""),164.77)</f>
        <v>164.77</v>
      </c>
      <c r="E725" s="1">
        <f>IFERROR(__xludf.DUMMYFUNCTION("""COMPUTED_VALUE"""),165.84)</f>
        <v>165.84</v>
      </c>
      <c r="F725" s="1">
        <f>IFERROR(__xludf.DUMMYFUNCTION("""COMPUTED_VALUE"""),4.8116443E7)</f>
        <v>48116443</v>
      </c>
    </row>
    <row r="726">
      <c r="A726" s="2">
        <f>IFERROR(__xludf.DUMMYFUNCTION("""COMPUTED_VALUE"""),45405.66666666667)</f>
        <v>45405.66667</v>
      </c>
      <c r="B726" s="1">
        <f>IFERROR(__xludf.DUMMYFUNCTION("""COMPUTED_VALUE"""),165.35)</f>
        <v>165.35</v>
      </c>
      <c r="C726" s="1">
        <f>IFERROR(__xludf.DUMMYFUNCTION("""COMPUTED_VALUE"""),167.05)</f>
        <v>167.05</v>
      </c>
      <c r="D726" s="1">
        <f>IFERROR(__xludf.DUMMYFUNCTION("""COMPUTED_VALUE"""),164.92)</f>
        <v>164.92</v>
      </c>
      <c r="E726" s="1">
        <f>IFERROR(__xludf.DUMMYFUNCTION("""COMPUTED_VALUE"""),166.9)</f>
        <v>166.9</v>
      </c>
      <c r="F726" s="1">
        <f>IFERROR(__xludf.DUMMYFUNCTION("""COMPUTED_VALUE"""),4.9537761E7)</f>
        <v>49537761</v>
      </c>
    </row>
    <row r="727">
      <c r="A727" s="2">
        <f>IFERROR(__xludf.DUMMYFUNCTION("""COMPUTED_VALUE"""),45406.66666666667)</f>
        <v>45406.66667</v>
      </c>
      <c r="B727" s="1">
        <f>IFERROR(__xludf.DUMMYFUNCTION("""COMPUTED_VALUE"""),166.54)</f>
        <v>166.54</v>
      </c>
      <c r="C727" s="1">
        <f>IFERROR(__xludf.DUMMYFUNCTION("""COMPUTED_VALUE"""),169.3)</f>
        <v>169.3</v>
      </c>
      <c r="D727" s="1">
        <f>IFERROR(__xludf.DUMMYFUNCTION("""COMPUTED_VALUE"""),166.21)</f>
        <v>166.21</v>
      </c>
      <c r="E727" s="1">
        <f>IFERROR(__xludf.DUMMYFUNCTION("""COMPUTED_VALUE"""),169.02)</f>
        <v>169.02</v>
      </c>
      <c r="F727" s="1">
        <f>IFERROR(__xludf.DUMMYFUNCTION("""COMPUTED_VALUE"""),4.8251835E7)</f>
        <v>48251835</v>
      </c>
    </row>
    <row r="728">
      <c r="A728" s="2">
        <f>IFERROR(__xludf.DUMMYFUNCTION("""COMPUTED_VALUE"""),45407.66666666667)</f>
        <v>45407.66667</v>
      </c>
      <c r="B728" s="1">
        <f>IFERROR(__xludf.DUMMYFUNCTION("""COMPUTED_VALUE"""),169.53)</f>
        <v>169.53</v>
      </c>
      <c r="C728" s="1">
        <f>IFERROR(__xludf.DUMMYFUNCTION("""COMPUTED_VALUE"""),170.61)</f>
        <v>170.61</v>
      </c>
      <c r="D728" s="1">
        <f>IFERROR(__xludf.DUMMYFUNCTION("""COMPUTED_VALUE"""),168.15)</f>
        <v>168.15</v>
      </c>
      <c r="E728" s="1">
        <f>IFERROR(__xludf.DUMMYFUNCTION("""COMPUTED_VALUE"""),169.89)</f>
        <v>169.89</v>
      </c>
      <c r="F728" s="1">
        <f>IFERROR(__xludf.DUMMYFUNCTION("""COMPUTED_VALUE"""),5.0558329E7)</f>
        <v>50558329</v>
      </c>
    </row>
    <row r="729">
      <c r="A729" s="2">
        <f>IFERROR(__xludf.DUMMYFUNCTION("""COMPUTED_VALUE"""),45408.66666666667)</f>
        <v>45408.66667</v>
      </c>
      <c r="B729" s="1">
        <f>IFERROR(__xludf.DUMMYFUNCTION("""COMPUTED_VALUE"""),169.88)</f>
        <v>169.88</v>
      </c>
      <c r="C729" s="1">
        <f>IFERROR(__xludf.DUMMYFUNCTION("""COMPUTED_VALUE"""),171.34)</f>
        <v>171.34</v>
      </c>
      <c r="D729" s="1">
        <f>IFERROR(__xludf.DUMMYFUNCTION("""COMPUTED_VALUE"""),169.18)</f>
        <v>169.18</v>
      </c>
      <c r="E729" s="1">
        <f>IFERROR(__xludf.DUMMYFUNCTION("""COMPUTED_VALUE"""),169.3)</f>
        <v>169.3</v>
      </c>
      <c r="F729" s="1">
        <f>IFERROR(__xludf.DUMMYFUNCTION("""COMPUTED_VALUE"""),4.4838354E7)</f>
        <v>44838354</v>
      </c>
    </row>
    <row r="730">
      <c r="A730" s="2">
        <f>IFERROR(__xludf.DUMMYFUNCTION("""COMPUTED_VALUE"""),45411.66666666667)</f>
        <v>45411.66667</v>
      </c>
      <c r="B730" s="1">
        <f>IFERROR(__xludf.DUMMYFUNCTION("""COMPUTED_VALUE"""),173.37)</f>
        <v>173.37</v>
      </c>
      <c r="C730" s="1">
        <f>IFERROR(__xludf.DUMMYFUNCTION("""COMPUTED_VALUE"""),176.03)</f>
        <v>176.03</v>
      </c>
      <c r="D730" s="1">
        <f>IFERROR(__xludf.DUMMYFUNCTION("""COMPUTED_VALUE"""),173.1)</f>
        <v>173.1</v>
      </c>
      <c r="E730" s="1">
        <f>IFERROR(__xludf.DUMMYFUNCTION("""COMPUTED_VALUE"""),173.5)</f>
        <v>173.5</v>
      </c>
      <c r="F730" s="1">
        <f>IFERROR(__xludf.DUMMYFUNCTION("""COMPUTED_VALUE"""),6.8169419E7)</f>
        <v>68169419</v>
      </c>
    </row>
    <row r="731">
      <c r="A731" s="2">
        <f>IFERROR(__xludf.DUMMYFUNCTION("""COMPUTED_VALUE"""),45412.66666666667)</f>
        <v>45412.66667</v>
      </c>
      <c r="B731" s="1">
        <f>IFERROR(__xludf.DUMMYFUNCTION("""COMPUTED_VALUE"""),173.33)</f>
        <v>173.33</v>
      </c>
      <c r="C731" s="1">
        <f>IFERROR(__xludf.DUMMYFUNCTION("""COMPUTED_VALUE"""),174.99)</f>
        <v>174.99</v>
      </c>
      <c r="D731" s="1">
        <f>IFERROR(__xludf.DUMMYFUNCTION("""COMPUTED_VALUE"""),170.0)</f>
        <v>170</v>
      </c>
      <c r="E731" s="1">
        <f>IFERROR(__xludf.DUMMYFUNCTION("""COMPUTED_VALUE"""),170.33)</f>
        <v>170.33</v>
      </c>
      <c r="F731" s="1">
        <f>IFERROR(__xludf.DUMMYFUNCTION("""COMPUTED_VALUE"""),6.5934776E7)</f>
        <v>65934776</v>
      </c>
    </row>
    <row r="732">
      <c r="A732" s="2">
        <f>IFERROR(__xludf.DUMMYFUNCTION("""COMPUTED_VALUE"""),45413.66666666667)</f>
        <v>45413.66667</v>
      </c>
      <c r="B732" s="1">
        <f>IFERROR(__xludf.DUMMYFUNCTION("""COMPUTED_VALUE"""),169.58)</f>
        <v>169.58</v>
      </c>
      <c r="C732" s="1">
        <f>IFERROR(__xludf.DUMMYFUNCTION("""COMPUTED_VALUE"""),172.71)</f>
        <v>172.71</v>
      </c>
      <c r="D732" s="1">
        <f>IFERROR(__xludf.DUMMYFUNCTION("""COMPUTED_VALUE"""),169.11)</f>
        <v>169.11</v>
      </c>
      <c r="E732" s="1">
        <f>IFERROR(__xludf.DUMMYFUNCTION("""COMPUTED_VALUE"""),169.3)</f>
        <v>169.3</v>
      </c>
      <c r="F732" s="1">
        <f>IFERROR(__xludf.DUMMYFUNCTION("""COMPUTED_VALUE"""),5.0383147E7)</f>
        <v>50383147</v>
      </c>
    </row>
    <row r="733">
      <c r="A733" s="2">
        <f>IFERROR(__xludf.DUMMYFUNCTION("""COMPUTED_VALUE"""),45414.66666666667)</f>
        <v>45414.66667</v>
      </c>
      <c r="B733" s="1">
        <f>IFERROR(__xludf.DUMMYFUNCTION("""COMPUTED_VALUE"""),172.51)</f>
        <v>172.51</v>
      </c>
      <c r="C733" s="1">
        <f>IFERROR(__xludf.DUMMYFUNCTION("""COMPUTED_VALUE"""),173.42)</f>
        <v>173.42</v>
      </c>
      <c r="D733" s="1">
        <f>IFERROR(__xludf.DUMMYFUNCTION("""COMPUTED_VALUE"""),170.89)</f>
        <v>170.89</v>
      </c>
      <c r="E733" s="1">
        <f>IFERROR(__xludf.DUMMYFUNCTION("""COMPUTED_VALUE"""),173.03)</f>
        <v>173.03</v>
      </c>
      <c r="F733" s="1">
        <f>IFERROR(__xludf.DUMMYFUNCTION("""COMPUTED_VALUE"""),9.4214915E7)</f>
        <v>94214915</v>
      </c>
    </row>
    <row r="734">
      <c r="A734" s="2">
        <f>IFERROR(__xludf.DUMMYFUNCTION("""COMPUTED_VALUE"""),45415.66666666667)</f>
        <v>45415.66667</v>
      </c>
      <c r="B734" s="1">
        <f>IFERROR(__xludf.DUMMYFUNCTION("""COMPUTED_VALUE"""),186.65)</f>
        <v>186.65</v>
      </c>
      <c r="C734" s="1">
        <f>IFERROR(__xludf.DUMMYFUNCTION("""COMPUTED_VALUE"""),187.0)</f>
        <v>187</v>
      </c>
      <c r="D734" s="1">
        <f>IFERROR(__xludf.DUMMYFUNCTION("""COMPUTED_VALUE"""),182.66)</f>
        <v>182.66</v>
      </c>
      <c r="E734" s="1">
        <f>IFERROR(__xludf.DUMMYFUNCTION("""COMPUTED_VALUE"""),183.38)</f>
        <v>183.38</v>
      </c>
      <c r="F734" s="1">
        <f>IFERROR(__xludf.DUMMYFUNCTION("""COMPUTED_VALUE"""),1.63224109E8)</f>
        <v>163224109</v>
      </c>
    </row>
    <row r="735">
      <c r="A735" s="2">
        <f>IFERROR(__xludf.DUMMYFUNCTION("""COMPUTED_VALUE"""),45418.66666666667)</f>
        <v>45418.66667</v>
      </c>
      <c r="B735" s="1">
        <f>IFERROR(__xludf.DUMMYFUNCTION("""COMPUTED_VALUE"""),182.35)</f>
        <v>182.35</v>
      </c>
      <c r="C735" s="1">
        <f>IFERROR(__xludf.DUMMYFUNCTION("""COMPUTED_VALUE"""),184.2)</f>
        <v>184.2</v>
      </c>
      <c r="D735" s="1">
        <f>IFERROR(__xludf.DUMMYFUNCTION("""COMPUTED_VALUE"""),180.42)</f>
        <v>180.42</v>
      </c>
      <c r="E735" s="1">
        <f>IFERROR(__xludf.DUMMYFUNCTION("""COMPUTED_VALUE"""),181.71)</f>
        <v>181.71</v>
      </c>
      <c r="F735" s="1">
        <f>IFERROR(__xludf.DUMMYFUNCTION("""COMPUTED_VALUE"""),7.8569667E7)</f>
        <v>78569667</v>
      </c>
    </row>
    <row r="736">
      <c r="A736" s="2">
        <f>IFERROR(__xludf.DUMMYFUNCTION("""COMPUTED_VALUE"""),45419.66666666667)</f>
        <v>45419.66667</v>
      </c>
      <c r="B736" s="1">
        <f>IFERROR(__xludf.DUMMYFUNCTION("""COMPUTED_VALUE"""),183.45)</f>
        <v>183.45</v>
      </c>
      <c r="C736" s="1">
        <f>IFERROR(__xludf.DUMMYFUNCTION("""COMPUTED_VALUE"""),184.9)</f>
        <v>184.9</v>
      </c>
      <c r="D736" s="1">
        <f>IFERROR(__xludf.DUMMYFUNCTION("""COMPUTED_VALUE"""),181.32)</f>
        <v>181.32</v>
      </c>
      <c r="E736" s="1">
        <f>IFERROR(__xludf.DUMMYFUNCTION("""COMPUTED_VALUE"""),182.4)</f>
        <v>182.4</v>
      </c>
      <c r="F736" s="1">
        <f>IFERROR(__xludf.DUMMYFUNCTION("""COMPUTED_VALUE"""),7.7305771E7)</f>
        <v>77305771</v>
      </c>
    </row>
    <row r="737">
      <c r="A737" s="2">
        <f>IFERROR(__xludf.DUMMYFUNCTION("""COMPUTED_VALUE"""),45420.66666666667)</f>
        <v>45420.66667</v>
      </c>
      <c r="B737" s="1">
        <f>IFERROR(__xludf.DUMMYFUNCTION("""COMPUTED_VALUE"""),182.85)</f>
        <v>182.85</v>
      </c>
      <c r="C737" s="1">
        <f>IFERROR(__xludf.DUMMYFUNCTION("""COMPUTED_VALUE"""),183.07)</f>
        <v>183.07</v>
      </c>
      <c r="D737" s="1">
        <f>IFERROR(__xludf.DUMMYFUNCTION("""COMPUTED_VALUE"""),181.45)</f>
        <v>181.45</v>
      </c>
      <c r="E737" s="1">
        <f>IFERROR(__xludf.DUMMYFUNCTION("""COMPUTED_VALUE"""),182.74)</f>
        <v>182.74</v>
      </c>
      <c r="F737" s="1">
        <f>IFERROR(__xludf.DUMMYFUNCTION("""COMPUTED_VALUE"""),4.5057087E7)</f>
        <v>45057087</v>
      </c>
    </row>
    <row r="738">
      <c r="A738" s="2">
        <f>IFERROR(__xludf.DUMMYFUNCTION("""COMPUTED_VALUE"""),45421.66666666667)</f>
        <v>45421.66667</v>
      </c>
      <c r="B738" s="1">
        <f>IFERROR(__xludf.DUMMYFUNCTION("""COMPUTED_VALUE"""),182.56)</f>
        <v>182.56</v>
      </c>
      <c r="C738" s="1">
        <f>IFERROR(__xludf.DUMMYFUNCTION("""COMPUTED_VALUE"""),184.66)</f>
        <v>184.66</v>
      </c>
      <c r="D738" s="1">
        <f>IFERROR(__xludf.DUMMYFUNCTION("""COMPUTED_VALUE"""),182.11)</f>
        <v>182.11</v>
      </c>
      <c r="E738" s="1">
        <f>IFERROR(__xludf.DUMMYFUNCTION("""COMPUTED_VALUE"""),184.57)</f>
        <v>184.57</v>
      </c>
      <c r="F738" s="1">
        <f>IFERROR(__xludf.DUMMYFUNCTION("""COMPUTED_VALUE"""),4.8982972E7)</f>
        <v>48982972</v>
      </c>
    </row>
    <row r="739">
      <c r="A739" s="2">
        <f>IFERROR(__xludf.DUMMYFUNCTION("""COMPUTED_VALUE"""),45422.66666666667)</f>
        <v>45422.66667</v>
      </c>
      <c r="B739" s="1">
        <f>IFERROR(__xludf.DUMMYFUNCTION("""COMPUTED_VALUE"""),184.9)</f>
        <v>184.9</v>
      </c>
      <c r="C739" s="1">
        <f>IFERROR(__xludf.DUMMYFUNCTION("""COMPUTED_VALUE"""),185.09)</f>
        <v>185.09</v>
      </c>
      <c r="D739" s="1">
        <f>IFERROR(__xludf.DUMMYFUNCTION("""COMPUTED_VALUE"""),182.13)</f>
        <v>182.13</v>
      </c>
      <c r="E739" s="1">
        <f>IFERROR(__xludf.DUMMYFUNCTION("""COMPUTED_VALUE"""),183.05)</f>
        <v>183.05</v>
      </c>
      <c r="F739" s="1">
        <f>IFERROR(__xludf.DUMMYFUNCTION("""COMPUTED_VALUE"""),5.0759496E7)</f>
        <v>50759496</v>
      </c>
    </row>
    <row r="740">
      <c r="A740" s="2">
        <f>IFERROR(__xludf.DUMMYFUNCTION("""COMPUTED_VALUE"""),45425.66666666667)</f>
        <v>45425.66667</v>
      </c>
      <c r="B740" s="1">
        <f>IFERROR(__xludf.DUMMYFUNCTION("""COMPUTED_VALUE"""),185.44)</f>
        <v>185.44</v>
      </c>
      <c r="C740" s="1">
        <f>IFERROR(__xludf.DUMMYFUNCTION("""COMPUTED_VALUE"""),187.1)</f>
        <v>187.1</v>
      </c>
      <c r="D740" s="1">
        <f>IFERROR(__xludf.DUMMYFUNCTION("""COMPUTED_VALUE"""),184.62)</f>
        <v>184.62</v>
      </c>
      <c r="E740" s="1">
        <f>IFERROR(__xludf.DUMMYFUNCTION("""COMPUTED_VALUE"""),186.28)</f>
        <v>186.28</v>
      </c>
      <c r="F740" s="1">
        <f>IFERROR(__xludf.DUMMYFUNCTION("""COMPUTED_VALUE"""),7.2044809E7)</f>
        <v>72044809</v>
      </c>
    </row>
    <row r="741">
      <c r="A741" s="2">
        <f>IFERROR(__xludf.DUMMYFUNCTION("""COMPUTED_VALUE"""),45426.66666666667)</f>
        <v>45426.66667</v>
      </c>
      <c r="B741" s="1">
        <f>IFERROR(__xludf.DUMMYFUNCTION("""COMPUTED_VALUE"""),187.51)</f>
        <v>187.51</v>
      </c>
      <c r="C741" s="1">
        <f>IFERROR(__xludf.DUMMYFUNCTION("""COMPUTED_VALUE"""),188.3)</f>
        <v>188.3</v>
      </c>
      <c r="D741" s="1">
        <f>IFERROR(__xludf.DUMMYFUNCTION("""COMPUTED_VALUE"""),186.29)</f>
        <v>186.29</v>
      </c>
      <c r="E741" s="1">
        <f>IFERROR(__xludf.DUMMYFUNCTION("""COMPUTED_VALUE"""),187.43)</f>
        <v>187.43</v>
      </c>
      <c r="F741" s="1">
        <f>IFERROR(__xludf.DUMMYFUNCTION("""COMPUTED_VALUE"""),5.2393619E7)</f>
        <v>52393619</v>
      </c>
    </row>
    <row r="742">
      <c r="A742" s="2">
        <f>IFERROR(__xludf.DUMMYFUNCTION("""COMPUTED_VALUE"""),45427.66666666667)</f>
        <v>45427.66667</v>
      </c>
      <c r="B742" s="1">
        <f>IFERROR(__xludf.DUMMYFUNCTION("""COMPUTED_VALUE"""),187.91)</f>
        <v>187.91</v>
      </c>
      <c r="C742" s="1">
        <f>IFERROR(__xludf.DUMMYFUNCTION("""COMPUTED_VALUE"""),190.65)</f>
        <v>190.65</v>
      </c>
      <c r="D742" s="1">
        <f>IFERROR(__xludf.DUMMYFUNCTION("""COMPUTED_VALUE"""),187.37)</f>
        <v>187.37</v>
      </c>
      <c r="E742" s="1">
        <f>IFERROR(__xludf.DUMMYFUNCTION("""COMPUTED_VALUE"""),189.72)</f>
        <v>189.72</v>
      </c>
      <c r="F742" s="1">
        <f>IFERROR(__xludf.DUMMYFUNCTION("""COMPUTED_VALUE"""),7.0399988E7)</f>
        <v>70399988</v>
      </c>
    </row>
    <row r="743">
      <c r="A743" s="2">
        <f>IFERROR(__xludf.DUMMYFUNCTION("""COMPUTED_VALUE"""),45428.66666666667)</f>
        <v>45428.66667</v>
      </c>
      <c r="B743" s="1">
        <f>IFERROR(__xludf.DUMMYFUNCTION("""COMPUTED_VALUE"""),190.47)</f>
        <v>190.47</v>
      </c>
      <c r="C743" s="1">
        <f>IFERROR(__xludf.DUMMYFUNCTION("""COMPUTED_VALUE"""),191.1)</f>
        <v>191.1</v>
      </c>
      <c r="D743" s="1">
        <f>IFERROR(__xludf.DUMMYFUNCTION("""COMPUTED_VALUE"""),189.66)</f>
        <v>189.66</v>
      </c>
      <c r="E743" s="1">
        <f>IFERROR(__xludf.DUMMYFUNCTION("""COMPUTED_VALUE"""),189.84)</f>
        <v>189.84</v>
      </c>
      <c r="F743" s="1">
        <f>IFERROR(__xludf.DUMMYFUNCTION("""COMPUTED_VALUE"""),5.284523E7)</f>
        <v>52845230</v>
      </c>
    </row>
    <row r="744">
      <c r="A744" s="2">
        <f>IFERROR(__xludf.DUMMYFUNCTION("""COMPUTED_VALUE"""),45429.66666666667)</f>
        <v>45429.66667</v>
      </c>
      <c r="B744" s="1">
        <f>IFERROR(__xludf.DUMMYFUNCTION("""COMPUTED_VALUE"""),189.51)</f>
        <v>189.51</v>
      </c>
      <c r="C744" s="1">
        <f>IFERROR(__xludf.DUMMYFUNCTION("""COMPUTED_VALUE"""),190.81)</f>
        <v>190.81</v>
      </c>
      <c r="D744" s="1">
        <f>IFERROR(__xludf.DUMMYFUNCTION("""COMPUTED_VALUE"""),189.18)</f>
        <v>189.18</v>
      </c>
      <c r="E744" s="1">
        <f>IFERROR(__xludf.DUMMYFUNCTION("""COMPUTED_VALUE"""),189.87)</f>
        <v>189.87</v>
      </c>
      <c r="F744" s="1">
        <f>IFERROR(__xludf.DUMMYFUNCTION("""COMPUTED_VALUE"""),4.1282925E7)</f>
        <v>41282925</v>
      </c>
    </row>
    <row r="745">
      <c r="A745" s="2">
        <f>IFERROR(__xludf.DUMMYFUNCTION("""COMPUTED_VALUE"""),45432.66666666667)</f>
        <v>45432.66667</v>
      </c>
      <c r="B745" s="1">
        <f>IFERROR(__xludf.DUMMYFUNCTION("""COMPUTED_VALUE"""),189.35)</f>
        <v>189.35</v>
      </c>
      <c r="C745" s="1">
        <f>IFERROR(__xludf.DUMMYFUNCTION("""COMPUTED_VALUE"""),191.92)</f>
        <v>191.92</v>
      </c>
      <c r="D745" s="1">
        <f>IFERROR(__xludf.DUMMYFUNCTION("""COMPUTED_VALUE"""),189.01)</f>
        <v>189.01</v>
      </c>
      <c r="E745" s="1">
        <f>IFERROR(__xludf.DUMMYFUNCTION("""COMPUTED_VALUE"""),191.04)</f>
        <v>191.04</v>
      </c>
      <c r="F745" s="1">
        <f>IFERROR(__xludf.DUMMYFUNCTION("""COMPUTED_VALUE"""),4.4361275E7)</f>
        <v>44361275</v>
      </c>
    </row>
    <row r="746">
      <c r="A746" s="2">
        <f>IFERROR(__xludf.DUMMYFUNCTION("""COMPUTED_VALUE"""),45433.66666666667)</f>
        <v>45433.66667</v>
      </c>
      <c r="B746" s="1">
        <f>IFERROR(__xludf.DUMMYFUNCTION("""COMPUTED_VALUE"""),191.09)</f>
        <v>191.09</v>
      </c>
      <c r="C746" s="1">
        <f>IFERROR(__xludf.DUMMYFUNCTION("""COMPUTED_VALUE"""),192.73)</f>
        <v>192.73</v>
      </c>
      <c r="D746" s="1">
        <f>IFERROR(__xludf.DUMMYFUNCTION("""COMPUTED_VALUE"""),190.92)</f>
        <v>190.92</v>
      </c>
      <c r="E746" s="1">
        <f>IFERROR(__xludf.DUMMYFUNCTION("""COMPUTED_VALUE"""),192.35)</f>
        <v>192.35</v>
      </c>
      <c r="F746" s="1">
        <f>IFERROR(__xludf.DUMMYFUNCTION("""COMPUTED_VALUE"""),4.2309401E7)</f>
        <v>42309401</v>
      </c>
    </row>
    <row r="747">
      <c r="A747" s="2">
        <f>IFERROR(__xludf.DUMMYFUNCTION("""COMPUTED_VALUE"""),45434.66666666667)</f>
        <v>45434.66667</v>
      </c>
      <c r="B747" s="1">
        <f>IFERROR(__xludf.DUMMYFUNCTION("""COMPUTED_VALUE"""),192.27)</f>
        <v>192.27</v>
      </c>
      <c r="C747" s="1">
        <f>IFERROR(__xludf.DUMMYFUNCTION("""COMPUTED_VALUE"""),192.82)</f>
        <v>192.82</v>
      </c>
      <c r="D747" s="1">
        <f>IFERROR(__xludf.DUMMYFUNCTION("""COMPUTED_VALUE"""),190.27)</f>
        <v>190.27</v>
      </c>
      <c r="E747" s="1">
        <f>IFERROR(__xludf.DUMMYFUNCTION("""COMPUTED_VALUE"""),190.9)</f>
        <v>190.9</v>
      </c>
      <c r="F747" s="1">
        <f>IFERROR(__xludf.DUMMYFUNCTION("""COMPUTED_VALUE"""),3.4648547E7)</f>
        <v>34648547</v>
      </c>
    </row>
    <row r="748">
      <c r="A748" s="2">
        <f>IFERROR(__xludf.DUMMYFUNCTION("""COMPUTED_VALUE"""),45435.66666666667)</f>
        <v>45435.66667</v>
      </c>
      <c r="B748" s="1">
        <f>IFERROR(__xludf.DUMMYFUNCTION("""COMPUTED_VALUE"""),190.98)</f>
        <v>190.98</v>
      </c>
      <c r="C748" s="1">
        <f>IFERROR(__xludf.DUMMYFUNCTION("""COMPUTED_VALUE"""),191.0)</f>
        <v>191</v>
      </c>
      <c r="D748" s="1">
        <f>IFERROR(__xludf.DUMMYFUNCTION("""COMPUTED_VALUE"""),186.63)</f>
        <v>186.63</v>
      </c>
      <c r="E748" s="1">
        <f>IFERROR(__xludf.DUMMYFUNCTION("""COMPUTED_VALUE"""),186.88)</f>
        <v>186.88</v>
      </c>
      <c r="F748" s="1">
        <f>IFERROR(__xludf.DUMMYFUNCTION("""COMPUTED_VALUE"""),5.1005924E7)</f>
        <v>51005924</v>
      </c>
    </row>
    <row r="749">
      <c r="A749" s="2">
        <f>IFERROR(__xludf.DUMMYFUNCTION("""COMPUTED_VALUE"""),45436.66666666667)</f>
        <v>45436.66667</v>
      </c>
      <c r="B749" s="1">
        <f>IFERROR(__xludf.DUMMYFUNCTION("""COMPUTED_VALUE"""),188.82)</f>
        <v>188.82</v>
      </c>
      <c r="C749" s="1">
        <f>IFERROR(__xludf.DUMMYFUNCTION("""COMPUTED_VALUE"""),190.58)</f>
        <v>190.58</v>
      </c>
      <c r="D749" s="1">
        <f>IFERROR(__xludf.DUMMYFUNCTION("""COMPUTED_VALUE"""),188.04)</f>
        <v>188.04</v>
      </c>
      <c r="E749" s="1">
        <f>IFERROR(__xludf.DUMMYFUNCTION("""COMPUTED_VALUE"""),189.98)</f>
        <v>189.98</v>
      </c>
      <c r="F749" s="1">
        <f>IFERROR(__xludf.DUMMYFUNCTION("""COMPUTED_VALUE"""),3.6326975E7)</f>
        <v>36326975</v>
      </c>
    </row>
    <row r="750">
      <c r="A750" s="2">
        <f>IFERROR(__xludf.DUMMYFUNCTION("""COMPUTED_VALUE"""),45440.66666666667)</f>
        <v>45440.66667</v>
      </c>
      <c r="B750" s="1">
        <f>IFERROR(__xludf.DUMMYFUNCTION("""COMPUTED_VALUE"""),191.51)</f>
        <v>191.51</v>
      </c>
      <c r="C750" s="1">
        <f>IFERROR(__xludf.DUMMYFUNCTION("""COMPUTED_VALUE"""),193.0)</f>
        <v>193</v>
      </c>
      <c r="D750" s="1">
        <f>IFERROR(__xludf.DUMMYFUNCTION("""COMPUTED_VALUE"""),189.1)</f>
        <v>189.1</v>
      </c>
      <c r="E750" s="1">
        <f>IFERROR(__xludf.DUMMYFUNCTION("""COMPUTED_VALUE"""),189.99)</f>
        <v>189.99</v>
      </c>
      <c r="F750" s="1">
        <f>IFERROR(__xludf.DUMMYFUNCTION("""COMPUTED_VALUE"""),5.2280051E7)</f>
        <v>52280051</v>
      </c>
    </row>
    <row r="751">
      <c r="A751" s="2">
        <f>IFERROR(__xludf.DUMMYFUNCTION("""COMPUTED_VALUE"""),45441.66666666667)</f>
        <v>45441.66667</v>
      </c>
      <c r="B751" s="1">
        <f>IFERROR(__xludf.DUMMYFUNCTION("""COMPUTED_VALUE"""),189.61)</f>
        <v>189.61</v>
      </c>
      <c r="C751" s="1">
        <f>IFERROR(__xludf.DUMMYFUNCTION("""COMPUTED_VALUE"""),192.25)</f>
        <v>192.25</v>
      </c>
      <c r="D751" s="1">
        <f>IFERROR(__xludf.DUMMYFUNCTION("""COMPUTED_VALUE"""),189.51)</f>
        <v>189.51</v>
      </c>
      <c r="E751" s="1">
        <f>IFERROR(__xludf.DUMMYFUNCTION("""COMPUTED_VALUE"""),190.29)</f>
        <v>190.29</v>
      </c>
      <c r="F751" s="1">
        <f>IFERROR(__xludf.DUMMYFUNCTION("""COMPUTED_VALUE"""),5.3068016E7)</f>
        <v>53068016</v>
      </c>
    </row>
    <row r="752">
      <c r="A752" s="2">
        <f>IFERROR(__xludf.DUMMYFUNCTION("""COMPUTED_VALUE"""),45442.66666666667)</f>
        <v>45442.66667</v>
      </c>
      <c r="B752" s="1">
        <f>IFERROR(__xludf.DUMMYFUNCTION("""COMPUTED_VALUE"""),190.76)</f>
        <v>190.76</v>
      </c>
      <c r="C752" s="1">
        <f>IFERROR(__xludf.DUMMYFUNCTION("""COMPUTED_VALUE"""),192.18)</f>
        <v>192.18</v>
      </c>
      <c r="D752" s="1">
        <f>IFERROR(__xludf.DUMMYFUNCTION("""COMPUTED_VALUE"""),190.63)</f>
        <v>190.63</v>
      </c>
      <c r="E752" s="1">
        <f>IFERROR(__xludf.DUMMYFUNCTION("""COMPUTED_VALUE"""),191.29)</f>
        <v>191.29</v>
      </c>
      <c r="F752" s="1">
        <f>IFERROR(__xludf.DUMMYFUNCTION("""COMPUTED_VALUE"""),4.9947941E7)</f>
        <v>49947941</v>
      </c>
    </row>
    <row r="753">
      <c r="A753" s="2">
        <f>IFERROR(__xludf.DUMMYFUNCTION("""COMPUTED_VALUE"""),45443.66666666667)</f>
        <v>45443.66667</v>
      </c>
      <c r="B753" s="1">
        <f>IFERROR(__xludf.DUMMYFUNCTION("""COMPUTED_VALUE"""),191.44)</f>
        <v>191.44</v>
      </c>
      <c r="C753" s="1">
        <f>IFERROR(__xludf.DUMMYFUNCTION("""COMPUTED_VALUE"""),192.57)</f>
        <v>192.57</v>
      </c>
      <c r="D753" s="1">
        <f>IFERROR(__xludf.DUMMYFUNCTION("""COMPUTED_VALUE"""),189.91)</f>
        <v>189.91</v>
      </c>
      <c r="E753" s="1">
        <f>IFERROR(__xludf.DUMMYFUNCTION("""COMPUTED_VALUE"""),192.25)</f>
        <v>192.25</v>
      </c>
      <c r="F753" s="1">
        <f>IFERROR(__xludf.DUMMYFUNCTION("""COMPUTED_VALUE"""),7.5158277E7)</f>
        <v>75158277</v>
      </c>
    </row>
    <row r="754">
      <c r="A754" s="2">
        <f>IFERROR(__xludf.DUMMYFUNCTION("""COMPUTED_VALUE"""),45446.66666666667)</f>
        <v>45446.66667</v>
      </c>
      <c r="B754" s="1">
        <f>IFERROR(__xludf.DUMMYFUNCTION("""COMPUTED_VALUE"""),192.9)</f>
        <v>192.9</v>
      </c>
      <c r="C754" s="1">
        <f>IFERROR(__xludf.DUMMYFUNCTION("""COMPUTED_VALUE"""),194.99)</f>
        <v>194.99</v>
      </c>
      <c r="D754" s="1">
        <f>IFERROR(__xludf.DUMMYFUNCTION("""COMPUTED_VALUE"""),192.52)</f>
        <v>192.52</v>
      </c>
      <c r="E754" s="1">
        <f>IFERROR(__xludf.DUMMYFUNCTION("""COMPUTED_VALUE"""),194.03)</f>
        <v>194.03</v>
      </c>
      <c r="F754" s="1">
        <f>IFERROR(__xludf.DUMMYFUNCTION("""COMPUTED_VALUE"""),5.0080539E7)</f>
        <v>50080539</v>
      </c>
    </row>
    <row r="755">
      <c r="A755" s="2">
        <f>IFERROR(__xludf.DUMMYFUNCTION("""COMPUTED_VALUE"""),45447.66666666667)</f>
        <v>45447.66667</v>
      </c>
      <c r="B755" s="1">
        <f>IFERROR(__xludf.DUMMYFUNCTION("""COMPUTED_VALUE"""),194.64)</f>
        <v>194.64</v>
      </c>
      <c r="C755" s="1">
        <f>IFERROR(__xludf.DUMMYFUNCTION("""COMPUTED_VALUE"""),195.32)</f>
        <v>195.32</v>
      </c>
      <c r="D755" s="1">
        <f>IFERROR(__xludf.DUMMYFUNCTION("""COMPUTED_VALUE"""),193.03)</f>
        <v>193.03</v>
      </c>
      <c r="E755" s="1">
        <f>IFERROR(__xludf.DUMMYFUNCTION("""COMPUTED_VALUE"""),194.35)</f>
        <v>194.35</v>
      </c>
      <c r="F755" s="1">
        <f>IFERROR(__xludf.DUMMYFUNCTION("""COMPUTED_VALUE"""),4.7471445E7)</f>
        <v>47471445</v>
      </c>
    </row>
    <row r="756">
      <c r="A756" s="2">
        <f>IFERROR(__xludf.DUMMYFUNCTION("""COMPUTED_VALUE"""),45448.66666666667)</f>
        <v>45448.66667</v>
      </c>
      <c r="B756" s="1">
        <f>IFERROR(__xludf.DUMMYFUNCTION("""COMPUTED_VALUE"""),195.4)</f>
        <v>195.4</v>
      </c>
      <c r="C756" s="1">
        <f>IFERROR(__xludf.DUMMYFUNCTION("""COMPUTED_VALUE"""),196.9)</f>
        <v>196.9</v>
      </c>
      <c r="D756" s="1">
        <f>IFERROR(__xludf.DUMMYFUNCTION("""COMPUTED_VALUE"""),194.87)</f>
        <v>194.87</v>
      </c>
      <c r="E756" s="1">
        <f>IFERROR(__xludf.DUMMYFUNCTION("""COMPUTED_VALUE"""),195.87)</f>
        <v>195.87</v>
      </c>
      <c r="F756" s="1">
        <f>IFERROR(__xludf.DUMMYFUNCTION("""COMPUTED_VALUE"""),5.4156785E7)</f>
        <v>54156785</v>
      </c>
    </row>
    <row r="757">
      <c r="A757" s="2">
        <f>IFERROR(__xludf.DUMMYFUNCTION("""COMPUTED_VALUE"""),45449.66666666667)</f>
        <v>45449.66667</v>
      </c>
      <c r="B757" s="1">
        <f>IFERROR(__xludf.DUMMYFUNCTION("""COMPUTED_VALUE"""),195.69)</f>
        <v>195.69</v>
      </c>
      <c r="C757" s="1">
        <f>IFERROR(__xludf.DUMMYFUNCTION("""COMPUTED_VALUE"""),196.5)</f>
        <v>196.5</v>
      </c>
      <c r="D757" s="1">
        <f>IFERROR(__xludf.DUMMYFUNCTION("""COMPUTED_VALUE"""),194.17)</f>
        <v>194.17</v>
      </c>
      <c r="E757" s="1">
        <f>IFERROR(__xludf.DUMMYFUNCTION("""COMPUTED_VALUE"""),194.48)</f>
        <v>194.48</v>
      </c>
      <c r="F757" s="1">
        <f>IFERROR(__xludf.DUMMYFUNCTION("""COMPUTED_VALUE"""),4.1181753E7)</f>
        <v>41181753</v>
      </c>
    </row>
    <row r="758">
      <c r="A758" s="2">
        <f>IFERROR(__xludf.DUMMYFUNCTION("""COMPUTED_VALUE"""),45450.66666666667)</f>
        <v>45450.66667</v>
      </c>
      <c r="B758" s="1">
        <f>IFERROR(__xludf.DUMMYFUNCTION("""COMPUTED_VALUE"""),194.65)</f>
        <v>194.65</v>
      </c>
      <c r="C758" s="1">
        <f>IFERROR(__xludf.DUMMYFUNCTION("""COMPUTED_VALUE"""),196.94)</f>
        <v>196.94</v>
      </c>
      <c r="D758" s="1">
        <f>IFERROR(__xludf.DUMMYFUNCTION("""COMPUTED_VALUE"""),194.14)</f>
        <v>194.14</v>
      </c>
      <c r="E758" s="1">
        <f>IFERROR(__xludf.DUMMYFUNCTION("""COMPUTED_VALUE"""),196.89)</f>
        <v>196.89</v>
      </c>
      <c r="F758" s="1">
        <f>IFERROR(__xludf.DUMMYFUNCTION("""COMPUTED_VALUE"""),5.3103912E7)</f>
        <v>53103912</v>
      </c>
    </row>
    <row r="759">
      <c r="A759" s="2">
        <f>IFERROR(__xludf.DUMMYFUNCTION("""COMPUTED_VALUE"""),45453.66666666667)</f>
        <v>45453.66667</v>
      </c>
      <c r="B759" s="1">
        <f>IFERROR(__xludf.DUMMYFUNCTION("""COMPUTED_VALUE"""),196.9)</f>
        <v>196.9</v>
      </c>
      <c r="C759" s="1">
        <f>IFERROR(__xludf.DUMMYFUNCTION("""COMPUTED_VALUE"""),197.3)</f>
        <v>197.3</v>
      </c>
      <c r="D759" s="1">
        <f>IFERROR(__xludf.DUMMYFUNCTION("""COMPUTED_VALUE"""),192.15)</f>
        <v>192.15</v>
      </c>
      <c r="E759" s="1">
        <f>IFERROR(__xludf.DUMMYFUNCTION("""COMPUTED_VALUE"""),193.12)</f>
        <v>193.12</v>
      </c>
      <c r="F759" s="1">
        <f>IFERROR(__xludf.DUMMYFUNCTION("""COMPUTED_VALUE"""),9.7262077E7)</f>
        <v>97262077</v>
      </c>
    </row>
    <row r="760">
      <c r="A760" s="2">
        <f>IFERROR(__xludf.DUMMYFUNCTION("""COMPUTED_VALUE"""),45454.66666666667)</f>
        <v>45454.66667</v>
      </c>
      <c r="B760" s="1">
        <f>IFERROR(__xludf.DUMMYFUNCTION("""COMPUTED_VALUE"""),193.65)</f>
        <v>193.65</v>
      </c>
      <c r="C760" s="1">
        <f>IFERROR(__xludf.DUMMYFUNCTION("""COMPUTED_VALUE"""),207.16)</f>
        <v>207.16</v>
      </c>
      <c r="D760" s="1">
        <f>IFERROR(__xludf.DUMMYFUNCTION("""COMPUTED_VALUE"""),193.63)</f>
        <v>193.63</v>
      </c>
      <c r="E760" s="1">
        <f>IFERROR(__xludf.DUMMYFUNCTION("""COMPUTED_VALUE"""),207.15)</f>
        <v>207.15</v>
      </c>
      <c r="F760" s="1">
        <f>IFERROR(__xludf.DUMMYFUNCTION("""COMPUTED_VALUE"""),1.72373296E8)</f>
        <v>172373296</v>
      </c>
    </row>
    <row r="761">
      <c r="A761" s="2">
        <f>IFERROR(__xludf.DUMMYFUNCTION("""COMPUTED_VALUE"""),45455.66666666667)</f>
        <v>45455.66667</v>
      </c>
      <c r="B761" s="1">
        <f>IFERROR(__xludf.DUMMYFUNCTION("""COMPUTED_VALUE"""),207.37)</f>
        <v>207.37</v>
      </c>
      <c r="C761" s="1">
        <f>IFERROR(__xludf.DUMMYFUNCTION("""COMPUTED_VALUE"""),220.2)</f>
        <v>220.2</v>
      </c>
      <c r="D761" s="1">
        <f>IFERROR(__xludf.DUMMYFUNCTION("""COMPUTED_VALUE"""),206.9)</f>
        <v>206.9</v>
      </c>
      <c r="E761" s="1">
        <f>IFERROR(__xludf.DUMMYFUNCTION("""COMPUTED_VALUE"""),213.07)</f>
        <v>213.07</v>
      </c>
      <c r="F761" s="1">
        <f>IFERROR(__xludf.DUMMYFUNCTION("""COMPUTED_VALUE"""),1.98134293E8)</f>
        <v>198134293</v>
      </c>
    </row>
    <row r="762">
      <c r="A762" s="2">
        <f>IFERROR(__xludf.DUMMYFUNCTION("""COMPUTED_VALUE"""),45456.66666666667)</f>
        <v>45456.66667</v>
      </c>
      <c r="B762" s="1">
        <f>IFERROR(__xludf.DUMMYFUNCTION("""COMPUTED_VALUE"""),214.74)</f>
        <v>214.74</v>
      </c>
      <c r="C762" s="1">
        <f>IFERROR(__xludf.DUMMYFUNCTION("""COMPUTED_VALUE"""),216.75)</f>
        <v>216.75</v>
      </c>
      <c r="D762" s="1">
        <f>IFERROR(__xludf.DUMMYFUNCTION("""COMPUTED_VALUE"""),211.6)</f>
        <v>211.6</v>
      </c>
      <c r="E762" s="1">
        <f>IFERROR(__xludf.DUMMYFUNCTION("""COMPUTED_VALUE"""),214.24)</f>
        <v>214.24</v>
      </c>
      <c r="F762" s="1">
        <f>IFERROR(__xludf.DUMMYFUNCTION("""COMPUTED_VALUE"""),9.7862729E7)</f>
        <v>97862729</v>
      </c>
    </row>
    <row r="763">
      <c r="A763" s="2">
        <f>IFERROR(__xludf.DUMMYFUNCTION("""COMPUTED_VALUE"""),45457.66666666667)</f>
        <v>45457.66667</v>
      </c>
      <c r="B763" s="1">
        <f>IFERROR(__xludf.DUMMYFUNCTION("""COMPUTED_VALUE"""),213.85)</f>
        <v>213.85</v>
      </c>
      <c r="C763" s="1">
        <f>IFERROR(__xludf.DUMMYFUNCTION("""COMPUTED_VALUE"""),215.17)</f>
        <v>215.17</v>
      </c>
      <c r="D763" s="1">
        <f>IFERROR(__xludf.DUMMYFUNCTION("""COMPUTED_VALUE"""),211.3)</f>
        <v>211.3</v>
      </c>
      <c r="E763" s="1">
        <f>IFERROR(__xludf.DUMMYFUNCTION("""COMPUTED_VALUE"""),212.49)</f>
        <v>212.49</v>
      </c>
      <c r="F763" s="1">
        <f>IFERROR(__xludf.DUMMYFUNCTION("""COMPUTED_VALUE"""),7.0122748E7)</f>
        <v>70122748</v>
      </c>
    </row>
    <row r="764">
      <c r="A764" s="2">
        <f>IFERROR(__xludf.DUMMYFUNCTION("""COMPUTED_VALUE"""),45460.66666666667)</f>
        <v>45460.66667</v>
      </c>
      <c r="B764" s="1">
        <f>IFERROR(__xludf.DUMMYFUNCTION("""COMPUTED_VALUE"""),213.37)</f>
        <v>213.37</v>
      </c>
      <c r="C764" s="1">
        <f>IFERROR(__xludf.DUMMYFUNCTION("""COMPUTED_VALUE"""),218.95)</f>
        <v>218.95</v>
      </c>
      <c r="D764" s="1">
        <f>IFERROR(__xludf.DUMMYFUNCTION("""COMPUTED_VALUE"""),212.72)</f>
        <v>212.72</v>
      </c>
      <c r="E764" s="1">
        <f>IFERROR(__xludf.DUMMYFUNCTION("""COMPUTED_VALUE"""),216.67)</f>
        <v>216.67</v>
      </c>
      <c r="F764" s="1">
        <f>IFERROR(__xludf.DUMMYFUNCTION("""COMPUTED_VALUE"""),9.37283E7)</f>
        <v>93728300</v>
      </c>
    </row>
    <row r="765">
      <c r="A765" s="2">
        <f>IFERROR(__xludf.DUMMYFUNCTION("""COMPUTED_VALUE"""),45461.66666666667)</f>
        <v>45461.66667</v>
      </c>
      <c r="B765" s="1">
        <f>IFERROR(__xludf.DUMMYFUNCTION("""COMPUTED_VALUE"""),217.59)</f>
        <v>217.59</v>
      </c>
      <c r="C765" s="1">
        <f>IFERROR(__xludf.DUMMYFUNCTION("""COMPUTED_VALUE"""),218.63)</f>
        <v>218.63</v>
      </c>
      <c r="D765" s="1">
        <f>IFERROR(__xludf.DUMMYFUNCTION("""COMPUTED_VALUE"""),213.0)</f>
        <v>213</v>
      </c>
      <c r="E765" s="1">
        <f>IFERROR(__xludf.DUMMYFUNCTION("""COMPUTED_VALUE"""),214.29)</f>
        <v>214.29</v>
      </c>
      <c r="F765" s="1">
        <f>IFERROR(__xludf.DUMMYFUNCTION("""COMPUTED_VALUE"""),7.9943254E7)</f>
        <v>79943254</v>
      </c>
    </row>
    <row r="766">
      <c r="A766" s="2">
        <f>IFERROR(__xludf.DUMMYFUNCTION("""COMPUTED_VALUE"""),45463.66666666667)</f>
        <v>45463.66667</v>
      </c>
      <c r="B766" s="1">
        <f>IFERROR(__xludf.DUMMYFUNCTION("""COMPUTED_VALUE"""),213.93)</f>
        <v>213.93</v>
      </c>
      <c r="C766" s="1">
        <f>IFERROR(__xludf.DUMMYFUNCTION("""COMPUTED_VALUE"""),214.24)</f>
        <v>214.24</v>
      </c>
      <c r="D766" s="1">
        <f>IFERROR(__xludf.DUMMYFUNCTION("""COMPUTED_VALUE"""),208.85)</f>
        <v>208.85</v>
      </c>
      <c r="E766" s="1">
        <f>IFERROR(__xludf.DUMMYFUNCTION("""COMPUTED_VALUE"""),209.68)</f>
        <v>209.68</v>
      </c>
      <c r="F766" s="1">
        <f>IFERROR(__xludf.DUMMYFUNCTION("""COMPUTED_VALUE"""),8.6172451E7)</f>
        <v>86172451</v>
      </c>
    </row>
    <row r="767">
      <c r="A767" s="2">
        <f>IFERROR(__xludf.DUMMYFUNCTION("""COMPUTED_VALUE"""),45464.66666666667)</f>
        <v>45464.66667</v>
      </c>
      <c r="B767" s="1">
        <f>IFERROR(__xludf.DUMMYFUNCTION("""COMPUTED_VALUE"""),210.39)</f>
        <v>210.39</v>
      </c>
      <c r="C767" s="1">
        <f>IFERROR(__xludf.DUMMYFUNCTION("""COMPUTED_VALUE"""),211.89)</f>
        <v>211.89</v>
      </c>
      <c r="D767" s="1">
        <f>IFERROR(__xludf.DUMMYFUNCTION("""COMPUTED_VALUE"""),207.11)</f>
        <v>207.11</v>
      </c>
      <c r="E767" s="1">
        <f>IFERROR(__xludf.DUMMYFUNCTION("""COMPUTED_VALUE"""),207.49)</f>
        <v>207.49</v>
      </c>
      <c r="F767" s="1">
        <f>IFERROR(__xludf.DUMMYFUNCTION("""COMPUTED_VALUE"""),2.46421353E8)</f>
        <v>246421353</v>
      </c>
    </row>
    <row r="768">
      <c r="A768" s="2">
        <f>IFERROR(__xludf.DUMMYFUNCTION("""COMPUTED_VALUE"""),45467.66666666667)</f>
        <v>45467.66667</v>
      </c>
      <c r="B768" s="1">
        <f>IFERROR(__xludf.DUMMYFUNCTION("""COMPUTED_VALUE"""),207.72)</f>
        <v>207.72</v>
      </c>
      <c r="C768" s="1">
        <f>IFERROR(__xludf.DUMMYFUNCTION("""COMPUTED_VALUE"""),212.7)</f>
        <v>212.7</v>
      </c>
      <c r="D768" s="1">
        <f>IFERROR(__xludf.DUMMYFUNCTION("""COMPUTED_VALUE"""),206.59)</f>
        <v>206.59</v>
      </c>
      <c r="E768" s="1">
        <f>IFERROR(__xludf.DUMMYFUNCTION("""COMPUTED_VALUE"""),208.14)</f>
        <v>208.14</v>
      </c>
      <c r="F768" s="1">
        <f>IFERROR(__xludf.DUMMYFUNCTION("""COMPUTED_VALUE"""),8.0727006E7)</f>
        <v>80727006</v>
      </c>
    </row>
    <row r="769">
      <c r="A769" s="2">
        <f>IFERROR(__xludf.DUMMYFUNCTION("""COMPUTED_VALUE"""),45468.66666666667)</f>
        <v>45468.66667</v>
      </c>
      <c r="B769" s="1">
        <f>IFERROR(__xludf.DUMMYFUNCTION("""COMPUTED_VALUE"""),209.15)</f>
        <v>209.15</v>
      </c>
      <c r="C769" s="1">
        <f>IFERROR(__xludf.DUMMYFUNCTION("""COMPUTED_VALUE"""),211.38)</f>
        <v>211.38</v>
      </c>
      <c r="D769" s="1">
        <f>IFERROR(__xludf.DUMMYFUNCTION("""COMPUTED_VALUE"""),208.61)</f>
        <v>208.61</v>
      </c>
      <c r="E769" s="1">
        <f>IFERROR(__xludf.DUMMYFUNCTION("""COMPUTED_VALUE"""),209.07)</f>
        <v>209.07</v>
      </c>
      <c r="F769" s="1">
        <f>IFERROR(__xludf.DUMMYFUNCTION("""COMPUTED_VALUE"""),5.6713868E7)</f>
        <v>56713868</v>
      </c>
    </row>
    <row r="770">
      <c r="A770" s="2">
        <f>IFERROR(__xludf.DUMMYFUNCTION("""COMPUTED_VALUE"""),45469.66666666667)</f>
        <v>45469.66667</v>
      </c>
      <c r="B770" s="1">
        <f>IFERROR(__xludf.DUMMYFUNCTION("""COMPUTED_VALUE"""),211.5)</f>
        <v>211.5</v>
      </c>
      <c r="C770" s="1">
        <f>IFERROR(__xludf.DUMMYFUNCTION("""COMPUTED_VALUE"""),214.86)</f>
        <v>214.86</v>
      </c>
      <c r="D770" s="1">
        <f>IFERROR(__xludf.DUMMYFUNCTION("""COMPUTED_VALUE"""),210.64)</f>
        <v>210.64</v>
      </c>
      <c r="E770" s="1">
        <f>IFERROR(__xludf.DUMMYFUNCTION("""COMPUTED_VALUE"""),213.25)</f>
        <v>213.25</v>
      </c>
      <c r="F770" s="1">
        <f>IFERROR(__xludf.DUMMYFUNCTION("""COMPUTED_VALUE"""),6.6213186E7)</f>
        <v>66213186</v>
      </c>
    </row>
    <row r="771">
      <c r="A771" s="2">
        <f>IFERROR(__xludf.DUMMYFUNCTION("""COMPUTED_VALUE"""),45470.66666666667)</f>
        <v>45470.66667</v>
      </c>
      <c r="B771" s="1">
        <f>IFERROR(__xludf.DUMMYFUNCTION("""COMPUTED_VALUE"""),214.69)</f>
        <v>214.69</v>
      </c>
      <c r="C771" s="1">
        <f>IFERROR(__xludf.DUMMYFUNCTION("""COMPUTED_VALUE"""),215.74)</f>
        <v>215.74</v>
      </c>
      <c r="D771" s="1">
        <f>IFERROR(__xludf.DUMMYFUNCTION("""COMPUTED_VALUE"""),212.35)</f>
        <v>212.35</v>
      </c>
      <c r="E771" s="1">
        <f>IFERROR(__xludf.DUMMYFUNCTION("""COMPUTED_VALUE"""),214.1)</f>
        <v>214.1</v>
      </c>
      <c r="F771" s="1">
        <f>IFERROR(__xludf.DUMMYFUNCTION("""COMPUTED_VALUE"""),4.9772707E7)</f>
        <v>49772707</v>
      </c>
    </row>
    <row r="772">
      <c r="A772" s="2">
        <f>IFERROR(__xludf.DUMMYFUNCTION("""COMPUTED_VALUE"""),45471.66666666667)</f>
        <v>45471.66667</v>
      </c>
      <c r="B772" s="1">
        <f>IFERROR(__xludf.DUMMYFUNCTION("""COMPUTED_VALUE"""),215.77)</f>
        <v>215.77</v>
      </c>
      <c r="C772" s="1">
        <f>IFERROR(__xludf.DUMMYFUNCTION("""COMPUTED_VALUE"""),216.07)</f>
        <v>216.07</v>
      </c>
      <c r="D772" s="1">
        <f>IFERROR(__xludf.DUMMYFUNCTION("""COMPUTED_VALUE"""),210.3)</f>
        <v>210.3</v>
      </c>
      <c r="E772" s="1">
        <f>IFERROR(__xludf.DUMMYFUNCTION("""COMPUTED_VALUE"""),210.62)</f>
        <v>210.62</v>
      </c>
      <c r="F772" s="1">
        <f>IFERROR(__xludf.DUMMYFUNCTION("""COMPUTED_VALUE"""),8.2542718E7)</f>
        <v>82542718</v>
      </c>
    </row>
    <row r="773">
      <c r="A773" s="2">
        <f>IFERROR(__xludf.DUMMYFUNCTION("""COMPUTED_VALUE"""),45474.66666666667)</f>
        <v>45474.66667</v>
      </c>
      <c r="B773" s="1">
        <f>IFERROR(__xludf.DUMMYFUNCTION("""COMPUTED_VALUE"""),212.09)</f>
        <v>212.09</v>
      </c>
      <c r="C773" s="1">
        <f>IFERROR(__xludf.DUMMYFUNCTION("""COMPUTED_VALUE"""),217.51)</f>
        <v>217.51</v>
      </c>
      <c r="D773" s="1">
        <f>IFERROR(__xludf.DUMMYFUNCTION("""COMPUTED_VALUE"""),211.92)</f>
        <v>211.92</v>
      </c>
      <c r="E773" s="1">
        <f>IFERROR(__xludf.DUMMYFUNCTION("""COMPUTED_VALUE"""),216.75)</f>
        <v>216.75</v>
      </c>
      <c r="F773" s="1">
        <f>IFERROR(__xludf.DUMMYFUNCTION("""COMPUTED_VALUE"""),6.0402929E7)</f>
        <v>60402929</v>
      </c>
    </row>
    <row r="774">
      <c r="A774" s="2">
        <f>IFERROR(__xludf.DUMMYFUNCTION("""COMPUTED_VALUE"""),45475.66666666667)</f>
        <v>45475.66667</v>
      </c>
      <c r="B774" s="1">
        <f>IFERROR(__xludf.DUMMYFUNCTION("""COMPUTED_VALUE"""),216.15)</f>
        <v>216.15</v>
      </c>
      <c r="C774" s="1">
        <f>IFERROR(__xludf.DUMMYFUNCTION("""COMPUTED_VALUE"""),220.38)</f>
        <v>220.38</v>
      </c>
      <c r="D774" s="1">
        <f>IFERROR(__xludf.DUMMYFUNCTION("""COMPUTED_VALUE"""),215.1)</f>
        <v>215.1</v>
      </c>
      <c r="E774" s="1">
        <f>IFERROR(__xludf.DUMMYFUNCTION("""COMPUTED_VALUE"""),220.27)</f>
        <v>220.27</v>
      </c>
      <c r="F774" s="1">
        <f>IFERROR(__xludf.DUMMYFUNCTION("""COMPUTED_VALUE"""),5.8046178E7)</f>
        <v>58046178</v>
      </c>
    </row>
    <row r="775">
      <c r="A775" s="2">
        <f>IFERROR(__xludf.DUMMYFUNCTION("""COMPUTED_VALUE"""),45476.54513888889)</f>
        <v>45476.54514</v>
      </c>
      <c r="B775" s="1">
        <f>IFERROR(__xludf.DUMMYFUNCTION("""COMPUTED_VALUE"""),220.0)</f>
        <v>220</v>
      </c>
      <c r="C775" s="1">
        <f>IFERROR(__xludf.DUMMYFUNCTION("""COMPUTED_VALUE"""),221.55)</f>
        <v>221.55</v>
      </c>
      <c r="D775" s="1">
        <f>IFERROR(__xludf.DUMMYFUNCTION("""COMPUTED_VALUE"""),219.03)</f>
        <v>219.03</v>
      </c>
      <c r="E775" s="1">
        <f>IFERROR(__xludf.DUMMYFUNCTION("""COMPUTED_VALUE"""),221.55)</f>
        <v>221.55</v>
      </c>
      <c r="F775" s="1">
        <f>IFERROR(__xludf.DUMMYFUNCTION("""COMPUTED_VALUE"""),3.7369801E7)</f>
        <v>37369801</v>
      </c>
    </row>
    <row r="776">
      <c r="A776" s="2">
        <f>IFERROR(__xludf.DUMMYFUNCTION("""COMPUTED_VALUE"""),45478.66666666667)</f>
        <v>45478.66667</v>
      </c>
      <c r="B776" s="1">
        <f>IFERROR(__xludf.DUMMYFUNCTION("""COMPUTED_VALUE"""),221.65)</f>
        <v>221.65</v>
      </c>
      <c r="C776" s="1">
        <f>IFERROR(__xludf.DUMMYFUNCTION("""COMPUTED_VALUE"""),226.45)</f>
        <v>226.45</v>
      </c>
      <c r="D776" s="1">
        <f>IFERROR(__xludf.DUMMYFUNCTION("""COMPUTED_VALUE"""),221.65)</f>
        <v>221.65</v>
      </c>
      <c r="E776" s="1">
        <f>IFERROR(__xludf.DUMMYFUNCTION("""COMPUTED_VALUE"""),226.34)</f>
        <v>226.34</v>
      </c>
      <c r="F776" s="1">
        <f>IFERROR(__xludf.DUMMYFUNCTION("""COMPUTED_VALUE"""),6.0412408E7)</f>
        <v>60412408</v>
      </c>
    </row>
    <row r="777">
      <c r="A777" s="2">
        <f>IFERROR(__xludf.DUMMYFUNCTION("""COMPUTED_VALUE"""),45481.66666666667)</f>
        <v>45481.66667</v>
      </c>
      <c r="B777" s="1">
        <f>IFERROR(__xludf.DUMMYFUNCTION("""COMPUTED_VALUE"""),227.09)</f>
        <v>227.09</v>
      </c>
      <c r="C777" s="1">
        <f>IFERROR(__xludf.DUMMYFUNCTION("""COMPUTED_VALUE"""),227.85)</f>
        <v>227.85</v>
      </c>
      <c r="D777" s="1">
        <f>IFERROR(__xludf.DUMMYFUNCTION("""COMPUTED_VALUE"""),223.25)</f>
        <v>223.25</v>
      </c>
      <c r="E777" s="1">
        <f>IFERROR(__xludf.DUMMYFUNCTION("""COMPUTED_VALUE"""),227.82)</f>
        <v>227.82</v>
      </c>
      <c r="F777" s="1">
        <f>IFERROR(__xludf.DUMMYFUNCTION("""COMPUTED_VALUE"""),5.9085861E7)</f>
        <v>59085861</v>
      </c>
    </row>
    <row r="778">
      <c r="A778" s="2">
        <f>IFERROR(__xludf.DUMMYFUNCTION("""COMPUTED_VALUE"""),45482.66666666667)</f>
        <v>45482.66667</v>
      </c>
      <c r="B778" s="1">
        <f>IFERROR(__xludf.DUMMYFUNCTION("""COMPUTED_VALUE"""),227.93)</f>
        <v>227.93</v>
      </c>
      <c r="C778" s="1">
        <f>IFERROR(__xludf.DUMMYFUNCTION("""COMPUTED_VALUE"""),229.4)</f>
        <v>229.4</v>
      </c>
      <c r="D778" s="1">
        <f>IFERROR(__xludf.DUMMYFUNCTION("""COMPUTED_VALUE"""),226.37)</f>
        <v>226.37</v>
      </c>
      <c r="E778" s="1">
        <f>IFERROR(__xludf.DUMMYFUNCTION("""COMPUTED_VALUE"""),228.68)</f>
        <v>228.68</v>
      </c>
      <c r="F778" s="1">
        <f>IFERROR(__xludf.DUMMYFUNCTION("""COMPUTED_VALUE"""),4.8169822E7)</f>
        <v>48169822</v>
      </c>
    </row>
    <row r="779">
      <c r="A779" s="2">
        <f>IFERROR(__xludf.DUMMYFUNCTION("""COMPUTED_VALUE"""),45483.66666666667)</f>
        <v>45483.66667</v>
      </c>
      <c r="B779" s="1">
        <f>IFERROR(__xludf.DUMMYFUNCTION("""COMPUTED_VALUE"""),229.3)</f>
        <v>229.3</v>
      </c>
      <c r="C779" s="1">
        <f>IFERROR(__xludf.DUMMYFUNCTION("""COMPUTED_VALUE"""),233.08)</f>
        <v>233.08</v>
      </c>
      <c r="D779" s="1">
        <f>IFERROR(__xludf.DUMMYFUNCTION("""COMPUTED_VALUE"""),229.25)</f>
        <v>229.25</v>
      </c>
      <c r="E779" s="1">
        <f>IFERROR(__xludf.DUMMYFUNCTION("""COMPUTED_VALUE"""),232.98)</f>
        <v>232.98</v>
      </c>
      <c r="F779" s="1">
        <f>IFERROR(__xludf.DUMMYFUNCTION("""COMPUTED_VALUE"""),6.2627687E7)</f>
        <v>62627687</v>
      </c>
    </row>
    <row r="780">
      <c r="A780" s="2">
        <f>IFERROR(__xludf.DUMMYFUNCTION("""COMPUTED_VALUE"""),45484.66666666667)</f>
        <v>45484.66667</v>
      </c>
      <c r="B780" s="1">
        <f>IFERROR(__xludf.DUMMYFUNCTION("""COMPUTED_VALUE"""),231.39)</f>
        <v>231.39</v>
      </c>
      <c r="C780" s="1">
        <f>IFERROR(__xludf.DUMMYFUNCTION("""COMPUTED_VALUE"""),232.39)</f>
        <v>232.39</v>
      </c>
      <c r="D780" s="1">
        <f>IFERROR(__xludf.DUMMYFUNCTION("""COMPUTED_VALUE"""),225.77)</f>
        <v>225.77</v>
      </c>
      <c r="E780" s="1">
        <f>IFERROR(__xludf.DUMMYFUNCTION("""COMPUTED_VALUE"""),227.57)</f>
        <v>227.57</v>
      </c>
      <c r="F780" s="1">
        <f>IFERROR(__xludf.DUMMYFUNCTION("""COMPUTED_VALUE"""),6.4710617E7)</f>
        <v>64710617</v>
      </c>
    </row>
    <row r="781">
      <c r="A781" s="2">
        <f>IFERROR(__xludf.DUMMYFUNCTION("""COMPUTED_VALUE"""),45485.66666666667)</f>
        <v>45485.66667</v>
      </c>
      <c r="B781" s="1">
        <f>IFERROR(__xludf.DUMMYFUNCTION("""COMPUTED_VALUE"""),228.92)</f>
        <v>228.92</v>
      </c>
      <c r="C781" s="1">
        <f>IFERROR(__xludf.DUMMYFUNCTION("""COMPUTED_VALUE"""),232.64)</f>
        <v>232.64</v>
      </c>
      <c r="D781" s="1">
        <f>IFERROR(__xludf.DUMMYFUNCTION("""COMPUTED_VALUE"""),228.68)</f>
        <v>228.68</v>
      </c>
      <c r="E781" s="1">
        <f>IFERROR(__xludf.DUMMYFUNCTION("""COMPUTED_VALUE"""),230.54)</f>
        <v>230.54</v>
      </c>
      <c r="F781" s="1">
        <f>IFERROR(__xludf.DUMMYFUNCTION("""COMPUTED_VALUE"""),5.3046527E7)</f>
        <v>53046527</v>
      </c>
    </row>
    <row r="782">
      <c r="A782" s="2">
        <f>IFERROR(__xludf.DUMMYFUNCTION("""COMPUTED_VALUE"""),45488.66666666667)</f>
        <v>45488.66667</v>
      </c>
      <c r="B782" s="1">
        <f>IFERROR(__xludf.DUMMYFUNCTION("""COMPUTED_VALUE"""),236.48)</f>
        <v>236.48</v>
      </c>
      <c r="C782" s="1">
        <f>IFERROR(__xludf.DUMMYFUNCTION("""COMPUTED_VALUE"""),237.23)</f>
        <v>237.23</v>
      </c>
      <c r="D782" s="1">
        <f>IFERROR(__xludf.DUMMYFUNCTION("""COMPUTED_VALUE"""),233.09)</f>
        <v>233.09</v>
      </c>
      <c r="E782" s="1">
        <f>IFERROR(__xludf.DUMMYFUNCTION("""COMPUTED_VALUE"""),234.4)</f>
        <v>234.4</v>
      </c>
      <c r="F782" s="1">
        <f>IFERROR(__xludf.DUMMYFUNCTION("""COMPUTED_VALUE"""),6.2631252E7)</f>
        <v>62631252</v>
      </c>
    </row>
    <row r="783">
      <c r="A783" s="2">
        <f>IFERROR(__xludf.DUMMYFUNCTION("""COMPUTED_VALUE"""),45489.66666666667)</f>
        <v>45489.66667</v>
      </c>
      <c r="B783" s="1">
        <f>IFERROR(__xludf.DUMMYFUNCTION("""COMPUTED_VALUE"""),235.0)</f>
        <v>235</v>
      </c>
      <c r="C783" s="1">
        <f>IFERROR(__xludf.DUMMYFUNCTION("""COMPUTED_VALUE"""),236.27)</f>
        <v>236.27</v>
      </c>
      <c r="D783" s="1">
        <f>IFERROR(__xludf.DUMMYFUNCTION("""COMPUTED_VALUE"""),232.33)</f>
        <v>232.33</v>
      </c>
      <c r="E783" s="1">
        <f>IFERROR(__xludf.DUMMYFUNCTION("""COMPUTED_VALUE"""),234.82)</f>
        <v>234.82</v>
      </c>
      <c r="F783" s="1">
        <f>IFERROR(__xludf.DUMMYFUNCTION("""COMPUTED_VALUE"""),4.3234278E7)</f>
        <v>43234278</v>
      </c>
    </row>
    <row r="784">
      <c r="A784" s="2">
        <f>IFERROR(__xludf.DUMMYFUNCTION("""COMPUTED_VALUE"""),45490.66666666667)</f>
        <v>45490.66667</v>
      </c>
      <c r="B784" s="1">
        <f>IFERROR(__xludf.DUMMYFUNCTION("""COMPUTED_VALUE"""),229.45)</f>
        <v>229.45</v>
      </c>
      <c r="C784" s="1">
        <f>IFERROR(__xludf.DUMMYFUNCTION("""COMPUTED_VALUE"""),231.46)</f>
        <v>231.46</v>
      </c>
      <c r="D784" s="1">
        <f>IFERROR(__xludf.DUMMYFUNCTION("""COMPUTED_VALUE"""),226.64)</f>
        <v>226.64</v>
      </c>
      <c r="E784" s="1">
        <f>IFERROR(__xludf.DUMMYFUNCTION("""COMPUTED_VALUE"""),228.88)</f>
        <v>228.88</v>
      </c>
      <c r="F784" s="1">
        <f>IFERROR(__xludf.DUMMYFUNCTION("""COMPUTED_VALUE"""),5.7345884E7)</f>
        <v>57345884</v>
      </c>
    </row>
    <row r="785">
      <c r="A785" s="2">
        <f>IFERROR(__xludf.DUMMYFUNCTION("""COMPUTED_VALUE"""),45491.66666666667)</f>
        <v>45491.66667</v>
      </c>
      <c r="B785" s="1">
        <f>IFERROR(__xludf.DUMMYFUNCTION("""COMPUTED_VALUE"""),230.28)</f>
        <v>230.28</v>
      </c>
      <c r="C785" s="1">
        <f>IFERROR(__xludf.DUMMYFUNCTION("""COMPUTED_VALUE"""),230.44)</f>
        <v>230.44</v>
      </c>
      <c r="D785" s="1">
        <f>IFERROR(__xludf.DUMMYFUNCTION("""COMPUTED_VALUE"""),222.27)</f>
        <v>222.27</v>
      </c>
      <c r="E785" s="1">
        <f>IFERROR(__xludf.DUMMYFUNCTION("""COMPUTED_VALUE"""),224.18)</f>
        <v>224.18</v>
      </c>
      <c r="F785" s="1">
        <f>IFERROR(__xludf.DUMMYFUNCTION("""COMPUTED_VALUE"""),6.6034585E7)</f>
        <v>66034585</v>
      </c>
    </row>
    <row r="786">
      <c r="A786" s="2">
        <f>IFERROR(__xludf.DUMMYFUNCTION("""COMPUTED_VALUE"""),45492.66666666667)</f>
        <v>45492.66667</v>
      </c>
      <c r="B786" s="1">
        <f>IFERROR(__xludf.DUMMYFUNCTION("""COMPUTED_VALUE"""),224.82)</f>
        <v>224.82</v>
      </c>
      <c r="C786" s="1">
        <f>IFERROR(__xludf.DUMMYFUNCTION("""COMPUTED_VALUE"""),226.8)</f>
        <v>226.8</v>
      </c>
      <c r="D786" s="1">
        <f>IFERROR(__xludf.DUMMYFUNCTION("""COMPUTED_VALUE"""),223.28)</f>
        <v>223.28</v>
      </c>
      <c r="E786" s="1">
        <f>IFERROR(__xludf.DUMMYFUNCTION("""COMPUTED_VALUE"""),224.31)</f>
        <v>224.31</v>
      </c>
      <c r="F786" s="1">
        <f>IFERROR(__xludf.DUMMYFUNCTION("""COMPUTED_VALUE"""),4.9151453E7)</f>
        <v>49151453</v>
      </c>
    </row>
    <row r="787">
      <c r="A787" s="2">
        <f>IFERROR(__xludf.DUMMYFUNCTION("""COMPUTED_VALUE"""),45495.66666666667)</f>
        <v>45495.66667</v>
      </c>
      <c r="B787" s="1">
        <f>IFERROR(__xludf.DUMMYFUNCTION("""COMPUTED_VALUE"""),227.01)</f>
        <v>227.01</v>
      </c>
      <c r="C787" s="1">
        <f>IFERROR(__xludf.DUMMYFUNCTION("""COMPUTED_VALUE"""),227.78)</f>
        <v>227.78</v>
      </c>
      <c r="D787" s="1">
        <f>IFERROR(__xludf.DUMMYFUNCTION("""COMPUTED_VALUE"""),223.09)</f>
        <v>223.09</v>
      </c>
      <c r="E787" s="1">
        <f>IFERROR(__xludf.DUMMYFUNCTION("""COMPUTED_VALUE"""),223.96)</f>
        <v>223.96</v>
      </c>
      <c r="F787" s="1">
        <f>IFERROR(__xludf.DUMMYFUNCTION("""COMPUTED_VALUE"""),4.8201835E7)</f>
        <v>48201835</v>
      </c>
    </row>
    <row r="788">
      <c r="A788" s="2">
        <f>IFERROR(__xludf.DUMMYFUNCTION("""COMPUTED_VALUE"""),45496.66666666667)</f>
        <v>45496.66667</v>
      </c>
      <c r="B788" s="1">
        <f>IFERROR(__xludf.DUMMYFUNCTION("""COMPUTED_VALUE"""),224.37)</f>
        <v>224.37</v>
      </c>
      <c r="C788" s="1">
        <f>IFERROR(__xludf.DUMMYFUNCTION("""COMPUTED_VALUE"""),226.94)</f>
        <v>226.94</v>
      </c>
      <c r="D788" s="1">
        <f>IFERROR(__xludf.DUMMYFUNCTION("""COMPUTED_VALUE"""),222.68)</f>
        <v>222.68</v>
      </c>
      <c r="E788" s="1">
        <f>IFERROR(__xludf.DUMMYFUNCTION("""COMPUTED_VALUE"""),225.01)</f>
        <v>225.01</v>
      </c>
      <c r="F788" s="1">
        <f>IFERROR(__xludf.DUMMYFUNCTION("""COMPUTED_VALUE"""),3.996026E7)</f>
        <v>39960260</v>
      </c>
    </row>
    <row r="789">
      <c r="A789" s="2">
        <f>IFERROR(__xludf.DUMMYFUNCTION("""COMPUTED_VALUE"""),45497.66666666667)</f>
        <v>45497.66667</v>
      </c>
      <c r="B789" s="1">
        <f>IFERROR(__xludf.DUMMYFUNCTION("""COMPUTED_VALUE"""),224.0)</f>
        <v>224</v>
      </c>
      <c r="C789" s="1">
        <f>IFERROR(__xludf.DUMMYFUNCTION("""COMPUTED_VALUE"""),224.8)</f>
        <v>224.8</v>
      </c>
      <c r="D789" s="1">
        <f>IFERROR(__xludf.DUMMYFUNCTION("""COMPUTED_VALUE"""),217.13)</f>
        <v>217.13</v>
      </c>
      <c r="E789" s="1">
        <f>IFERROR(__xludf.DUMMYFUNCTION("""COMPUTED_VALUE"""),218.54)</f>
        <v>218.54</v>
      </c>
      <c r="F789" s="1">
        <f>IFERROR(__xludf.DUMMYFUNCTION("""COMPUTED_VALUE"""),6.1777576E7)</f>
        <v>61777576</v>
      </c>
    </row>
    <row r="790">
      <c r="A790" s="2">
        <f>IFERROR(__xludf.DUMMYFUNCTION("""COMPUTED_VALUE"""),45498.66666666667)</f>
        <v>45498.66667</v>
      </c>
      <c r="B790" s="1">
        <f>IFERROR(__xludf.DUMMYFUNCTION("""COMPUTED_VALUE"""),218.93)</f>
        <v>218.93</v>
      </c>
      <c r="C790" s="1">
        <f>IFERROR(__xludf.DUMMYFUNCTION("""COMPUTED_VALUE"""),220.85)</f>
        <v>220.85</v>
      </c>
      <c r="D790" s="1">
        <f>IFERROR(__xludf.DUMMYFUNCTION("""COMPUTED_VALUE"""),214.62)</f>
        <v>214.62</v>
      </c>
      <c r="E790" s="1">
        <f>IFERROR(__xludf.DUMMYFUNCTION("""COMPUTED_VALUE"""),217.49)</f>
        <v>217.49</v>
      </c>
      <c r="F790" s="1">
        <f>IFERROR(__xludf.DUMMYFUNCTION("""COMPUTED_VALUE"""),5.1391199E7)</f>
        <v>51391199</v>
      </c>
    </row>
    <row r="791">
      <c r="A791" s="2">
        <f>IFERROR(__xludf.DUMMYFUNCTION("""COMPUTED_VALUE"""),45499.66666666667)</f>
        <v>45499.66667</v>
      </c>
      <c r="B791" s="1">
        <f>IFERROR(__xludf.DUMMYFUNCTION("""COMPUTED_VALUE"""),218.7)</f>
        <v>218.7</v>
      </c>
      <c r="C791" s="1">
        <f>IFERROR(__xludf.DUMMYFUNCTION("""COMPUTED_VALUE"""),219.49)</f>
        <v>219.49</v>
      </c>
      <c r="D791" s="1">
        <f>IFERROR(__xludf.DUMMYFUNCTION("""COMPUTED_VALUE"""),216.01)</f>
        <v>216.01</v>
      </c>
      <c r="E791" s="1">
        <f>IFERROR(__xludf.DUMMYFUNCTION("""COMPUTED_VALUE"""),217.96)</f>
        <v>217.96</v>
      </c>
      <c r="F791" s="1">
        <f>IFERROR(__xludf.DUMMYFUNCTION("""COMPUTED_VALUE"""),4.1601345E7)</f>
        <v>41601345</v>
      </c>
    </row>
    <row r="792">
      <c r="A792" s="2">
        <f>IFERROR(__xludf.DUMMYFUNCTION("""COMPUTED_VALUE"""),45502.66666666667)</f>
        <v>45502.66667</v>
      </c>
      <c r="B792" s="1">
        <f>IFERROR(__xludf.DUMMYFUNCTION("""COMPUTED_VALUE"""),216.96)</f>
        <v>216.96</v>
      </c>
      <c r="C792" s="1">
        <f>IFERROR(__xludf.DUMMYFUNCTION("""COMPUTED_VALUE"""),219.3)</f>
        <v>219.3</v>
      </c>
      <c r="D792" s="1">
        <f>IFERROR(__xludf.DUMMYFUNCTION("""COMPUTED_VALUE"""),215.75)</f>
        <v>215.75</v>
      </c>
      <c r="E792" s="1">
        <f>IFERROR(__xludf.DUMMYFUNCTION("""COMPUTED_VALUE"""),218.24)</f>
        <v>218.24</v>
      </c>
      <c r="F792" s="1">
        <f>IFERROR(__xludf.DUMMYFUNCTION("""COMPUTED_VALUE"""),3.6311778E7)</f>
        <v>36311778</v>
      </c>
    </row>
    <row r="793">
      <c r="A793" s="2">
        <f>IFERROR(__xludf.DUMMYFUNCTION("""COMPUTED_VALUE"""),45503.66666666667)</f>
        <v>45503.66667</v>
      </c>
      <c r="B793" s="1">
        <f>IFERROR(__xludf.DUMMYFUNCTION("""COMPUTED_VALUE"""),219.19)</f>
        <v>219.19</v>
      </c>
      <c r="C793" s="1">
        <f>IFERROR(__xludf.DUMMYFUNCTION("""COMPUTED_VALUE"""),220.33)</f>
        <v>220.33</v>
      </c>
      <c r="D793" s="1">
        <f>IFERROR(__xludf.DUMMYFUNCTION("""COMPUTED_VALUE"""),216.12)</f>
        <v>216.12</v>
      </c>
      <c r="E793" s="1">
        <f>IFERROR(__xludf.DUMMYFUNCTION("""COMPUTED_VALUE"""),218.8)</f>
        <v>218.8</v>
      </c>
      <c r="F793" s="1">
        <f>IFERROR(__xludf.DUMMYFUNCTION("""COMPUTED_VALUE"""),4.164384E7)</f>
        <v>41643840</v>
      </c>
    </row>
    <row r="794">
      <c r="A794" s="2">
        <f>IFERROR(__xludf.DUMMYFUNCTION("""COMPUTED_VALUE"""),45504.66666666667)</f>
        <v>45504.66667</v>
      </c>
      <c r="B794" s="1">
        <f>IFERROR(__xludf.DUMMYFUNCTION("""COMPUTED_VALUE"""),221.44)</f>
        <v>221.44</v>
      </c>
      <c r="C794" s="1">
        <f>IFERROR(__xludf.DUMMYFUNCTION("""COMPUTED_VALUE"""),223.82)</f>
        <v>223.82</v>
      </c>
      <c r="D794" s="1">
        <f>IFERROR(__xludf.DUMMYFUNCTION("""COMPUTED_VALUE"""),220.63)</f>
        <v>220.63</v>
      </c>
      <c r="E794" s="1">
        <f>IFERROR(__xludf.DUMMYFUNCTION("""COMPUTED_VALUE"""),222.08)</f>
        <v>222.08</v>
      </c>
      <c r="F794" s="1">
        <f>IFERROR(__xludf.DUMMYFUNCTION("""COMPUTED_VALUE"""),5.0036262E7)</f>
        <v>50036262</v>
      </c>
    </row>
    <row r="795">
      <c r="A795" s="2">
        <f>IFERROR(__xludf.DUMMYFUNCTION("""COMPUTED_VALUE"""),45505.66666666667)</f>
        <v>45505.66667</v>
      </c>
      <c r="B795" s="1">
        <f>IFERROR(__xludf.DUMMYFUNCTION("""COMPUTED_VALUE"""),224.37)</f>
        <v>224.37</v>
      </c>
      <c r="C795" s="1">
        <f>IFERROR(__xludf.DUMMYFUNCTION("""COMPUTED_VALUE"""),224.48)</f>
        <v>224.48</v>
      </c>
      <c r="D795" s="1">
        <f>IFERROR(__xludf.DUMMYFUNCTION("""COMPUTED_VALUE"""),217.02)</f>
        <v>217.02</v>
      </c>
      <c r="E795" s="1">
        <f>IFERROR(__xludf.DUMMYFUNCTION("""COMPUTED_VALUE"""),218.36)</f>
        <v>218.36</v>
      </c>
      <c r="F795" s="1">
        <f>IFERROR(__xludf.DUMMYFUNCTION("""COMPUTED_VALUE"""),6.2500996E7)</f>
        <v>62500996</v>
      </c>
    </row>
    <row r="796">
      <c r="A796" s="2">
        <f>IFERROR(__xludf.DUMMYFUNCTION("""COMPUTED_VALUE"""),45506.66666666667)</f>
        <v>45506.66667</v>
      </c>
      <c r="B796" s="1">
        <f>IFERROR(__xludf.DUMMYFUNCTION("""COMPUTED_VALUE"""),219.15)</f>
        <v>219.15</v>
      </c>
      <c r="C796" s="1">
        <f>IFERROR(__xludf.DUMMYFUNCTION("""COMPUTED_VALUE"""),225.6)</f>
        <v>225.6</v>
      </c>
      <c r="D796" s="1">
        <f>IFERROR(__xludf.DUMMYFUNCTION("""COMPUTED_VALUE"""),217.71)</f>
        <v>217.71</v>
      </c>
      <c r="E796" s="1">
        <f>IFERROR(__xludf.DUMMYFUNCTION("""COMPUTED_VALUE"""),219.86)</f>
        <v>219.86</v>
      </c>
      <c r="F796" s="1">
        <f>IFERROR(__xludf.DUMMYFUNCTION("""COMPUTED_VALUE"""),1.0556856E8)</f>
        <v>105568560</v>
      </c>
    </row>
    <row r="797">
      <c r="A797" s="2">
        <f>IFERROR(__xludf.DUMMYFUNCTION("""COMPUTED_VALUE"""),45509.66666666667)</f>
        <v>45509.66667</v>
      </c>
      <c r="B797" s="1">
        <f>IFERROR(__xludf.DUMMYFUNCTION("""COMPUTED_VALUE"""),199.09)</f>
        <v>199.09</v>
      </c>
      <c r="C797" s="1">
        <f>IFERROR(__xludf.DUMMYFUNCTION("""COMPUTED_VALUE"""),213.5)</f>
        <v>213.5</v>
      </c>
      <c r="D797" s="1">
        <f>IFERROR(__xludf.DUMMYFUNCTION("""COMPUTED_VALUE"""),196.0)</f>
        <v>196</v>
      </c>
      <c r="E797" s="1">
        <f>IFERROR(__xludf.DUMMYFUNCTION("""COMPUTED_VALUE"""),209.27)</f>
        <v>209.27</v>
      </c>
      <c r="F797" s="1">
        <f>IFERROR(__xludf.DUMMYFUNCTION("""COMPUTED_VALUE"""),1.19548589E8)</f>
        <v>119548589</v>
      </c>
    </row>
    <row r="798">
      <c r="A798" s="2">
        <f>IFERROR(__xludf.DUMMYFUNCTION("""COMPUTED_VALUE"""),45510.66666666667)</f>
        <v>45510.66667</v>
      </c>
      <c r="B798" s="1">
        <f>IFERROR(__xludf.DUMMYFUNCTION("""COMPUTED_VALUE"""),205.3)</f>
        <v>205.3</v>
      </c>
      <c r="C798" s="1">
        <f>IFERROR(__xludf.DUMMYFUNCTION("""COMPUTED_VALUE"""),209.99)</f>
        <v>209.99</v>
      </c>
      <c r="D798" s="1">
        <f>IFERROR(__xludf.DUMMYFUNCTION("""COMPUTED_VALUE"""),201.07)</f>
        <v>201.07</v>
      </c>
      <c r="E798" s="1">
        <f>IFERROR(__xludf.DUMMYFUNCTION("""COMPUTED_VALUE"""),207.23)</f>
        <v>207.23</v>
      </c>
      <c r="F798" s="1">
        <f>IFERROR(__xludf.DUMMYFUNCTION("""COMPUTED_VALUE"""),6.9660488E7)</f>
        <v>69660488</v>
      </c>
    </row>
    <row r="799">
      <c r="A799" s="2">
        <f>IFERROR(__xludf.DUMMYFUNCTION("""COMPUTED_VALUE"""),45511.66666666667)</f>
        <v>45511.66667</v>
      </c>
      <c r="B799" s="1">
        <f>IFERROR(__xludf.DUMMYFUNCTION("""COMPUTED_VALUE"""),206.9)</f>
        <v>206.9</v>
      </c>
      <c r="C799" s="1">
        <f>IFERROR(__xludf.DUMMYFUNCTION("""COMPUTED_VALUE"""),213.64)</f>
        <v>213.64</v>
      </c>
      <c r="D799" s="1">
        <f>IFERROR(__xludf.DUMMYFUNCTION("""COMPUTED_VALUE"""),206.39)</f>
        <v>206.39</v>
      </c>
      <c r="E799" s="1">
        <f>IFERROR(__xludf.DUMMYFUNCTION("""COMPUTED_VALUE"""),209.82)</f>
        <v>209.82</v>
      </c>
      <c r="F799" s="1">
        <f>IFERROR(__xludf.DUMMYFUNCTION("""COMPUTED_VALUE"""),6.3516417E7)</f>
        <v>63516417</v>
      </c>
    </row>
    <row r="800">
      <c r="A800" s="2">
        <f>IFERROR(__xludf.DUMMYFUNCTION("""COMPUTED_VALUE"""),45512.66666666667)</f>
        <v>45512.66667</v>
      </c>
      <c r="B800" s="1">
        <f>IFERROR(__xludf.DUMMYFUNCTION("""COMPUTED_VALUE"""),213.11)</f>
        <v>213.11</v>
      </c>
      <c r="C800" s="1">
        <f>IFERROR(__xludf.DUMMYFUNCTION("""COMPUTED_VALUE"""),214.2)</f>
        <v>214.2</v>
      </c>
      <c r="D800" s="1">
        <f>IFERROR(__xludf.DUMMYFUNCTION("""COMPUTED_VALUE"""),208.83)</f>
        <v>208.83</v>
      </c>
      <c r="E800" s="1">
        <f>IFERROR(__xludf.DUMMYFUNCTION("""COMPUTED_VALUE"""),213.31)</f>
        <v>213.31</v>
      </c>
      <c r="F800" s="1">
        <f>IFERROR(__xludf.DUMMYFUNCTION("""COMPUTED_VALUE"""),4.7161149E7)</f>
        <v>47161149</v>
      </c>
    </row>
    <row r="801">
      <c r="A801" s="2">
        <f>IFERROR(__xludf.DUMMYFUNCTION("""COMPUTED_VALUE"""),45513.66666666667)</f>
        <v>45513.66667</v>
      </c>
      <c r="B801" s="1">
        <f>IFERROR(__xludf.DUMMYFUNCTION("""COMPUTED_VALUE"""),212.1)</f>
        <v>212.1</v>
      </c>
      <c r="C801" s="1">
        <f>IFERROR(__xludf.DUMMYFUNCTION("""COMPUTED_VALUE"""),216.78)</f>
        <v>216.78</v>
      </c>
      <c r="D801" s="1">
        <f>IFERROR(__xludf.DUMMYFUNCTION("""COMPUTED_VALUE"""),211.97)</f>
        <v>211.97</v>
      </c>
      <c r="E801" s="1">
        <f>IFERROR(__xludf.DUMMYFUNCTION("""COMPUTED_VALUE"""),216.24)</f>
        <v>216.24</v>
      </c>
      <c r="F801" s="1">
        <f>IFERROR(__xludf.DUMMYFUNCTION("""COMPUTED_VALUE"""),4.2201646E7)</f>
        <v>42201646</v>
      </c>
    </row>
    <row r="802">
      <c r="A802" s="2">
        <f>IFERROR(__xludf.DUMMYFUNCTION("""COMPUTED_VALUE"""),45516.66666666667)</f>
        <v>45516.66667</v>
      </c>
      <c r="B802" s="1">
        <f>IFERROR(__xludf.DUMMYFUNCTION("""COMPUTED_VALUE"""),216.07)</f>
        <v>216.07</v>
      </c>
      <c r="C802" s="1">
        <f>IFERROR(__xludf.DUMMYFUNCTION("""COMPUTED_VALUE"""),219.51)</f>
        <v>219.51</v>
      </c>
      <c r="D802" s="1">
        <f>IFERROR(__xludf.DUMMYFUNCTION("""COMPUTED_VALUE"""),215.6)</f>
        <v>215.6</v>
      </c>
      <c r="E802" s="1">
        <f>IFERROR(__xludf.DUMMYFUNCTION("""COMPUTED_VALUE"""),217.53)</f>
        <v>217.53</v>
      </c>
      <c r="F802" s="1">
        <f>IFERROR(__xludf.DUMMYFUNCTION("""COMPUTED_VALUE"""),3.8028092E7)</f>
        <v>38028092</v>
      </c>
    </row>
    <row r="803">
      <c r="A803" s="2">
        <f>IFERROR(__xludf.DUMMYFUNCTION("""COMPUTED_VALUE"""),45517.66666666667)</f>
        <v>45517.66667</v>
      </c>
      <c r="B803" s="1">
        <f>IFERROR(__xludf.DUMMYFUNCTION("""COMPUTED_VALUE"""),219.01)</f>
        <v>219.01</v>
      </c>
      <c r="C803" s="1">
        <f>IFERROR(__xludf.DUMMYFUNCTION("""COMPUTED_VALUE"""),221.89)</f>
        <v>221.89</v>
      </c>
      <c r="D803" s="1">
        <f>IFERROR(__xludf.DUMMYFUNCTION("""COMPUTED_VALUE"""),219.01)</f>
        <v>219.01</v>
      </c>
      <c r="E803" s="1">
        <f>IFERROR(__xludf.DUMMYFUNCTION("""COMPUTED_VALUE"""),221.27)</f>
        <v>221.27</v>
      </c>
      <c r="F803" s="1">
        <f>IFERROR(__xludf.DUMMYFUNCTION("""COMPUTED_VALUE"""),4.4155331E7)</f>
        <v>44155331</v>
      </c>
    </row>
    <row r="804">
      <c r="A804" s="2">
        <f>IFERROR(__xludf.DUMMYFUNCTION("""COMPUTED_VALUE"""),45518.66666666667)</f>
        <v>45518.66667</v>
      </c>
      <c r="B804" s="1">
        <f>IFERROR(__xludf.DUMMYFUNCTION("""COMPUTED_VALUE"""),220.57)</f>
        <v>220.57</v>
      </c>
      <c r="C804" s="1">
        <f>IFERROR(__xludf.DUMMYFUNCTION("""COMPUTED_VALUE"""),223.03)</f>
        <v>223.03</v>
      </c>
      <c r="D804" s="1">
        <f>IFERROR(__xludf.DUMMYFUNCTION("""COMPUTED_VALUE"""),219.7)</f>
        <v>219.7</v>
      </c>
      <c r="E804" s="1">
        <f>IFERROR(__xludf.DUMMYFUNCTION("""COMPUTED_VALUE"""),221.72)</f>
        <v>221.72</v>
      </c>
      <c r="F804" s="1">
        <f>IFERROR(__xludf.DUMMYFUNCTION("""COMPUTED_VALUE"""),4.1960574E7)</f>
        <v>41960574</v>
      </c>
    </row>
    <row r="805">
      <c r="A805" s="2">
        <f>IFERROR(__xludf.DUMMYFUNCTION("""COMPUTED_VALUE"""),45519.66666666667)</f>
        <v>45519.66667</v>
      </c>
      <c r="B805" s="1">
        <f>IFERROR(__xludf.DUMMYFUNCTION("""COMPUTED_VALUE"""),224.6)</f>
        <v>224.6</v>
      </c>
      <c r="C805" s="1">
        <f>IFERROR(__xludf.DUMMYFUNCTION("""COMPUTED_VALUE"""),225.35)</f>
        <v>225.35</v>
      </c>
      <c r="D805" s="1">
        <f>IFERROR(__xludf.DUMMYFUNCTION("""COMPUTED_VALUE"""),222.76)</f>
        <v>222.76</v>
      </c>
      <c r="E805" s="1">
        <f>IFERROR(__xludf.DUMMYFUNCTION("""COMPUTED_VALUE"""),224.72)</f>
        <v>224.72</v>
      </c>
      <c r="F805" s="1">
        <f>IFERROR(__xludf.DUMMYFUNCTION("""COMPUTED_VALUE"""),4.6414013E7)</f>
        <v>46414013</v>
      </c>
    </row>
    <row r="806">
      <c r="A806" s="2">
        <f>IFERROR(__xludf.DUMMYFUNCTION("""COMPUTED_VALUE"""),45520.66666666667)</f>
        <v>45520.66667</v>
      </c>
      <c r="B806" s="1">
        <f>IFERROR(__xludf.DUMMYFUNCTION("""COMPUTED_VALUE"""),223.92)</f>
        <v>223.92</v>
      </c>
      <c r="C806" s="1">
        <f>IFERROR(__xludf.DUMMYFUNCTION("""COMPUTED_VALUE"""),226.83)</f>
        <v>226.83</v>
      </c>
      <c r="D806" s="1">
        <f>IFERROR(__xludf.DUMMYFUNCTION("""COMPUTED_VALUE"""),223.65)</f>
        <v>223.65</v>
      </c>
      <c r="E806" s="1">
        <f>IFERROR(__xludf.DUMMYFUNCTION("""COMPUTED_VALUE"""),226.05)</f>
        <v>226.05</v>
      </c>
      <c r="F806" s="1">
        <f>IFERROR(__xludf.DUMMYFUNCTION("""COMPUTED_VALUE"""),4.434024E7)</f>
        <v>44340240</v>
      </c>
    </row>
    <row r="807">
      <c r="A807" s="2">
        <f>IFERROR(__xludf.DUMMYFUNCTION("""COMPUTED_VALUE"""),45523.66666666667)</f>
        <v>45523.66667</v>
      </c>
      <c r="B807" s="1">
        <f>IFERROR(__xludf.DUMMYFUNCTION("""COMPUTED_VALUE"""),225.72)</f>
        <v>225.72</v>
      </c>
      <c r="C807" s="1">
        <f>IFERROR(__xludf.DUMMYFUNCTION("""COMPUTED_VALUE"""),225.99)</f>
        <v>225.99</v>
      </c>
      <c r="D807" s="1">
        <f>IFERROR(__xludf.DUMMYFUNCTION("""COMPUTED_VALUE"""),223.04)</f>
        <v>223.04</v>
      </c>
      <c r="E807" s="1">
        <f>IFERROR(__xludf.DUMMYFUNCTION("""COMPUTED_VALUE"""),225.89)</f>
        <v>225.89</v>
      </c>
      <c r="F807" s="1">
        <f>IFERROR(__xludf.DUMMYFUNCTION("""COMPUTED_VALUE"""),4.0687813E7)</f>
        <v>40687813</v>
      </c>
    </row>
    <row r="808">
      <c r="A808" s="2">
        <f>IFERROR(__xludf.DUMMYFUNCTION("""COMPUTED_VALUE"""),45524.66666666667)</f>
        <v>45524.66667</v>
      </c>
      <c r="B808" s="1">
        <f>IFERROR(__xludf.DUMMYFUNCTION("""COMPUTED_VALUE"""),225.77)</f>
        <v>225.77</v>
      </c>
      <c r="C808" s="1">
        <f>IFERROR(__xludf.DUMMYFUNCTION("""COMPUTED_VALUE"""),227.17)</f>
        <v>227.17</v>
      </c>
      <c r="D808" s="1">
        <f>IFERROR(__xludf.DUMMYFUNCTION("""COMPUTED_VALUE"""),225.45)</f>
        <v>225.45</v>
      </c>
      <c r="E808" s="1">
        <f>IFERROR(__xludf.DUMMYFUNCTION("""COMPUTED_VALUE"""),226.51)</f>
        <v>226.51</v>
      </c>
      <c r="F808" s="1">
        <f>IFERROR(__xludf.DUMMYFUNCTION("""COMPUTED_VALUE"""),3.0299033E7)</f>
        <v>30299033</v>
      </c>
    </row>
    <row r="809">
      <c r="A809" s="2">
        <f>IFERROR(__xludf.DUMMYFUNCTION("""COMPUTED_VALUE"""),45525.66666666667)</f>
        <v>45525.66667</v>
      </c>
      <c r="B809" s="1">
        <f>IFERROR(__xludf.DUMMYFUNCTION("""COMPUTED_VALUE"""),226.52)</f>
        <v>226.52</v>
      </c>
      <c r="C809" s="1">
        <f>IFERROR(__xludf.DUMMYFUNCTION("""COMPUTED_VALUE"""),227.98)</f>
        <v>227.98</v>
      </c>
      <c r="D809" s="1">
        <f>IFERROR(__xludf.DUMMYFUNCTION("""COMPUTED_VALUE"""),225.05)</f>
        <v>225.05</v>
      </c>
      <c r="E809" s="1">
        <f>IFERROR(__xludf.DUMMYFUNCTION("""COMPUTED_VALUE"""),226.4)</f>
        <v>226.4</v>
      </c>
      <c r="F809" s="1">
        <f>IFERROR(__xludf.DUMMYFUNCTION("""COMPUTED_VALUE"""),3.476548E7)</f>
        <v>34765480</v>
      </c>
    </row>
    <row r="810">
      <c r="A810" s="2">
        <f>IFERROR(__xludf.DUMMYFUNCTION("""COMPUTED_VALUE"""),45526.66666666667)</f>
        <v>45526.66667</v>
      </c>
      <c r="B810" s="1">
        <f>IFERROR(__xludf.DUMMYFUNCTION("""COMPUTED_VALUE"""),227.79)</f>
        <v>227.79</v>
      </c>
      <c r="C810" s="1">
        <f>IFERROR(__xludf.DUMMYFUNCTION("""COMPUTED_VALUE"""),228.34)</f>
        <v>228.34</v>
      </c>
      <c r="D810" s="1">
        <f>IFERROR(__xludf.DUMMYFUNCTION("""COMPUTED_VALUE"""),223.9)</f>
        <v>223.9</v>
      </c>
      <c r="E810" s="1">
        <f>IFERROR(__xludf.DUMMYFUNCTION("""COMPUTED_VALUE"""),224.53)</f>
        <v>224.53</v>
      </c>
      <c r="F810" s="1">
        <f>IFERROR(__xludf.DUMMYFUNCTION("""COMPUTED_VALUE"""),4.3695321E7)</f>
        <v>43695321</v>
      </c>
    </row>
    <row r="811">
      <c r="A811" s="2">
        <f>IFERROR(__xludf.DUMMYFUNCTION("""COMPUTED_VALUE"""),45527.66666666667)</f>
        <v>45527.66667</v>
      </c>
      <c r="B811" s="1">
        <f>IFERROR(__xludf.DUMMYFUNCTION("""COMPUTED_VALUE"""),225.66)</f>
        <v>225.66</v>
      </c>
      <c r="C811" s="1">
        <f>IFERROR(__xludf.DUMMYFUNCTION("""COMPUTED_VALUE"""),228.22)</f>
        <v>228.22</v>
      </c>
      <c r="D811" s="1">
        <f>IFERROR(__xludf.DUMMYFUNCTION("""COMPUTED_VALUE"""),224.33)</f>
        <v>224.33</v>
      </c>
      <c r="E811" s="1">
        <f>IFERROR(__xludf.DUMMYFUNCTION("""COMPUTED_VALUE"""),226.84)</f>
        <v>226.84</v>
      </c>
      <c r="F811" s="1">
        <f>IFERROR(__xludf.DUMMYFUNCTION("""COMPUTED_VALUE"""),3.867725E7)</f>
        <v>38677250</v>
      </c>
    </row>
    <row r="812">
      <c r="A812" s="2">
        <f>IFERROR(__xludf.DUMMYFUNCTION("""COMPUTED_VALUE"""),45530.66666666667)</f>
        <v>45530.66667</v>
      </c>
      <c r="B812" s="1">
        <f>IFERROR(__xludf.DUMMYFUNCTION("""COMPUTED_VALUE"""),226.76)</f>
        <v>226.76</v>
      </c>
      <c r="C812" s="1">
        <f>IFERROR(__xludf.DUMMYFUNCTION("""COMPUTED_VALUE"""),227.28)</f>
        <v>227.28</v>
      </c>
      <c r="D812" s="1">
        <f>IFERROR(__xludf.DUMMYFUNCTION("""COMPUTED_VALUE"""),223.89)</f>
        <v>223.89</v>
      </c>
      <c r="E812" s="1">
        <f>IFERROR(__xludf.DUMMYFUNCTION("""COMPUTED_VALUE"""),227.18)</f>
        <v>227.18</v>
      </c>
      <c r="F812" s="1">
        <f>IFERROR(__xludf.DUMMYFUNCTION("""COMPUTED_VALUE"""),3.0602208E7)</f>
        <v>30602208</v>
      </c>
    </row>
    <row r="813">
      <c r="A813" s="2">
        <f>IFERROR(__xludf.DUMMYFUNCTION("""COMPUTED_VALUE"""),45531.66666666667)</f>
        <v>45531.66667</v>
      </c>
      <c r="B813" s="1">
        <f>IFERROR(__xludf.DUMMYFUNCTION("""COMPUTED_VALUE"""),226.0)</f>
        <v>226</v>
      </c>
      <c r="C813" s="1">
        <f>IFERROR(__xludf.DUMMYFUNCTION("""COMPUTED_VALUE"""),228.85)</f>
        <v>228.85</v>
      </c>
      <c r="D813" s="1">
        <f>IFERROR(__xludf.DUMMYFUNCTION("""COMPUTED_VALUE"""),224.89)</f>
        <v>224.89</v>
      </c>
      <c r="E813" s="1">
        <f>IFERROR(__xludf.DUMMYFUNCTION("""COMPUTED_VALUE"""),228.03)</f>
        <v>228.03</v>
      </c>
      <c r="F813" s="1">
        <f>IFERROR(__xludf.DUMMYFUNCTION("""COMPUTED_VALUE"""),3.5934559E7)</f>
        <v>35934559</v>
      </c>
    </row>
    <row r="814">
      <c r="A814" s="2">
        <f>IFERROR(__xludf.DUMMYFUNCTION("""COMPUTED_VALUE"""),45532.66666666667)</f>
        <v>45532.66667</v>
      </c>
      <c r="B814" s="1">
        <f>IFERROR(__xludf.DUMMYFUNCTION("""COMPUTED_VALUE"""),227.92)</f>
        <v>227.92</v>
      </c>
      <c r="C814" s="1">
        <f>IFERROR(__xludf.DUMMYFUNCTION("""COMPUTED_VALUE"""),229.86)</f>
        <v>229.86</v>
      </c>
      <c r="D814" s="1">
        <f>IFERROR(__xludf.DUMMYFUNCTION("""COMPUTED_VALUE"""),225.68)</f>
        <v>225.68</v>
      </c>
      <c r="E814" s="1">
        <f>IFERROR(__xludf.DUMMYFUNCTION("""COMPUTED_VALUE"""),226.49)</f>
        <v>226.49</v>
      </c>
      <c r="F814" s="1">
        <f>IFERROR(__xludf.DUMMYFUNCTION("""COMPUTED_VALUE"""),3.8052167E7)</f>
        <v>38052167</v>
      </c>
    </row>
    <row r="815">
      <c r="A815" s="2">
        <f>IFERROR(__xludf.DUMMYFUNCTION("""COMPUTED_VALUE"""),45533.66666666667)</f>
        <v>45533.66667</v>
      </c>
      <c r="B815" s="1">
        <f>IFERROR(__xludf.DUMMYFUNCTION("""COMPUTED_VALUE"""),230.1)</f>
        <v>230.1</v>
      </c>
      <c r="C815" s="1">
        <f>IFERROR(__xludf.DUMMYFUNCTION("""COMPUTED_VALUE"""),232.92)</f>
        <v>232.92</v>
      </c>
      <c r="D815" s="1">
        <f>IFERROR(__xludf.DUMMYFUNCTION("""COMPUTED_VALUE"""),228.88)</f>
        <v>228.88</v>
      </c>
      <c r="E815" s="1">
        <f>IFERROR(__xludf.DUMMYFUNCTION("""COMPUTED_VALUE"""),229.79)</f>
        <v>229.79</v>
      </c>
      <c r="F815" s="1">
        <f>IFERROR(__xludf.DUMMYFUNCTION("""COMPUTED_VALUE"""),5.1906297E7)</f>
        <v>51906297</v>
      </c>
    </row>
    <row r="816">
      <c r="A816" s="2">
        <f>IFERROR(__xludf.DUMMYFUNCTION("""COMPUTED_VALUE"""),45534.66666666667)</f>
        <v>45534.66667</v>
      </c>
      <c r="B816" s="1">
        <f>IFERROR(__xludf.DUMMYFUNCTION("""COMPUTED_VALUE"""),230.19)</f>
        <v>230.19</v>
      </c>
      <c r="C816" s="1">
        <f>IFERROR(__xludf.DUMMYFUNCTION("""COMPUTED_VALUE"""),230.4)</f>
        <v>230.4</v>
      </c>
      <c r="D816" s="1">
        <f>IFERROR(__xludf.DUMMYFUNCTION("""COMPUTED_VALUE"""),227.48)</f>
        <v>227.48</v>
      </c>
      <c r="E816" s="1">
        <f>IFERROR(__xludf.DUMMYFUNCTION("""COMPUTED_VALUE"""),229.0)</f>
        <v>229</v>
      </c>
      <c r="F816" s="1">
        <f>IFERROR(__xludf.DUMMYFUNCTION("""COMPUTED_VALUE"""),5.299077E7)</f>
        <v>52990770</v>
      </c>
    </row>
    <row r="817">
      <c r="A817" s="2">
        <f>IFERROR(__xludf.DUMMYFUNCTION("""COMPUTED_VALUE"""),45538.66666666667)</f>
        <v>45538.66667</v>
      </c>
      <c r="B817" s="1">
        <f>IFERROR(__xludf.DUMMYFUNCTION("""COMPUTED_VALUE"""),228.55)</f>
        <v>228.55</v>
      </c>
      <c r="C817" s="1">
        <f>IFERROR(__xludf.DUMMYFUNCTION("""COMPUTED_VALUE"""),229.0)</f>
        <v>229</v>
      </c>
      <c r="D817" s="1">
        <f>IFERROR(__xludf.DUMMYFUNCTION("""COMPUTED_VALUE"""),221.17)</f>
        <v>221.17</v>
      </c>
      <c r="E817" s="1">
        <f>IFERROR(__xludf.DUMMYFUNCTION("""COMPUTED_VALUE"""),222.77)</f>
        <v>222.77</v>
      </c>
      <c r="F817" s="1">
        <f>IFERROR(__xludf.DUMMYFUNCTION("""COMPUTED_VALUE"""),5.0190574E7)</f>
        <v>50190574</v>
      </c>
    </row>
    <row r="818">
      <c r="A818" s="2">
        <f>IFERROR(__xludf.DUMMYFUNCTION("""COMPUTED_VALUE"""),45539.66666666667)</f>
        <v>45539.66667</v>
      </c>
      <c r="B818" s="1">
        <f>IFERROR(__xludf.DUMMYFUNCTION("""COMPUTED_VALUE"""),221.66)</f>
        <v>221.66</v>
      </c>
      <c r="C818" s="1">
        <f>IFERROR(__xludf.DUMMYFUNCTION("""COMPUTED_VALUE"""),221.78)</f>
        <v>221.78</v>
      </c>
      <c r="D818" s="1">
        <f>IFERROR(__xludf.DUMMYFUNCTION("""COMPUTED_VALUE"""),217.48)</f>
        <v>217.48</v>
      </c>
      <c r="E818" s="1">
        <f>IFERROR(__xludf.DUMMYFUNCTION("""COMPUTED_VALUE"""),220.85)</f>
        <v>220.85</v>
      </c>
      <c r="F818" s="1">
        <f>IFERROR(__xludf.DUMMYFUNCTION("""COMPUTED_VALUE"""),4.3840196E7)</f>
        <v>43840196</v>
      </c>
    </row>
    <row r="819">
      <c r="A819" s="2">
        <f>IFERROR(__xludf.DUMMYFUNCTION("""COMPUTED_VALUE"""),45540.66666666667)</f>
        <v>45540.66667</v>
      </c>
      <c r="B819" s="1">
        <f>IFERROR(__xludf.DUMMYFUNCTION("""COMPUTED_VALUE"""),221.63)</f>
        <v>221.63</v>
      </c>
      <c r="C819" s="1">
        <f>IFERROR(__xludf.DUMMYFUNCTION("""COMPUTED_VALUE"""),225.48)</f>
        <v>225.48</v>
      </c>
      <c r="D819" s="1">
        <f>IFERROR(__xludf.DUMMYFUNCTION("""COMPUTED_VALUE"""),221.52)</f>
        <v>221.52</v>
      </c>
      <c r="E819" s="1">
        <f>IFERROR(__xludf.DUMMYFUNCTION("""COMPUTED_VALUE"""),222.38)</f>
        <v>222.38</v>
      </c>
      <c r="F819" s="1">
        <f>IFERROR(__xludf.DUMMYFUNCTION("""COMPUTED_VALUE"""),3.6615398E7)</f>
        <v>36615398</v>
      </c>
    </row>
    <row r="820">
      <c r="A820" s="2">
        <f>IFERROR(__xludf.DUMMYFUNCTION("""COMPUTED_VALUE"""),45541.66666666667)</f>
        <v>45541.66667</v>
      </c>
      <c r="B820" s="1">
        <f>IFERROR(__xludf.DUMMYFUNCTION("""COMPUTED_VALUE"""),223.95)</f>
        <v>223.95</v>
      </c>
      <c r="C820" s="1">
        <f>IFERROR(__xludf.DUMMYFUNCTION("""COMPUTED_VALUE"""),225.24)</f>
        <v>225.24</v>
      </c>
      <c r="D820" s="1">
        <f>IFERROR(__xludf.DUMMYFUNCTION("""COMPUTED_VALUE"""),219.77)</f>
        <v>219.77</v>
      </c>
      <c r="E820" s="1">
        <f>IFERROR(__xludf.DUMMYFUNCTION("""COMPUTED_VALUE"""),220.82)</f>
        <v>220.82</v>
      </c>
      <c r="F820" s="1">
        <f>IFERROR(__xludf.DUMMYFUNCTION("""COMPUTED_VALUE"""),4.8423011E7)</f>
        <v>48423011</v>
      </c>
    </row>
    <row r="821">
      <c r="A821" s="2">
        <f>IFERROR(__xludf.DUMMYFUNCTION("""COMPUTED_VALUE"""),45544.66666666667)</f>
        <v>45544.66667</v>
      </c>
      <c r="B821" s="1">
        <f>IFERROR(__xludf.DUMMYFUNCTION("""COMPUTED_VALUE"""),220.82)</f>
        <v>220.82</v>
      </c>
      <c r="C821" s="1">
        <f>IFERROR(__xludf.DUMMYFUNCTION("""COMPUTED_VALUE"""),221.27)</f>
        <v>221.27</v>
      </c>
      <c r="D821" s="1">
        <f>IFERROR(__xludf.DUMMYFUNCTION("""COMPUTED_VALUE"""),216.71)</f>
        <v>216.71</v>
      </c>
      <c r="E821" s="1">
        <f>IFERROR(__xludf.DUMMYFUNCTION("""COMPUTED_VALUE"""),220.91)</f>
        <v>220.91</v>
      </c>
      <c r="F821" s="1">
        <f>IFERROR(__xludf.DUMMYFUNCTION("""COMPUTED_VALUE"""),6.7179965E7)</f>
        <v>67179965</v>
      </c>
    </row>
    <row r="822">
      <c r="A822" s="2">
        <f>IFERROR(__xludf.DUMMYFUNCTION("""COMPUTED_VALUE"""),45545.66666666667)</f>
        <v>45545.66667</v>
      </c>
      <c r="B822" s="1">
        <f>IFERROR(__xludf.DUMMYFUNCTION("""COMPUTED_VALUE"""),218.92)</f>
        <v>218.92</v>
      </c>
      <c r="C822" s="1">
        <f>IFERROR(__xludf.DUMMYFUNCTION("""COMPUTED_VALUE"""),221.48)</f>
        <v>221.48</v>
      </c>
      <c r="D822" s="1">
        <f>IFERROR(__xludf.DUMMYFUNCTION("""COMPUTED_VALUE"""),216.73)</f>
        <v>216.73</v>
      </c>
      <c r="E822" s="1">
        <f>IFERROR(__xludf.DUMMYFUNCTION("""COMPUTED_VALUE"""),220.11)</f>
        <v>220.11</v>
      </c>
      <c r="F822" s="1">
        <f>IFERROR(__xludf.DUMMYFUNCTION("""COMPUTED_VALUE"""),5.1591033E7)</f>
        <v>51591033</v>
      </c>
    </row>
    <row r="823">
      <c r="A823" s="2">
        <f>IFERROR(__xludf.DUMMYFUNCTION("""COMPUTED_VALUE"""),45546.66666666667)</f>
        <v>45546.66667</v>
      </c>
      <c r="B823" s="1">
        <f>IFERROR(__xludf.DUMMYFUNCTION("""COMPUTED_VALUE"""),221.46)</f>
        <v>221.46</v>
      </c>
      <c r="C823" s="1">
        <f>IFERROR(__xludf.DUMMYFUNCTION("""COMPUTED_VALUE"""),223.09)</f>
        <v>223.09</v>
      </c>
      <c r="D823" s="1">
        <f>IFERROR(__xludf.DUMMYFUNCTION("""COMPUTED_VALUE"""),217.89)</f>
        <v>217.89</v>
      </c>
      <c r="E823" s="1">
        <f>IFERROR(__xludf.DUMMYFUNCTION("""COMPUTED_VALUE"""),222.66)</f>
        <v>222.66</v>
      </c>
      <c r="F823" s="1">
        <f>IFERROR(__xludf.DUMMYFUNCTION("""COMPUTED_VALUE"""),4.4587072E7)</f>
        <v>44587072</v>
      </c>
    </row>
    <row r="824">
      <c r="A824" s="2">
        <f>IFERROR(__xludf.DUMMYFUNCTION("""COMPUTED_VALUE"""),45547.66666666667)</f>
        <v>45547.66667</v>
      </c>
      <c r="B824" s="1">
        <f>IFERROR(__xludf.DUMMYFUNCTION("""COMPUTED_VALUE"""),222.5)</f>
        <v>222.5</v>
      </c>
      <c r="C824" s="1">
        <f>IFERROR(__xludf.DUMMYFUNCTION("""COMPUTED_VALUE"""),223.55)</f>
        <v>223.55</v>
      </c>
      <c r="D824" s="1">
        <f>IFERROR(__xludf.DUMMYFUNCTION("""COMPUTED_VALUE"""),219.82)</f>
        <v>219.82</v>
      </c>
      <c r="E824" s="1">
        <f>IFERROR(__xludf.DUMMYFUNCTION("""COMPUTED_VALUE"""),222.77)</f>
        <v>222.77</v>
      </c>
      <c r="F824" s="1">
        <f>IFERROR(__xludf.DUMMYFUNCTION("""COMPUTED_VALUE"""),3.7498225E7)</f>
        <v>37498225</v>
      </c>
    </row>
    <row r="825">
      <c r="A825" s="2">
        <f>IFERROR(__xludf.DUMMYFUNCTION("""COMPUTED_VALUE"""),45548.66666666667)</f>
        <v>45548.66667</v>
      </c>
      <c r="B825" s="1">
        <f>IFERROR(__xludf.DUMMYFUNCTION("""COMPUTED_VALUE"""),223.58)</f>
        <v>223.58</v>
      </c>
      <c r="C825" s="1">
        <f>IFERROR(__xludf.DUMMYFUNCTION("""COMPUTED_VALUE"""),224.04)</f>
        <v>224.04</v>
      </c>
      <c r="D825" s="1">
        <f>IFERROR(__xludf.DUMMYFUNCTION("""COMPUTED_VALUE"""),221.91)</f>
        <v>221.91</v>
      </c>
      <c r="E825" s="1">
        <f>IFERROR(__xludf.DUMMYFUNCTION("""COMPUTED_VALUE"""),222.5)</f>
        <v>222.5</v>
      </c>
      <c r="F825" s="1">
        <f>IFERROR(__xludf.DUMMYFUNCTION("""COMPUTED_VALUE"""),3.6766619E7)</f>
        <v>36766619</v>
      </c>
    </row>
    <row r="826">
      <c r="A826" s="2">
        <f>IFERROR(__xludf.DUMMYFUNCTION("""COMPUTED_VALUE"""),45551.66666666667)</f>
        <v>45551.66667</v>
      </c>
      <c r="B826" s="1">
        <f>IFERROR(__xludf.DUMMYFUNCTION("""COMPUTED_VALUE"""),216.54)</f>
        <v>216.54</v>
      </c>
      <c r="C826" s="1">
        <f>IFERROR(__xludf.DUMMYFUNCTION("""COMPUTED_VALUE"""),217.22)</f>
        <v>217.22</v>
      </c>
      <c r="D826" s="1">
        <f>IFERROR(__xludf.DUMMYFUNCTION("""COMPUTED_VALUE"""),213.92)</f>
        <v>213.92</v>
      </c>
      <c r="E826" s="1">
        <f>IFERROR(__xludf.DUMMYFUNCTION("""COMPUTED_VALUE"""),216.32)</f>
        <v>216.32</v>
      </c>
      <c r="F826" s="1">
        <f>IFERROR(__xludf.DUMMYFUNCTION("""COMPUTED_VALUE"""),5.9357427E7)</f>
        <v>59357427</v>
      </c>
    </row>
    <row r="827">
      <c r="A827" s="2">
        <f>IFERROR(__xludf.DUMMYFUNCTION("""COMPUTED_VALUE"""),45552.66666666667)</f>
        <v>45552.66667</v>
      </c>
      <c r="B827" s="1">
        <f>IFERROR(__xludf.DUMMYFUNCTION("""COMPUTED_VALUE"""),215.75)</f>
        <v>215.75</v>
      </c>
      <c r="C827" s="1">
        <f>IFERROR(__xludf.DUMMYFUNCTION("""COMPUTED_VALUE"""),216.9)</f>
        <v>216.9</v>
      </c>
      <c r="D827" s="1">
        <f>IFERROR(__xludf.DUMMYFUNCTION("""COMPUTED_VALUE"""),214.5)</f>
        <v>214.5</v>
      </c>
      <c r="E827" s="1">
        <f>IFERROR(__xludf.DUMMYFUNCTION("""COMPUTED_VALUE"""),216.79)</f>
        <v>216.79</v>
      </c>
      <c r="F827" s="1">
        <f>IFERROR(__xludf.DUMMYFUNCTION("""COMPUTED_VALUE"""),4.5519339E7)</f>
        <v>45519339</v>
      </c>
    </row>
    <row r="828">
      <c r="A828" s="2">
        <f>IFERROR(__xludf.DUMMYFUNCTION("""COMPUTED_VALUE"""),45553.66666666667)</f>
        <v>45553.66667</v>
      </c>
      <c r="B828" s="1">
        <f>IFERROR(__xludf.DUMMYFUNCTION("""COMPUTED_VALUE"""),217.55)</f>
        <v>217.55</v>
      </c>
      <c r="C828" s="1">
        <f>IFERROR(__xludf.DUMMYFUNCTION("""COMPUTED_VALUE"""),222.71)</f>
        <v>222.71</v>
      </c>
      <c r="D828" s="1">
        <f>IFERROR(__xludf.DUMMYFUNCTION("""COMPUTED_VALUE"""),217.54)</f>
        <v>217.54</v>
      </c>
      <c r="E828" s="1">
        <f>IFERROR(__xludf.DUMMYFUNCTION("""COMPUTED_VALUE"""),220.69)</f>
        <v>220.69</v>
      </c>
      <c r="F828" s="1">
        <f>IFERROR(__xludf.DUMMYFUNCTION("""COMPUTED_VALUE"""),5.9894928E7)</f>
        <v>59894928</v>
      </c>
    </row>
    <row r="829">
      <c r="A829" s="2">
        <f>IFERROR(__xludf.DUMMYFUNCTION("""COMPUTED_VALUE"""),45554.66666666667)</f>
        <v>45554.66667</v>
      </c>
      <c r="B829" s="1">
        <f>IFERROR(__xludf.DUMMYFUNCTION("""COMPUTED_VALUE"""),224.99)</f>
        <v>224.99</v>
      </c>
      <c r="C829" s="1">
        <f>IFERROR(__xludf.DUMMYFUNCTION("""COMPUTED_VALUE"""),229.82)</f>
        <v>229.82</v>
      </c>
      <c r="D829" s="1">
        <f>IFERROR(__xludf.DUMMYFUNCTION("""COMPUTED_VALUE"""),224.63)</f>
        <v>224.63</v>
      </c>
      <c r="E829" s="1">
        <f>IFERROR(__xludf.DUMMYFUNCTION("""COMPUTED_VALUE"""),228.87)</f>
        <v>228.87</v>
      </c>
      <c r="F829" s="1">
        <f>IFERROR(__xludf.DUMMYFUNCTION("""COMPUTED_VALUE"""),6.6781315E7)</f>
        <v>66781315</v>
      </c>
    </row>
    <row r="830">
      <c r="A830" s="2">
        <f>IFERROR(__xludf.DUMMYFUNCTION("""COMPUTED_VALUE"""),45555.66666666667)</f>
        <v>45555.66667</v>
      </c>
      <c r="B830" s="1">
        <f>IFERROR(__xludf.DUMMYFUNCTION("""COMPUTED_VALUE"""),229.97)</f>
        <v>229.97</v>
      </c>
      <c r="C830" s="1">
        <f>IFERROR(__xludf.DUMMYFUNCTION("""COMPUTED_VALUE"""),233.09)</f>
        <v>233.09</v>
      </c>
      <c r="D830" s="1">
        <f>IFERROR(__xludf.DUMMYFUNCTION("""COMPUTED_VALUE"""),227.62)</f>
        <v>227.62</v>
      </c>
      <c r="E830" s="1">
        <f>IFERROR(__xludf.DUMMYFUNCTION("""COMPUTED_VALUE"""),228.2)</f>
        <v>228.2</v>
      </c>
      <c r="F830" s="1">
        <f>IFERROR(__xludf.DUMMYFUNCTION("""COMPUTED_VALUE"""),3.18679888E8)</f>
        <v>318679888</v>
      </c>
    </row>
    <row r="831">
      <c r="A831" s="2">
        <f>IFERROR(__xludf.DUMMYFUNCTION("""COMPUTED_VALUE"""),45558.66666666667)</f>
        <v>45558.66667</v>
      </c>
      <c r="B831" s="1">
        <f>IFERROR(__xludf.DUMMYFUNCTION("""COMPUTED_VALUE"""),227.34)</f>
        <v>227.34</v>
      </c>
      <c r="C831" s="1">
        <f>IFERROR(__xludf.DUMMYFUNCTION("""COMPUTED_VALUE"""),229.45)</f>
        <v>229.45</v>
      </c>
      <c r="D831" s="1">
        <f>IFERROR(__xludf.DUMMYFUNCTION("""COMPUTED_VALUE"""),225.81)</f>
        <v>225.81</v>
      </c>
      <c r="E831" s="1">
        <f>IFERROR(__xludf.DUMMYFUNCTION("""COMPUTED_VALUE"""),226.47)</f>
        <v>226.47</v>
      </c>
      <c r="F831" s="1">
        <f>IFERROR(__xludf.DUMMYFUNCTION("""COMPUTED_VALUE"""),5.4146023E7)</f>
        <v>54146023</v>
      </c>
    </row>
    <row r="832">
      <c r="A832" s="2">
        <f>IFERROR(__xludf.DUMMYFUNCTION("""COMPUTED_VALUE"""),45559.66666666667)</f>
        <v>45559.66667</v>
      </c>
      <c r="B832" s="1">
        <f>IFERROR(__xludf.DUMMYFUNCTION("""COMPUTED_VALUE"""),228.65)</f>
        <v>228.65</v>
      </c>
      <c r="C832" s="1">
        <f>IFERROR(__xludf.DUMMYFUNCTION("""COMPUTED_VALUE"""),229.35)</f>
        <v>229.35</v>
      </c>
      <c r="D832" s="1">
        <f>IFERROR(__xludf.DUMMYFUNCTION("""COMPUTED_VALUE"""),225.73)</f>
        <v>225.73</v>
      </c>
      <c r="E832" s="1">
        <f>IFERROR(__xludf.DUMMYFUNCTION("""COMPUTED_VALUE"""),227.37)</f>
        <v>227.37</v>
      </c>
      <c r="F832" s="1">
        <f>IFERROR(__xludf.DUMMYFUNCTION("""COMPUTED_VALUE"""),4.3556068E7)</f>
        <v>43556068</v>
      </c>
    </row>
    <row r="833">
      <c r="A833" s="2">
        <f>IFERROR(__xludf.DUMMYFUNCTION("""COMPUTED_VALUE"""),45560.66666666667)</f>
        <v>45560.66667</v>
      </c>
      <c r="B833" s="1">
        <f>IFERROR(__xludf.DUMMYFUNCTION("""COMPUTED_VALUE"""),224.93)</f>
        <v>224.93</v>
      </c>
      <c r="C833" s="1">
        <f>IFERROR(__xludf.DUMMYFUNCTION("""COMPUTED_VALUE"""),227.29)</f>
        <v>227.29</v>
      </c>
      <c r="D833" s="1">
        <f>IFERROR(__xludf.DUMMYFUNCTION("""COMPUTED_VALUE"""),224.02)</f>
        <v>224.02</v>
      </c>
      <c r="E833" s="1">
        <f>IFERROR(__xludf.DUMMYFUNCTION("""COMPUTED_VALUE"""),226.37)</f>
        <v>226.37</v>
      </c>
      <c r="F833" s="1">
        <f>IFERROR(__xludf.DUMMYFUNCTION("""COMPUTED_VALUE"""),4.2308715E7)</f>
        <v>42308715</v>
      </c>
    </row>
    <row r="834">
      <c r="A834" s="2">
        <f>IFERROR(__xludf.DUMMYFUNCTION("""COMPUTED_VALUE"""),45561.66666666667)</f>
        <v>45561.66667</v>
      </c>
      <c r="B834" s="1">
        <f>IFERROR(__xludf.DUMMYFUNCTION("""COMPUTED_VALUE"""),227.3)</f>
        <v>227.3</v>
      </c>
      <c r="C834" s="1">
        <f>IFERROR(__xludf.DUMMYFUNCTION("""COMPUTED_VALUE"""),228.5)</f>
        <v>228.5</v>
      </c>
      <c r="D834" s="1">
        <f>IFERROR(__xludf.DUMMYFUNCTION("""COMPUTED_VALUE"""),225.41)</f>
        <v>225.41</v>
      </c>
      <c r="E834" s="1">
        <f>IFERROR(__xludf.DUMMYFUNCTION("""COMPUTED_VALUE"""),227.52)</f>
        <v>227.52</v>
      </c>
      <c r="F834" s="1">
        <f>IFERROR(__xludf.DUMMYFUNCTION("""COMPUTED_VALUE"""),3.6636707E7)</f>
        <v>36636707</v>
      </c>
    </row>
    <row r="835">
      <c r="A835" s="2">
        <f>IFERROR(__xludf.DUMMYFUNCTION("""COMPUTED_VALUE"""),45562.66666666667)</f>
        <v>45562.66667</v>
      </c>
      <c r="B835" s="1">
        <f>IFERROR(__xludf.DUMMYFUNCTION("""COMPUTED_VALUE"""),228.46)</f>
        <v>228.46</v>
      </c>
      <c r="C835" s="1">
        <f>IFERROR(__xludf.DUMMYFUNCTION("""COMPUTED_VALUE"""),229.52)</f>
        <v>229.52</v>
      </c>
      <c r="D835" s="1">
        <f>IFERROR(__xludf.DUMMYFUNCTION("""COMPUTED_VALUE"""),227.3)</f>
        <v>227.3</v>
      </c>
      <c r="E835" s="1">
        <f>IFERROR(__xludf.DUMMYFUNCTION("""COMPUTED_VALUE"""),227.79)</f>
        <v>227.79</v>
      </c>
      <c r="F835" s="1">
        <f>IFERROR(__xludf.DUMMYFUNCTION("""COMPUTED_VALUE"""),3.4025967E7)</f>
        <v>34025967</v>
      </c>
    </row>
    <row r="836">
      <c r="A836" s="2">
        <f>IFERROR(__xludf.DUMMYFUNCTION("""COMPUTED_VALUE"""),45565.66666666667)</f>
        <v>45565.66667</v>
      </c>
      <c r="B836" s="1">
        <f>IFERROR(__xludf.DUMMYFUNCTION("""COMPUTED_VALUE"""),230.04)</f>
        <v>230.04</v>
      </c>
      <c r="C836" s="1">
        <f>IFERROR(__xludf.DUMMYFUNCTION("""COMPUTED_VALUE"""),233.0)</f>
        <v>233</v>
      </c>
      <c r="D836" s="1">
        <f>IFERROR(__xludf.DUMMYFUNCTION("""COMPUTED_VALUE"""),229.65)</f>
        <v>229.65</v>
      </c>
      <c r="E836" s="1">
        <f>IFERROR(__xludf.DUMMYFUNCTION("""COMPUTED_VALUE"""),233.0)</f>
        <v>233</v>
      </c>
      <c r="F836" s="1">
        <f>IFERROR(__xludf.DUMMYFUNCTION("""COMPUTED_VALUE"""),5.4793391E7)</f>
        <v>54793391</v>
      </c>
    </row>
    <row r="837">
      <c r="A837" s="2">
        <f>IFERROR(__xludf.DUMMYFUNCTION("""COMPUTED_VALUE"""),45566.66666666667)</f>
        <v>45566.66667</v>
      </c>
      <c r="B837" s="1">
        <f>IFERROR(__xludf.DUMMYFUNCTION("""COMPUTED_VALUE"""),229.52)</f>
        <v>229.52</v>
      </c>
      <c r="C837" s="1">
        <f>IFERROR(__xludf.DUMMYFUNCTION("""COMPUTED_VALUE"""),229.65)</f>
        <v>229.65</v>
      </c>
      <c r="D837" s="1">
        <f>IFERROR(__xludf.DUMMYFUNCTION("""COMPUTED_VALUE"""),223.74)</f>
        <v>223.74</v>
      </c>
      <c r="E837" s="1">
        <f>IFERROR(__xludf.DUMMYFUNCTION("""COMPUTED_VALUE"""),226.21)</f>
        <v>226.21</v>
      </c>
      <c r="F837" s="1">
        <f>IFERROR(__xludf.DUMMYFUNCTION("""COMPUTED_VALUE"""),6.3285048E7)</f>
        <v>63285048</v>
      </c>
    </row>
    <row r="838">
      <c r="A838" s="2">
        <f>IFERROR(__xludf.DUMMYFUNCTION("""COMPUTED_VALUE"""),45567.66666666667)</f>
        <v>45567.66667</v>
      </c>
      <c r="B838" s="1">
        <f>IFERROR(__xludf.DUMMYFUNCTION("""COMPUTED_VALUE"""),225.89)</f>
        <v>225.89</v>
      </c>
      <c r="C838" s="1">
        <f>IFERROR(__xludf.DUMMYFUNCTION("""COMPUTED_VALUE"""),227.37)</f>
        <v>227.37</v>
      </c>
      <c r="D838" s="1">
        <f>IFERROR(__xludf.DUMMYFUNCTION("""COMPUTED_VALUE"""),223.02)</f>
        <v>223.02</v>
      </c>
      <c r="E838" s="1">
        <f>IFERROR(__xludf.DUMMYFUNCTION("""COMPUTED_VALUE"""),226.78)</f>
        <v>226.78</v>
      </c>
      <c r="F838" s="1">
        <f>IFERROR(__xludf.DUMMYFUNCTION("""COMPUTED_VALUE"""),3.2880605E7)</f>
        <v>32880605</v>
      </c>
    </row>
    <row r="839">
      <c r="A839" s="2">
        <f>IFERROR(__xludf.DUMMYFUNCTION("""COMPUTED_VALUE"""),45568.66666666667)</f>
        <v>45568.66667</v>
      </c>
      <c r="B839" s="1">
        <f>IFERROR(__xludf.DUMMYFUNCTION("""COMPUTED_VALUE"""),225.14)</f>
        <v>225.14</v>
      </c>
      <c r="C839" s="1">
        <f>IFERROR(__xludf.DUMMYFUNCTION("""COMPUTED_VALUE"""),226.81)</f>
        <v>226.81</v>
      </c>
      <c r="D839" s="1">
        <f>IFERROR(__xludf.DUMMYFUNCTION("""COMPUTED_VALUE"""),223.32)</f>
        <v>223.32</v>
      </c>
      <c r="E839" s="1">
        <f>IFERROR(__xludf.DUMMYFUNCTION("""COMPUTED_VALUE"""),225.67)</f>
        <v>225.67</v>
      </c>
      <c r="F839" s="1">
        <f>IFERROR(__xludf.DUMMYFUNCTION("""COMPUTED_VALUE"""),3.4044158E7)</f>
        <v>34044158</v>
      </c>
    </row>
    <row r="840">
      <c r="A840" s="2">
        <f>IFERROR(__xludf.DUMMYFUNCTION("""COMPUTED_VALUE"""),45569.66666666667)</f>
        <v>45569.66667</v>
      </c>
      <c r="B840" s="1">
        <f>IFERROR(__xludf.DUMMYFUNCTION("""COMPUTED_VALUE"""),227.9)</f>
        <v>227.9</v>
      </c>
      <c r="C840" s="1">
        <f>IFERROR(__xludf.DUMMYFUNCTION("""COMPUTED_VALUE"""),228.0)</f>
        <v>228</v>
      </c>
      <c r="D840" s="1">
        <f>IFERROR(__xludf.DUMMYFUNCTION("""COMPUTED_VALUE"""),224.13)</f>
        <v>224.13</v>
      </c>
      <c r="E840" s="1">
        <f>IFERROR(__xludf.DUMMYFUNCTION("""COMPUTED_VALUE"""),226.8)</f>
        <v>226.8</v>
      </c>
      <c r="F840" s="1">
        <f>IFERROR(__xludf.DUMMYFUNCTION("""COMPUTED_VALUE"""),3.7345098E7)</f>
        <v>37345098</v>
      </c>
    </row>
    <row r="841">
      <c r="A841" s="2">
        <f>IFERROR(__xludf.DUMMYFUNCTION("""COMPUTED_VALUE"""),45572.66666666667)</f>
        <v>45572.66667</v>
      </c>
      <c r="B841" s="1">
        <f>IFERROR(__xludf.DUMMYFUNCTION("""COMPUTED_VALUE"""),224.5)</f>
        <v>224.5</v>
      </c>
      <c r="C841" s="1">
        <f>IFERROR(__xludf.DUMMYFUNCTION("""COMPUTED_VALUE"""),225.69)</f>
        <v>225.69</v>
      </c>
      <c r="D841" s="1">
        <f>IFERROR(__xludf.DUMMYFUNCTION("""COMPUTED_VALUE"""),221.33)</f>
        <v>221.33</v>
      </c>
      <c r="E841" s="1">
        <f>IFERROR(__xludf.DUMMYFUNCTION("""COMPUTED_VALUE"""),221.69)</f>
        <v>221.69</v>
      </c>
      <c r="F841" s="1">
        <f>IFERROR(__xludf.DUMMYFUNCTION("""COMPUTED_VALUE"""),3.9505354E7)</f>
        <v>39505354</v>
      </c>
    </row>
    <row r="842">
      <c r="A842" s="2">
        <f>IFERROR(__xludf.DUMMYFUNCTION("""COMPUTED_VALUE"""),45573.66666666667)</f>
        <v>45573.66667</v>
      </c>
      <c r="B842" s="1">
        <f>IFERROR(__xludf.DUMMYFUNCTION("""COMPUTED_VALUE"""),224.3)</f>
        <v>224.3</v>
      </c>
      <c r="C842" s="1">
        <f>IFERROR(__xludf.DUMMYFUNCTION("""COMPUTED_VALUE"""),225.98)</f>
        <v>225.98</v>
      </c>
      <c r="D842" s="1">
        <f>IFERROR(__xludf.DUMMYFUNCTION("""COMPUTED_VALUE"""),223.25)</f>
        <v>223.25</v>
      </c>
      <c r="E842" s="1">
        <f>IFERROR(__xludf.DUMMYFUNCTION("""COMPUTED_VALUE"""),225.77)</f>
        <v>225.77</v>
      </c>
      <c r="F842" s="1">
        <f>IFERROR(__xludf.DUMMYFUNCTION("""COMPUTED_VALUE"""),3.1855693E7)</f>
        <v>31855693</v>
      </c>
    </row>
    <row r="843">
      <c r="A843" s="2">
        <f>IFERROR(__xludf.DUMMYFUNCTION("""COMPUTED_VALUE"""),45574.66666666667)</f>
        <v>45574.66667</v>
      </c>
      <c r="B843" s="1">
        <f>IFERROR(__xludf.DUMMYFUNCTION("""COMPUTED_VALUE"""),225.23)</f>
        <v>225.23</v>
      </c>
      <c r="C843" s="1">
        <f>IFERROR(__xludf.DUMMYFUNCTION("""COMPUTED_VALUE"""),229.75)</f>
        <v>229.75</v>
      </c>
      <c r="D843" s="1">
        <f>IFERROR(__xludf.DUMMYFUNCTION("""COMPUTED_VALUE"""),224.83)</f>
        <v>224.83</v>
      </c>
      <c r="E843" s="1">
        <f>IFERROR(__xludf.DUMMYFUNCTION("""COMPUTED_VALUE"""),229.54)</f>
        <v>229.54</v>
      </c>
      <c r="F843" s="1">
        <f>IFERROR(__xludf.DUMMYFUNCTION("""COMPUTED_VALUE"""),3.3591091E7)</f>
        <v>33591091</v>
      </c>
    </row>
    <row r="844">
      <c r="A844" s="2">
        <f>IFERROR(__xludf.DUMMYFUNCTION("""COMPUTED_VALUE"""),45575.66666666667)</f>
        <v>45575.66667</v>
      </c>
      <c r="B844" s="1">
        <f>IFERROR(__xludf.DUMMYFUNCTION("""COMPUTED_VALUE"""),227.78)</f>
        <v>227.78</v>
      </c>
      <c r="C844" s="1">
        <f>IFERROR(__xludf.DUMMYFUNCTION("""COMPUTED_VALUE"""),229.5)</f>
        <v>229.5</v>
      </c>
      <c r="D844" s="1">
        <f>IFERROR(__xludf.DUMMYFUNCTION("""COMPUTED_VALUE"""),227.17)</f>
        <v>227.17</v>
      </c>
      <c r="E844" s="1">
        <f>IFERROR(__xludf.DUMMYFUNCTION("""COMPUTED_VALUE"""),229.04)</f>
        <v>229.04</v>
      </c>
      <c r="F844" s="1">
        <f>IFERROR(__xludf.DUMMYFUNCTION("""COMPUTED_VALUE"""),2.8183544E7)</f>
        <v>28183544</v>
      </c>
    </row>
    <row r="845">
      <c r="A845" s="2">
        <f>IFERROR(__xludf.DUMMYFUNCTION("""COMPUTED_VALUE"""),45576.66666666667)</f>
        <v>45576.66667</v>
      </c>
      <c r="B845" s="1">
        <f>IFERROR(__xludf.DUMMYFUNCTION("""COMPUTED_VALUE"""),229.3)</f>
        <v>229.3</v>
      </c>
      <c r="C845" s="1">
        <f>IFERROR(__xludf.DUMMYFUNCTION("""COMPUTED_VALUE"""),229.41)</f>
        <v>229.41</v>
      </c>
      <c r="D845" s="1">
        <f>IFERROR(__xludf.DUMMYFUNCTION("""COMPUTED_VALUE"""),227.34)</f>
        <v>227.34</v>
      </c>
      <c r="E845" s="1">
        <f>IFERROR(__xludf.DUMMYFUNCTION("""COMPUTED_VALUE"""),227.55)</f>
        <v>227.55</v>
      </c>
      <c r="F845" s="1">
        <f>IFERROR(__xludf.DUMMYFUNCTION("""COMPUTED_VALUE"""),3.1759188E7)</f>
        <v>31759188</v>
      </c>
    </row>
    <row r="846">
      <c r="A846" s="2">
        <f>IFERROR(__xludf.DUMMYFUNCTION("""COMPUTED_VALUE"""),45579.66666666667)</f>
        <v>45579.66667</v>
      </c>
      <c r="B846" s="1">
        <f>IFERROR(__xludf.DUMMYFUNCTION("""COMPUTED_VALUE"""),228.7)</f>
        <v>228.7</v>
      </c>
      <c r="C846" s="1">
        <f>IFERROR(__xludf.DUMMYFUNCTION("""COMPUTED_VALUE"""),231.73)</f>
        <v>231.73</v>
      </c>
      <c r="D846" s="1">
        <f>IFERROR(__xludf.DUMMYFUNCTION("""COMPUTED_VALUE"""),228.6)</f>
        <v>228.6</v>
      </c>
      <c r="E846" s="1">
        <f>IFERROR(__xludf.DUMMYFUNCTION("""COMPUTED_VALUE"""),231.3)</f>
        <v>231.3</v>
      </c>
      <c r="F846" s="1">
        <f>IFERROR(__xludf.DUMMYFUNCTION("""COMPUTED_VALUE"""),3.9882085E7)</f>
        <v>39882085</v>
      </c>
    </row>
    <row r="847">
      <c r="A847" s="2">
        <f>IFERROR(__xludf.DUMMYFUNCTION("""COMPUTED_VALUE"""),45580.66666666667)</f>
        <v>45580.66667</v>
      </c>
      <c r="B847" s="1">
        <f>IFERROR(__xludf.DUMMYFUNCTION("""COMPUTED_VALUE"""),233.61)</f>
        <v>233.61</v>
      </c>
      <c r="C847" s="1">
        <f>IFERROR(__xludf.DUMMYFUNCTION("""COMPUTED_VALUE"""),237.49)</f>
        <v>237.49</v>
      </c>
      <c r="D847" s="1">
        <f>IFERROR(__xludf.DUMMYFUNCTION("""COMPUTED_VALUE"""),232.37)</f>
        <v>232.37</v>
      </c>
      <c r="E847" s="1">
        <f>IFERROR(__xludf.DUMMYFUNCTION("""COMPUTED_VALUE"""),233.85)</f>
        <v>233.85</v>
      </c>
      <c r="F847" s="1">
        <f>IFERROR(__xludf.DUMMYFUNCTION("""COMPUTED_VALUE"""),6.4751367E7)</f>
        <v>64751367</v>
      </c>
    </row>
    <row r="848">
      <c r="A848" s="2">
        <f>IFERROR(__xludf.DUMMYFUNCTION("""COMPUTED_VALUE"""),45581.66666666667)</f>
        <v>45581.66667</v>
      </c>
      <c r="B848" s="1">
        <f>IFERROR(__xludf.DUMMYFUNCTION("""COMPUTED_VALUE"""),231.6)</f>
        <v>231.6</v>
      </c>
      <c r="C848" s="1">
        <f>IFERROR(__xludf.DUMMYFUNCTION("""COMPUTED_VALUE"""),232.12)</f>
        <v>232.12</v>
      </c>
      <c r="D848" s="1">
        <f>IFERROR(__xludf.DUMMYFUNCTION("""COMPUTED_VALUE"""),229.84)</f>
        <v>229.84</v>
      </c>
      <c r="E848" s="1">
        <f>IFERROR(__xludf.DUMMYFUNCTION("""COMPUTED_VALUE"""),231.78)</f>
        <v>231.78</v>
      </c>
      <c r="F848" s="1">
        <f>IFERROR(__xludf.DUMMYFUNCTION("""COMPUTED_VALUE"""),3.408224E7)</f>
        <v>34082240</v>
      </c>
    </row>
    <row r="849">
      <c r="A849" s="2">
        <f>IFERROR(__xludf.DUMMYFUNCTION("""COMPUTED_VALUE"""),45582.66666666667)</f>
        <v>45582.66667</v>
      </c>
      <c r="B849" s="1">
        <f>IFERROR(__xludf.DUMMYFUNCTION("""COMPUTED_VALUE"""),233.43)</f>
        <v>233.43</v>
      </c>
      <c r="C849" s="1">
        <f>IFERROR(__xludf.DUMMYFUNCTION("""COMPUTED_VALUE"""),233.85)</f>
        <v>233.85</v>
      </c>
      <c r="D849" s="1">
        <f>IFERROR(__xludf.DUMMYFUNCTION("""COMPUTED_VALUE"""),230.52)</f>
        <v>230.52</v>
      </c>
      <c r="E849" s="1">
        <f>IFERROR(__xludf.DUMMYFUNCTION("""COMPUTED_VALUE"""),232.15)</f>
        <v>232.15</v>
      </c>
      <c r="F849" s="1">
        <f>IFERROR(__xludf.DUMMYFUNCTION("""COMPUTED_VALUE"""),3.299381E7)</f>
        <v>32993810</v>
      </c>
    </row>
    <row r="850">
      <c r="A850" s="2">
        <f>IFERROR(__xludf.DUMMYFUNCTION("""COMPUTED_VALUE"""),45583.66666666667)</f>
        <v>45583.66667</v>
      </c>
      <c r="B850" s="1">
        <f>IFERROR(__xludf.DUMMYFUNCTION("""COMPUTED_VALUE"""),236.18)</f>
        <v>236.18</v>
      </c>
      <c r="C850" s="1">
        <f>IFERROR(__xludf.DUMMYFUNCTION("""COMPUTED_VALUE"""),236.18)</f>
        <v>236.18</v>
      </c>
      <c r="D850" s="1">
        <f>IFERROR(__xludf.DUMMYFUNCTION("""COMPUTED_VALUE"""),234.01)</f>
        <v>234.01</v>
      </c>
      <c r="E850" s="1">
        <f>IFERROR(__xludf.DUMMYFUNCTION("""COMPUTED_VALUE"""),235.0)</f>
        <v>235</v>
      </c>
      <c r="F850" s="1">
        <f>IFERROR(__xludf.DUMMYFUNCTION("""COMPUTED_VALUE"""),4.6431472E7)</f>
        <v>46431472</v>
      </c>
    </row>
    <row r="851">
      <c r="A851" s="2">
        <f>IFERROR(__xludf.DUMMYFUNCTION("""COMPUTED_VALUE"""),45586.66666666667)</f>
        <v>45586.66667</v>
      </c>
      <c r="B851" s="1">
        <f>IFERROR(__xludf.DUMMYFUNCTION("""COMPUTED_VALUE"""),234.45)</f>
        <v>234.45</v>
      </c>
      <c r="C851" s="1">
        <f>IFERROR(__xludf.DUMMYFUNCTION("""COMPUTED_VALUE"""),236.85)</f>
        <v>236.85</v>
      </c>
      <c r="D851" s="1">
        <f>IFERROR(__xludf.DUMMYFUNCTION("""COMPUTED_VALUE"""),234.45)</f>
        <v>234.45</v>
      </c>
      <c r="E851" s="1">
        <f>IFERROR(__xludf.DUMMYFUNCTION("""COMPUTED_VALUE"""),236.48)</f>
        <v>236.48</v>
      </c>
      <c r="F851" s="1">
        <f>IFERROR(__xludf.DUMMYFUNCTION("""COMPUTED_VALUE"""),3.625447E7)</f>
        <v>36254470</v>
      </c>
    </row>
    <row r="852">
      <c r="A852" s="2">
        <f>IFERROR(__xludf.DUMMYFUNCTION("""COMPUTED_VALUE"""),45587.66666666667)</f>
        <v>45587.66667</v>
      </c>
      <c r="B852" s="1">
        <f>IFERROR(__xludf.DUMMYFUNCTION("""COMPUTED_VALUE"""),233.89)</f>
        <v>233.89</v>
      </c>
      <c r="C852" s="1">
        <f>IFERROR(__xludf.DUMMYFUNCTION("""COMPUTED_VALUE"""),236.22)</f>
        <v>236.22</v>
      </c>
      <c r="D852" s="1">
        <f>IFERROR(__xludf.DUMMYFUNCTION("""COMPUTED_VALUE"""),232.6)</f>
        <v>232.6</v>
      </c>
      <c r="E852" s="1">
        <f>IFERROR(__xludf.DUMMYFUNCTION("""COMPUTED_VALUE"""),235.86)</f>
        <v>235.86</v>
      </c>
      <c r="F852" s="1">
        <f>IFERROR(__xludf.DUMMYFUNCTION("""COMPUTED_VALUE"""),3.8846578E7)</f>
        <v>38846578</v>
      </c>
    </row>
    <row r="853">
      <c r="A853" s="2">
        <f>IFERROR(__xludf.DUMMYFUNCTION("""COMPUTED_VALUE"""),45588.66666666667)</f>
        <v>45588.66667</v>
      </c>
      <c r="B853" s="1">
        <f>IFERROR(__xludf.DUMMYFUNCTION("""COMPUTED_VALUE"""),234.08)</f>
        <v>234.08</v>
      </c>
      <c r="C853" s="1">
        <f>IFERROR(__xludf.DUMMYFUNCTION("""COMPUTED_VALUE"""),235.14)</f>
        <v>235.14</v>
      </c>
      <c r="D853" s="1">
        <f>IFERROR(__xludf.DUMMYFUNCTION("""COMPUTED_VALUE"""),227.76)</f>
        <v>227.76</v>
      </c>
      <c r="E853" s="1">
        <f>IFERROR(__xludf.DUMMYFUNCTION("""COMPUTED_VALUE"""),230.76)</f>
        <v>230.76</v>
      </c>
      <c r="F853" s="1">
        <f>IFERROR(__xludf.DUMMYFUNCTION("""COMPUTED_VALUE"""),5.2286979E7)</f>
        <v>52286979</v>
      </c>
    </row>
    <row r="854">
      <c r="A854" s="2">
        <f>IFERROR(__xludf.DUMMYFUNCTION("""COMPUTED_VALUE"""),45589.66666666667)</f>
        <v>45589.66667</v>
      </c>
      <c r="B854" s="1">
        <f>IFERROR(__xludf.DUMMYFUNCTION("""COMPUTED_VALUE"""),229.98)</f>
        <v>229.98</v>
      </c>
      <c r="C854" s="1">
        <f>IFERROR(__xludf.DUMMYFUNCTION("""COMPUTED_VALUE"""),230.82)</f>
        <v>230.82</v>
      </c>
      <c r="D854" s="1">
        <f>IFERROR(__xludf.DUMMYFUNCTION("""COMPUTED_VALUE"""),228.41)</f>
        <v>228.41</v>
      </c>
      <c r="E854" s="1">
        <f>IFERROR(__xludf.DUMMYFUNCTION("""COMPUTED_VALUE"""),230.57)</f>
        <v>230.57</v>
      </c>
      <c r="F854" s="1">
        <f>IFERROR(__xludf.DUMMYFUNCTION("""COMPUTED_VALUE"""),3.1109503E7)</f>
        <v>31109503</v>
      </c>
    </row>
    <row r="855">
      <c r="A855" s="2">
        <f>IFERROR(__xludf.DUMMYFUNCTION("""COMPUTED_VALUE"""),45590.66666666667)</f>
        <v>45590.66667</v>
      </c>
      <c r="B855" s="1">
        <f>IFERROR(__xludf.DUMMYFUNCTION("""COMPUTED_VALUE"""),229.74)</f>
        <v>229.74</v>
      </c>
      <c r="C855" s="1">
        <f>IFERROR(__xludf.DUMMYFUNCTION("""COMPUTED_VALUE"""),233.22)</f>
        <v>233.22</v>
      </c>
      <c r="D855" s="1">
        <f>IFERROR(__xludf.DUMMYFUNCTION("""COMPUTED_VALUE"""),229.57)</f>
        <v>229.57</v>
      </c>
      <c r="E855" s="1">
        <f>IFERROR(__xludf.DUMMYFUNCTION("""COMPUTED_VALUE"""),231.41)</f>
        <v>231.41</v>
      </c>
      <c r="F855" s="1">
        <f>IFERROR(__xludf.DUMMYFUNCTION("""COMPUTED_VALUE"""),3.8802304E7)</f>
        <v>38802304</v>
      </c>
    </row>
    <row r="856">
      <c r="A856" s="2">
        <f>IFERROR(__xludf.DUMMYFUNCTION("""COMPUTED_VALUE"""),45593.66666666667)</f>
        <v>45593.66667</v>
      </c>
      <c r="B856" s="1">
        <f>IFERROR(__xludf.DUMMYFUNCTION("""COMPUTED_VALUE"""),233.32)</f>
        <v>233.32</v>
      </c>
      <c r="C856" s="1">
        <f>IFERROR(__xludf.DUMMYFUNCTION("""COMPUTED_VALUE"""),234.73)</f>
        <v>234.73</v>
      </c>
      <c r="D856" s="1">
        <f>IFERROR(__xludf.DUMMYFUNCTION("""COMPUTED_VALUE"""),232.55)</f>
        <v>232.55</v>
      </c>
      <c r="E856" s="1">
        <f>IFERROR(__xludf.DUMMYFUNCTION("""COMPUTED_VALUE"""),233.4)</f>
        <v>233.4</v>
      </c>
      <c r="F856" s="1">
        <f>IFERROR(__xludf.DUMMYFUNCTION("""COMPUTED_VALUE"""),3.6087134E7)</f>
        <v>36087134</v>
      </c>
    </row>
    <row r="857">
      <c r="A857" s="2">
        <f>IFERROR(__xludf.DUMMYFUNCTION("""COMPUTED_VALUE"""),45594.66666666667)</f>
        <v>45594.66667</v>
      </c>
      <c r="B857" s="1">
        <f>IFERROR(__xludf.DUMMYFUNCTION("""COMPUTED_VALUE"""),233.1)</f>
        <v>233.1</v>
      </c>
      <c r="C857" s="1">
        <f>IFERROR(__xludf.DUMMYFUNCTION("""COMPUTED_VALUE"""),234.33)</f>
        <v>234.33</v>
      </c>
      <c r="D857" s="1">
        <f>IFERROR(__xludf.DUMMYFUNCTION("""COMPUTED_VALUE"""),232.32)</f>
        <v>232.32</v>
      </c>
      <c r="E857" s="1">
        <f>IFERROR(__xludf.DUMMYFUNCTION("""COMPUTED_VALUE"""),233.67)</f>
        <v>233.67</v>
      </c>
      <c r="F857" s="1">
        <f>IFERROR(__xludf.DUMMYFUNCTION("""COMPUTED_VALUE"""),3.5417247E7)</f>
        <v>35417247</v>
      </c>
    </row>
    <row r="858">
      <c r="A858" s="2">
        <f>IFERROR(__xludf.DUMMYFUNCTION("""COMPUTED_VALUE"""),45595.66666666667)</f>
        <v>45595.66667</v>
      </c>
      <c r="B858" s="1">
        <f>IFERROR(__xludf.DUMMYFUNCTION("""COMPUTED_VALUE"""),232.61)</f>
        <v>232.61</v>
      </c>
      <c r="C858" s="1">
        <f>IFERROR(__xludf.DUMMYFUNCTION("""COMPUTED_VALUE"""),233.47)</f>
        <v>233.47</v>
      </c>
      <c r="D858" s="1">
        <f>IFERROR(__xludf.DUMMYFUNCTION("""COMPUTED_VALUE"""),229.55)</f>
        <v>229.55</v>
      </c>
      <c r="E858" s="1">
        <f>IFERROR(__xludf.DUMMYFUNCTION("""COMPUTED_VALUE"""),230.1)</f>
        <v>230.1</v>
      </c>
      <c r="F858" s="1">
        <f>IFERROR(__xludf.DUMMYFUNCTION("""COMPUTED_VALUE"""),4.7070907E7)</f>
        <v>47070907</v>
      </c>
    </row>
    <row r="859">
      <c r="A859" s="2">
        <f>IFERROR(__xludf.DUMMYFUNCTION("""COMPUTED_VALUE"""),45596.66666666667)</f>
        <v>45596.66667</v>
      </c>
      <c r="B859" s="1">
        <f>IFERROR(__xludf.DUMMYFUNCTION("""COMPUTED_VALUE"""),229.34)</f>
        <v>229.34</v>
      </c>
      <c r="C859" s="1">
        <f>IFERROR(__xludf.DUMMYFUNCTION("""COMPUTED_VALUE"""),229.83)</f>
        <v>229.83</v>
      </c>
      <c r="D859" s="1">
        <f>IFERROR(__xludf.DUMMYFUNCTION("""COMPUTED_VALUE"""),225.37)</f>
        <v>225.37</v>
      </c>
      <c r="E859" s="1">
        <f>IFERROR(__xludf.DUMMYFUNCTION("""COMPUTED_VALUE"""),225.91)</f>
        <v>225.91</v>
      </c>
      <c r="F859" s="1">
        <f>IFERROR(__xludf.DUMMYFUNCTION("""COMPUTED_VALUE"""),6.4370086E7)</f>
        <v>64370086</v>
      </c>
    </row>
    <row r="860">
      <c r="A860" s="2">
        <f>IFERROR(__xludf.DUMMYFUNCTION("""COMPUTED_VALUE"""),45597.66666666667)</f>
        <v>45597.66667</v>
      </c>
      <c r="B860" s="1">
        <f>IFERROR(__xludf.DUMMYFUNCTION("""COMPUTED_VALUE"""),220.97)</f>
        <v>220.97</v>
      </c>
      <c r="C860" s="1">
        <f>IFERROR(__xludf.DUMMYFUNCTION("""COMPUTED_VALUE"""),225.35)</f>
        <v>225.35</v>
      </c>
      <c r="D860" s="1">
        <f>IFERROR(__xludf.DUMMYFUNCTION("""COMPUTED_VALUE"""),220.27)</f>
        <v>220.27</v>
      </c>
      <c r="E860" s="1">
        <f>IFERROR(__xludf.DUMMYFUNCTION("""COMPUTED_VALUE"""),222.91)</f>
        <v>222.91</v>
      </c>
      <c r="F860" s="1">
        <f>IFERROR(__xludf.DUMMYFUNCTION("""COMPUTED_VALUE"""),6.5276741E7)</f>
        <v>65276741</v>
      </c>
    </row>
    <row r="861">
      <c r="A861" s="2">
        <f>IFERROR(__xludf.DUMMYFUNCTION("""COMPUTED_VALUE"""),45600.66666666667)</f>
        <v>45600.66667</v>
      </c>
      <c r="B861" s="1">
        <f>IFERROR(__xludf.DUMMYFUNCTION("""COMPUTED_VALUE"""),220.99)</f>
        <v>220.99</v>
      </c>
      <c r="C861" s="1">
        <f>IFERROR(__xludf.DUMMYFUNCTION("""COMPUTED_VALUE"""),222.79)</f>
        <v>222.79</v>
      </c>
      <c r="D861" s="1">
        <f>IFERROR(__xludf.DUMMYFUNCTION("""COMPUTED_VALUE"""),219.71)</f>
        <v>219.71</v>
      </c>
      <c r="E861" s="1">
        <f>IFERROR(__xludf.DUMMYFUNCTION("""COMPUTED_VALUE"""),222.01)</f>
        <v>222.01</v>
      </c>
      <c r="F861" s="1">
        <f>IFERROR(__xludf.DUMMYFUNCTION("""COMPUTED_VALUE"""),4.4944468E7)</f>
        <v>44944468</v>
      </c>
    </row>
    <row r="862">
      <c r="A862" s="2">
        <f>IFERROR(__xludf.DUMMYFUNCTION("""COMPUTED_VALUE"""),45601.66666666667)</f>
        <v>45601.66667</v>
      </c>
      <c r="B862" s="1">
        <f>IFERROR(__xludf.DUMMYFUNCTION("""COMPUTED_VALUE"""),221.8)</f>
        <v>221.8</v>
      </c>
      <c r="C862" s="1">
        <f>IFERROR(__xludf.DUMMYFUNCTION("""COMPUTED_VALUE"""),223.95)</f>
        <v>223.95</v>
      </c>
      <c r="D862" s="1">
        <f>IFERROR(__xludf.DUMMYFUNCTION("""COMPUTED_VALUE"""),221.14)</f>
        <v>221.14</v>
      </c>
      <c r="E862" s="1">
        <f>IFERROR(__xludf.DUMMYFUNCTION("""COMPUTED_VALUE"""),223.45)</f>
        <v>223.45</v>
      </c>
      <c r="F862" s="1">
        <f>IFERROR(__xludf.DUMMYFUNCTION("""COMPUTED_VALUE"""),2.8111338E7)</f>
        <v>28111338</v>
      </c>
    </row>
    <row r="863">
      <c r="A863" s="2">
        <f>IFERROR(__xludf.DUMMYFUNCTION("""COMPUTED_VALUE"""),45602.66666666667)</f>
        <v>45602.66667</v>
      </c>
      <c r="B863" s="1">
        <f>IFERROR(__xludf.DUMMYFUNCTION("""COMPUTED_VALUE"""),222.61)</f>
        <v>222.61</v>
      </c>
      <c r="C863" s="1">
        <f>IFERROR(__xludf.DUMMYFUNCTION("""COMPUTED_VALUE"""),226.07)</f>
        <v>226.07</v>
      </c>
      <c r="D863" s="1">
        <f>IFERROR(__xludf.DUMMYFUNCTION("""COMPUTED_VALUE"""),221.19)</f>
        <v>221.19</v>
      </c>
      <c r="E863" s="1">
        <f>IFERROR(__xludf.DUMMYFUNCTION("""COMPUTED_VALUE"""),222.72)</f>
        <v>222.72</v>
      </c>
      <c r="F863" s="1">
        <f>IFERROR(__xludf.DUMMYFUNCTION("""COMPUTED_VALUE"""),5.4561121E7)</f>
        <v>54561121</v>
      </c>
    </row>
    <row r="864">
      <c r="A864" s="2">
        <f>IFERROR(__xludf.DUMMYFUNCTION("""COMPUTED_VALUE"""),45603.66666666667)</f>
        <v>45603.66667</v>
      </c>
      <c r="B864" s="1">
        <f>IFERROR(__xludf.DUMMYFUNCTION("""COMPUTED_VALUE"""),224.63)</f>
        <v>224.63</v>
      </c>
      <c r="C864" s="1">
        <f>IFERROR(__xludf.DUMMYFUNCTION("""COMPUTED_VALUE"""),227.88)</f>
        <v>227.88</v>
      </c>
      <c r="D864" s="1">
        <f>IFERROR(__xludf.DUMMYFUNCTION("""COMPUTED_VALUE"""),224.57)</f>
        <v>224.57</v>
      </c>
      <c r="E864" s="1">
        <f>IFERROR(__xludf.DUMMYFUNCTION("""COMPUTED_VALUE"""),227.48)</f>
        <v>227.48</v>
      </c>
      <c r="F864" s="1">
        <f>IFERROR(__xludf.DUMMYFUNCTION("""COMPUTED_VALUE"""),4.2137691E7)</f>
        <v>42137691</v>
      </c>
    </row>
    <row r="865">
      <c r="A865" s="2">
        <f>IFERROR(__xludf.DUMMYFUNCTION("""COMPUTED_VALUE"""),45604.66666666667)</f>
        <v>45604.66667</v>
      </c>
      <c r="B865" s="1">
        <f>IFERROR(__xludf.DUMMYFUNCTION("""COMPUTED_VALUE"""),227.17)</f>
        <v>227.17</v>
      </c>
      <c r="C865" s="1">
        <f>IFERROR(__xludf.DUMMYFUNCTION("""COMPUTED_VALUE"""),228.66)</f>
        <v>228.66</v>
      </c>
      <c r="D865" s="1">
        <f>IFERROR(__xludf.DUMMYFUNCTION("""COMPUTED_VALUE"""),226.41)</f>
        <v>226.41</v>
      </c>
      <c r="E865" s="1">
        <f>IFERROR(__xludf.DUMMYFUNCTION("""COMPUTED_VALUE"""),226.96)</f>
        <v>226.96</v>
      </c>
      <c r="F865" s="1">
        <f>IFERROR(__xludf.DUMMYFUNCTION("""COMPUTED_VALUE"""),3.8328824E7)</f>
        <v>38328824</v>
      </c>
    </row>
    <row r="866">
      <c r="A866" s="2">
        <f>IFERROR(__xludf.DUMMYFUNCTION("""COMPUTED_VALUE"""),45607.66666666667)</f>
        <v>45607.66667</v>
      </c>
      <c r="B866" s="1">
        <f>IFERROR(__xludf.DUMMYFUNCTION("""COMPUTED_VALUE"""),225.0)</f>
        <v>225</v>
      </c>
      <c r="C866" s="1">
        <f>IFERROR(__xludf.DUMMYFUNCTION("""COMPUTED_VALUE"""),225.7)</f>
        <v>225.7</v>
      </c>
      <c r="D866" s="1">
        <f>IFERROR(__xludf.DUMMYFUNCTION("""COMPUTED_VALUE"""),221.5)</f>
        <v>221.5</v>
      </c>
      <c r="E866" s="1">
        <f>IFERROR(__xludf.DUMMYFUNCTION("""COMPUTED_VALUE"""),224.23)</f>
        <v>224.23</v>
      </c>
      <c r="F866" s="1">
        <f>IFERROR(__xludf.DUMMYFUNCTION("""COMPUTED_VALUE"""),4.2005602E7)</f>
        <v>42005602</v>
      </c>
    </row>
    <row r="867">
      <c r="A867" s="2">
        <f>IFERROR(__xludf.DUMMYFUNCTION("""COMPUTED_VALUE"""),45608.66666666667)</f>
        <v>45608.66667</v>
      </c>
      <c r="B867" s="1">
        <f>IFERROR(__xludf.DUMMYFUNCTION("""COMPUTED_VALUE"""),224.55)</f>
        <v>224.55</v>
      </c>
      <c r="C867" s="1">
        <f>IFERROR(__xludf.DUMMYFUNCTION("""COMPUTED_VALUE"""),225.59)</f>
        <v>225.59</v>
      </c>
      <c r="D867" s="1">
        <f>IFERROR(__xludf.DUMMYFUNCTION("""COMPUTED_VALUE"""),223.36)</f>
        <v>223.36</v>
      </c>
      <c r="E867" s="1">
        <f>IFERROR(__xludf.DUMMYFUNCTION("""COMPUTED_VALUE"""),224.23)</f>
        <v>224.23</v>
      </c>
      <c r="F867" s="1">
        <f>IFERROR(__xludf.DUMMYFUNCTION("""COMPUTED_VALUE"""),4.0398299E7)</f>
        <v>40398299</v>
      </c>
    </row>
    <row r="868">
      <c r="A868" s="2">
        <f>IFERROR(__xludf.DUMMYFUNCTION("""COMPUTED_VALUE"""),45609.66666666667)</f>
        <v>45609.66667</v>
      </c>
      <c r="B868" s="1">
        <f>IFERROR(__xludf.DUMMYFUNCTION("""COMPUTED_VALUE"""),224.01)</f>
        <v>224.01</v>
      </c>
      <c r="C868" s="1">
        <f>IFERROR(__xludf.DUMMYFUNCTION("""COMPUTED_VALUE"""),226.65)</f>
        <v>226.65</v>
      </c>
      <c r="D868" s="1">
        <f>IFERROR(__xludf.DUMMYFUNCTION("""COMPUTED_VALUE"""),222.76)</f>
        <v>222.76</v>
      </c>
      <c r="E868" s="1">
        <f>IFERROR(__xludf.DUMMYFUNCTION("""COMPUTED_VALUE"""),225.12)</f>
        <v>225.12</v>
      </c>
      <c r="F868" s="1">
        <f>IFERROR(__xludf.DUMMYFUNCTION("""COMPUTED_VALUE"""),4.8566217E7)</f>
        <v>48566217</v>
      </c>
    </row>
    <row r="869">
      <c r="A869" s="2">
        <f>IFERROR(__xludf.DUMMYFUNCTION("""COMPUTED_VALUE"""),45610.66666666667)</f>
        <v>45610.66667</v>
      </c>
      <c r="B869" s="1">
        <f>IFERROR(__xludf.DUMMYFUNCTION("""COMPUTED_VALUE"""),225.02)</f>
        <v>225.02</v>
      </c>
      <c r="C869" s="1">
        <f>IFERROR(__xludf.DUMMYFUNCTION("""COMPUTED_VALUE"""),228.87)</f>
        <v>228.87</v>
      </c>
      <c r="D869" s="1">
        <f>IFERROR(__xludf.DUMMYFUNCTION("""COMPUTED_VALUE"""),225.0)</f>
        <v>225</v>
      </c>
      <c r="E869" s="1">
        <f>IFERROR(__xludf.DUMMYFUNCTION("""COMPUTED_VALUE"""),228.22)</f>
        <v>228.22</v>
      </c>
      <c r="F869" s="1">
        <f>IFERROR(__xludf.DUMMYFUNCTION("""COMPUTED_VALUE"""),4.4923941E7)</f>
        <v>44923941</v>
      </c>
    </row>
    <row r="870">
      <c r="A870" s="2">
        <f>IFERROR(__xludf.DUMMYFUNCTION("""COMPUTED_VALUE"""),45611.66666666667)</f>
        <v>45611.66667</v>
      </c>
      <c r="B870" s="1">
        <f>IFERROR(__xludf.DUMMYFUNCTION("""COMPUTED_VALUE"""),226.4)</f>
        <v>226.4</v>
      </c>
      <c r="C870" s="1">
        <f>IFERROR(__xludf.DUMMYFUNCTION("""COMPUTED_VALUE"""),226.92)</f>
        <v>226.92</v>
      </c>
      <c r="D870" s="1">
        <f>IFERROR(__xludf.DUMMYFUNCTION("""COMPUTED_VALUE"""),224.27)</f>
        <v>224.27</v>
      </c>
      <c r="E870" s="1">
        <f>IFERROR(__xludf.DUMMYFUNCTION("""COMPUTED_VALUE"""),225.0)</f>
        <v>225</v>
      </c>
      <c r="F870" s="1">
        <f>IFERROR(__xludf.DUMMYFUNCTION("""COMPUTED_VALUE"""),4.7923696E7)</f>
        <v>47923696</v>
      </c>
    </row>
    <row r="871">
      <c r="A871" s="2">
        <f>IFERROR(__xludf.DUMMYFUNCTION("""COMPUTED_VALUE"""),45614.66666666667)</f>
        <v>45614.66667</v>
      </c>
      <c r="B871" s="1">
        <f>IFERROR(__xludf.DUMMYFUNCTION("""COMPUTED_VALUE"""),225.25)</f>
        <v>225.25</v>
      </c>
      <c r="C871" s="1">
        <f>IFERROR(__xludf.DUMMYFUNCTION("""COMPUTED_VALUE"""),229.74)</f>
        <v>229.74</v>
      </c>
      <c r="D871" s="1">
        <f>IFERROR(__xludf.DUMMYFUNCTION("""COMPUTED_VALUE"""),225.17)</f>
        <v>225.17</v>
      </c>
      <c r="E871" s="1">
        <f>IFERROR(__xludf.DUMMYFUNCTION("""COMPUTED_VALUE"""),228.02)</f>
        <v>228.02</v>
      </c>
      <c r="F871" s="1">
        <f>IFERROR(__xludf.DUMMYFUNCTION("""COMPUTED_VALUE"""),4.468602E7)</f>
        <v>44686020</v>
      </c>
    </row>
    <row r="872">
      <c r="A872" s="2">
        <f>IFERROR(__xludf.DUMMYFUNCTION("""COMPUTED_VALUE"""),45615.66666666667)</f>
        <v>45615.66667</v>
      </c>
      <c r="B872" s="1">
        <f>IFERROR(__xludf.DUMMYFUNCTION("""COMPUTED_VALUE"""),226.98)</f>
        <v>226.98</v>
      </c>
      <c r="C872" s="1">
        <f>IFERROR(__xludf.DUMMYFUNCTION("""COMPUTED_VALUE"""),230.16)</f>
        <v>230.16</v>
      </c>
      <c r="D872" s="1">
        <f>IFERROR(__xludf.DUMMYFUNCTION("""COMPUTED_VALUE"""),226.66)</f>
        <v>226.66</v>
      </c>
      <c r="E872" s="1">
        <f>IFERROR(__xludf.DUMMYFUNCTION("""COMPUTED_VALUE"""),228.28)</f>
        <v>228.28</v>
      </c>
      <c r="F872" s="1">
        <f>IFERROR(__xludf.DUMMYFUNCTION("""COMPUTED_VALUE"""),3.6211774E7)</f>
        <v>36211774</v>
      </c>
    </row>
    <row r="873">
      <c r="A873" s="2">
        <f>IFERROR(__xludf.DUMMYFUNCTION("""COMPUTED_VALUE"""),45616.66666666667)</f>
        <v>45616.66667</v>
      </c>
      <c r="B873" s="1">
        <f>IFERROR(__xludf.DUMMYFUNCTION("""COMPUTED_VALUE"""),228.06)</f>
        <v>228.06</v>
      </c>
      <c r="C873" s="1">
        <f>IFERROR(__xludf.DUMMYFUNCTION("""COMPUTED_VALUE"""),229.93)</f>
        <v>229.93</v>
      </c>
      <c r="D873" s="1">
        <f>IFERROR(__xludf.DUMMYFUNCTION("""COMPUTED_VALUE"""),225.89)</f>
        <v>225.89</v>
      </c>
      <c r="E873" s="1">
        <f>IFERROR(__xludf.DUMMYFUNCTION("""COMPUTED_VALUE"""),229.0)</f>
        <v>229</v>
      </c>
      <c r="F873" s="1">
        <f>IFERROR(__xludf.DUMMYFUNCTION("""COMPUTED_VALUE"""),3.5169566E7)</f>
        <v>35169566</v>
      </c>
    </row>
    <row r="874">
      <c r="A874" s="2">
        <f>IFERROR(__xludf.DUMMYFUNCTION("""COMPUTED_VALUE"""),45617.66666666667)</f>
        <v>45617.66667</v>
      </c>
      <c r="B874" s="1">
        <f>IFERROR(__xludf.DUMMYFUNCTION("""COMPUTED_VALUE"""),228.88)</f>
        <v>228.88</v>
      </c>
      <c r="C874" s="1">
        <f>IFERROR(__xludf.DUMMYFUNCTION("""COMPUTED_VALUE"""),230.16)</f>
        <v>230.16</v>
      </c>
      <c r="D874" s="1">
        <f>IFERROR(__xludf.DUMMYFUNCTION("""COMPUTED_VALUE"""),225.71)</f>
        <v>225.71</v>
      </c>
      <c r="E874" s="1">
        <f>IFERROR(__xludf.DUMMYFUNCTION("""COMPUTED_VALUE"""),228.52)</f>
        <v>228.52</v>
      </c>
      <c r="F874" s="1">
        <f>IFERROR(__xludf.DUMMYFUNCTION("""COMPUTED_VALUE"""),4.2108327E7)</f>
        <v>42108327</v>
      </c>
    </row>
    <row r="875">
      <c r="A875" s="2">
        <f>IFERROR(__xludf.DUMMYFUNCTION("""COMPUTED_VALUE"""),45618.66666666667)</f>
        <v>45618.66667</v>
      </c>
      <c r="B875" s="1">
        <f>IFERROR(__xludf.DUMMYFUNCTION("""COMPUTED_VALUE"""),228.06)</f>
        <v>228.06</v>
      </c>
      <c r="C875" s="1">
        <f>IFERROR(__xludf.DUMMYFUNCTION("""COMPUTED_VALUE"""),230.72)</f>
        <v>230.72</v>
      </c>
      <c r="D875" s="1">
        <f>IFERROR(__xludf.DUMMYFUNCTION("""COMPUTED_VALUE"""),228.06)</f>
        <v>228.06</v>
      </c>
      <c r="E875" s="1">
        <f>IFERROR(__xludf.DUMMYFUNCTION("""COMPUTED_VALUE"""),229.87)</f>
        <v>229.87</v>
      </c>
      <c r="F875" s="1">
        <f>IFERROR(__xludf.DUMMYFUNCTION("""COMPUTED_VALUE"""),3.8168252E7)</f>
        <v>38168252</v>
      </c>
    </row>
    <row r="876">
      <c r="A876" s="2">
        <f>IFERROR(__xludf.DUMMYFUNCTION("""COMPUTED_VALUE"""),45621.66666666667)</f>
        <v>45621.66667</v>
      </c>
      <c r="B876" s="1">
        <f>IFERROR(__xludf.DUMMYFUNCTION("""COMPUTED_VALUE"""),231.46)</f>
        <v>231.46</v>
      </c>
      <c r="C876" s="1">
        <f>IFERROR(__xludf.DUMMYFUNCTION("""COMPUTED_VALUE"""),233.25)</f>
        <v>233.25</v>
      </c>
      <c r="D876" s="1">
        <f>IFERROR(__xludf.DUMMYFUNCTION("""COMPUTED_VALUE"""),229.74)</f>
        <v>229.74</v>
      </c>
      <c r="E876" s="1">
        <f>IFERROR(__xludf.DUMMYFUNCTION("""COMPUTED_VALUE"""),232.87)</f>
        <v>232.87</v>
      </c>
      <c r="F876" s="1">
        <f>IFERROR(__xludf.DUMMYFUNCTION("""COMPUTED_VALUE"""),9.0152832E7)</f>
        <v>90152832</v>
      </c>
    </row>
    <row r="877">
      <c r="A877" s="2">
        <f>IFERROR(__xludf.DUMMYFUNCTION("""COMPUTED_VALUE"""),45622.66666666667)</f>
        <v>45622.66667</v>
      </c>
      <c r="B877" s="1">
        <f>IFERROR(__xludf.DUMMYFUNCTION("""COMPUTED_VALUE"""),233.33)</f>
        <v>233.33</v>
      </c>
      <c r="C877" s="1">
        <f>IFERROR(__xludf.DUMMYFUNCTION("""COMPUTED_VALUE"""),235.57)</f>
        <v>235.57</v>
      </c>
      <c r="D877" s="1">
        <f>IFERROR(__xludf.DUMMYFUNCTION("""COMPUTED_VALUE"""),233.33)</f>
        <v>233.33</v>
      </c>
      <c r="E877" s="1">
        <f>IFERROR(__xludf.DUMMYFUNCTION("""COMPUTED_VALUE"""),235.06)</f>
        <v>235.06</v>
      </c>
      <c r="F877" s="1">
        <f>IFERROR(__xludf.DUMMYFUNCTION("""COMPUTED_VALUE"""),4.5986189E7)</f>
        <v>45986189</v>
      </c>
    </row>
    <row r="878">
      <c r="A878" s="2">
        <f>IFERROR(__xludf.DUMMYFUNCTION("""COMPUTED_VALUE"""),45623.66666666667)</f>
        <v>45623.66667</v>
      </c>
      <c r="B878" s="1">
        <f>IFERROR(__xludf.DUMMYFUNCTION("""COMPUTED_VALUE"""),234.47)</f>
        <v>234.47</v>
      </c>
      <c r="C878" s="1">
        <f>IFERROR(__xludf.DUMMYFUNCTION("""COMPUTED_VALUE"""),235.69)</f>
        <v>235.69</v>
      </c>
      <c r="D878" s="1">
        <f>IFERROR(__xludf.DUMMYFUNCTION("""COMPUTED_VALUE"""),233.81)</f>
        <v>233.81</v>
      </c>
      <c r="E878" s="1">
        <f>IFERROR(__xludf.DUMMYFUNCTION("""COMPUTED_VALUE"""),234.93)</f>
        <v>234.93</v>
      </c>
      <c r="F878" s="1">
        <f>IFERROR(__xludf.DUMMYFUNCTION("""COMPUTED_VALUE"""),3.3498439E7)</f>
        <v>33498439</v>
      </c>
    </row>
    <row r="879">
      <c r="A879" s="2">
        <f>IFERROR(__xludf.DUMMYFUNCTION("""COMPUTED_VALUE"""),45625.54513888889)</f>
        <v>45625.54514</v>
      </c>
      <c r="B879" s="1">
        <f>IFERROR(__xludf.DUMMYFUNCTION("""COMPUTED_VALUE"""),234.81)</f>
        <v>234.81</v>
      </c>
      <c r="C879" s="1">
        <f>IFERROR(__xludf.DUMMYFUNCTION("""COMPUTED_VALUE"""),237.81)</f>
        <v>237.81</v>
      </c>
      <c r="D879" s="1">
        <f>IFERROR(__xludf.DUMMYFUNCTION("""COMPUTED_VALUE"""),233.97)</f>
        <v>233.97</v>
      </c>
      <c r="E879" s="1">
        <f>IFERROR(__xludf.DUMMYFUNCTION("""COMPUTED_VALUE"""),237.33)</f>
        <v>237.33</v>
      </c>
      <c r="F879" s="1">
        <f>IFERROR(__xludf.DUMMYFUNCTION("""COMPUTED_VALUE"""),2.8481377E7)</f>
        <v>28481377</v>
      </c>
    </row>
    <row r="880">
      <c r="A880" s="2">
        <f>IFERROR(__xludf.DUMMYFUNCTION("""COMPUTED_VALUE"""),45628.66666666667)</f>
        <v>45628.66667</v>
      </c>
      <c r="B880" s="1">
        <f>IFERROR(__xludf.DUMMYFUNCTION("""COMPUTED_VALUE"""),237.27)</f>
        <v>237.27</v>
      </c>
      <c r="C880" s="1">
        <f>IFERROR(__xludf.DUMMYFUNCTION("""COMPUTED_VALUE"""),240.79)</f>
        <v>240.79</v>
      </c>
      <c r="D880" s="1">
        <f>IFERROR(__xludf.DUMMYFUNCTION("""COMPUTED_VALUE"""),237.16)</f>
        <v>237.16</v>
      </c>
      <c r="E880" s="1">
        <f>IFERROR(__xludf.DUMMYFUNCTION("""COMPUTED_VALUE"""),239.59)</f>
        <v>239.59</v>
      </c>
      <c r="F880" s="1">
        <f>IFERROR(__xludf.DUMMYFUNCTION("""COMPUTED_VALUE"""),4.8137103E7)</f>
        <v>48137103</v>
      </c>
    </row>
    <row r="881">
      <c r="A881" s="2">
        <f>IFERROR(__xludf.DUMMYFUNCTION("""COMPUTED_VALUE"""),45629.66666666667)</f>
        <v>45629.66667</v>
      </c>
      <c r="B881" s="1">
        <f>IFERROR(__xludf.DUMMYFUNCTION("""COMPUTED_VALUE"""),239.81)</f>
        <v>239.81</v>
      </c>
      <c r="C881" s="1">
        <f>IFERROR(__xludf.DUMMYFUNCTION("""COMPUTED_VALUE"""),242.76)</f>
        <v>242.76</v>
      </c>
      <c r="D881" s="1">
        <f>IFERROR(__xludf.DUMMYFUNCTION("""COMPUTED_VALUE"""),238.9)</f>
        <v>238.9</v>
      </c>
      <c r="E881" s="1">
        <f>IFERROR(__xludf.DUMMYFUNCTION("""COMPUTED_VALUE"""),242.65)</f>
        <v>242.65</v>
      </c>
      <c r="F881" s="1">
        <f>IFERROR(__xludf.DUMMYFUNCTION("""COMPUTED_VALUE"""),3.8861017E7)</f>
        <v>38861017</v>
      </c>
    </row>
    <row r="882">
      <c r="A882" s="2">
        <f>IFERROR(__xludf.DUMMYFUNCTION("""COMPUTED_VALUE"""),45630.66666666667)</f>
        <v>45630.66667</v>
      </c>
      <c r="B882" s="1">
        <f>IFERROR(__xludf.DUMMYFUNCTION("""COMPUTED_VALUE"""),242.87)</f>
        <v>242.87</v>
      </c>
      <c r="C882" s="1">
        <f>IFERROR(__xludf.DUMMYFUNCTION("""COMPUTED_VALUE"""),244.11)</f>
        <v>244.11</v>
      </c>
      <c r="D882" s="1">
        <f>IFERROR(__xludf.DUMMYFUNCTION("""COMPUTED_VALUE"""),241.25)</f>
        <v>241.25</v>
      </c>
      <c r="E882" s="1">
        <f>IFERROR(__xludf.DUMMYFUNCTION("""COMPUTED_VALUE"""),243.01)</f>
        <v>243.01</v>
      </c>
      <c r="F882" s="1">
        <f>IFERROR(__xludf.DUMMYFUNCTION("""COMPUTED_VALUE"""),4.4383935E7)</f>
        <v>44383935</v>
      </c>
    </row>
    <row r="883">
      <c r="A883" s="2">
        <f>IFERROR(__xludf.DUMMYFUNCTION("""COMPUTED_VALUE"""),45631.66666666667)</f>
        <v>45631.66667</v>
      </c>
      <c r="B883" s="1">
        <f>IFERROR(__xludf.DUMMYFUNCTION("""COMPUTED_VALUE"""),243.99)</f>
        <v>243.99</v>
      </c>
      <c r="C883" s="1">
        <f>IFERROR(__xludf.DUMMYFUNCTION("""COMPUTED_VALUE"""),244.54)</f>
        <v>244.54</v>
      </c>
      <c r="D883" s="1">
        <f>IFERROR(__xludf.DUMMYFUNCTION("""COMPUTED_VALUE"""),242.13)</f>
        <v>242.13</v>
      </c>
      <c r="E883" s="1">
        <f>IFERROR(__xludf.DUMMYFUNCTION("""COMPUTED_VALUE"""),243.04)</f>
        <v>243.04</v>
      </c>
      <c r="F883" s="1">
        <f>IFERROR(__xludf.DUMMYFUNCTION("""COMPUTED_VALUE"""),4.0033878E7)</f>
        <v>40033878</v>
      </c>
    </row>
    <row r="884">
      <c r="A884" s="2">
        <f>IFERROR(__xludf.DUMMYFUNCTION("""COMPUTED_VALUE"""),45632.66666666667)</f>
        <v>45632.66667</v>
      </c>
      <c r="B884" s="1">
        <f>IFERROR(__xludf.DUMMYFUNCTION("""COMPUTED_VALUE"""),242.91)</f>
        <v>242.91</v>
      </c>
      <c r="C884" s="1">
        <f>IFERROR(__xludf.DUMMYFUNCTION("""COMPUTED_VALUE"""),244.63)</f>
        <v>244.63</v>
      </c>
      <c r="D884" s="1">
        <f>IFERROR(__xludf.DUMMYFUNCTION("""COMPUTED_VALUE"""),242.08)</f>
        <v>242.08</v>
      </c>
      <c r="E884" s="1">
        <f>IFERROR(__xludf.DUMMYFUNCTION("""COMPUTED_VALUE"""),242.84)</f>
        <v>242.84</v>
      </c>
      <c r="F884" s="1">
        <f>IFERROR(__xludf.DUMMYFUNCTION("""COMPUTED_VALUE"""),3.6870619E7)</f>
        <v>36870619</v>
      </c>
    </row>
    <row r="885">
      <c r="A885" s="2">
        <f>IFERROR(__xludf.DUMMYFUNCTION("""COMPUTED_VALUE"""),45635.66666666667)</f>
        <v>45635.66667</v>
      </c>
      <c r="B885" s="1">
        <f>IFERROR(__xludf.DUMMYFUNCTION("""COMPUTED_VALUE"""),241.83)</f>
        <v>241.83</v>
      </c>
      <c r="C885" s="1">
        <f>IFERROR(__xludf.DUMMYFUNCTION("""COMPUTED_VALUE"""),247.24)</f>
        <v>247.24</v>
      </c>
      <c r="D885" s="1">
        <f>IFERROR(__xludf.DUMMYFUNCTION("""COMPUTED_VALUE"""),241.75)</f>
        <v>241.75</v>
      </c>
      <c r="E885" s="1">
        <f>IFERROR(__xludf.DUMMYFUNCTION("""COMPUTED_VALUE"""),246.75)</f>
        <v>246.75</v>
      </c>
      <c r="F885" s="1">
        <f>IFERROR(__xludf.DUMMYFUNCTION("""COMPUTED_VALUE"""),4.4649232E7)</f>
        <v>44649232</v>
      </c>
    </row>
    <row r="886">
      <c r="A886" s="2">
        <f>IFERROR(__xludf.DUMMYFUNCTION("""COMPUTED_VALUE"""),45636.66666666667)</f>
        <v>45636.66667</v>
      </c>
      <c r="B886" s="1">
        <f>IFERROR(__xludf.DUMMYFUNCTION("""COMPUTED_VALUE"""),246.89)</f>
        <v>246.89</v>
      </c>
      <c r="C886" s="1">
        <f>IFERROR(__xludf.DUMMYFUNCTION("""COMPUTED_VALUE"""),248.21)</f>
        <v>248.21</v>
      </c>
      <c r="D886" s="1">
        <f>IFERROR(__xludf.DUMMYFUNCTION("""COMPUTED_VALUE"""),245.34)</f>
        <v>245.34</v>
      </c>
      <c r="E886" s="1">
        <f>IFERROR(__xludf.DUMMYFUNCTION("""COMPUTED_VALUE"""),247.77)</f>
        <v>247.77</v>
      </c>
      <c r="F886" s="1">
        <f>IFERROR(__xludf.DUMMYFUNCTION("""COMPUTED_VALUE"""),3.6914806E7)</f>
        <v>36914806</v>
      </c>
    </row>
    <row r="887">
      <c r="A887" s="2">
        <f>IFERROR(__xludf.DUMMYFUNCTION("""COMPUTED_VALUE"""),45637.66666666667)</f>
        <v>45637.66667</v>
      </c>
      <c r="B887" s="1">
        <f>IFERROR(__xludf.DUMMYFUNCTION("""COMPUTED_VALUE"""),247.96)</f>
        <v>247.96</v>
      </c>
      <c r="C887" s="1">
        <f>IFERROR(__xludf.DUMMYFUNCTION("""COMPUTED_VALUE"""),250.8)</f>
        <v>250.8</v>
      </c>
      <c r="D887" s="1">
        <f>IFERROR(__xludf.DUMMYFUNCTION("""COMPUTED_VALUE"""),246.26)</f>
        <v>246.26</v>
      </c>
      <c r="E887" s="1">
        <f>IFERROR(__xludf.DUMMYFUNCTION("""COMPUTED_VALUE"""),246.49)</f>
        <v>246.49</v>
      </c>
      <c r="F887" s="1">
        <f>IFERROR(__xludf.DUMMYFUNCTION("""COMPUTED_VALUE"""),4.5205814E7)</f>
        <v>45205814</v>
      </c>
    </row>
    <row r="888">
      <c r="A888" s="2">
        <f>IFERROR(__xludf.DUMMYFUNCTION("""COMPUTED_VALUE"""),45638.66666666667)</f>
        <v>45638.66667</v>
      </c>
      <c r="B888" s="1">
        <f>IFERROR(__xludf.DUMMYFUNCTION("""COMPUTED_VALUE"""),246.89)</f>
        <v>246.89</v>
      </c>
      <c r="C888" s="1">
        <f>IFERROR(__xludf.DUMMYFUNCTION("""COMPUTED_VALUE"""),248.74)</f>
        <v>248.74</v>
      </c>
      <c r="D888" s="1">
        <f>IFERROR(__xludf.DUMMYFUNCTION("""COMPUTED_VALUE"""),245.68)</f>
        <v>245.68</v>
      </c>
      <c r="E888" s="1">
        <f>IFERROR(__xludf.DUMMYFUNCTION("""COMPUTED_VALUE"""),247.96)</f>
        <v>247.96</v>
      </c>
      <c r="F888" s="1">
        <f>IFERROR(__xludf.DUMMYFUNCTION("""COMPUTED_VALUE"""),3.2777532E7)</f>
        <v>32777532</v>
      </c>
    </row>
    <row r="889">
      <c r="A889" s="2">
        <f>IFERROR(__xludf.DUMMYFUNCTION("""COMPUTED_VALUE"""),45639.66666666667)</f>
        <v>45639.66667</v>
      </c>
      <c r="B889" s="1">
        <f>IFERROR(__xludf.DUMMYFUNCTION("""COMPUTED_VALUE"""),247.82)</f>
        <v>247.82</v>
      </c>
      <c r="C889" s="1">
        <f>IFERROR(__xludf.DUMMYFUNCTION("""COMPUTED_VALUE"""),249.29)</f>
        <v>249.29</v>
      </c>
      <c r="D889" s="1">
        <f>IFERROR(__xludf.DUMMYFUNCTION("""COMPUTED_VALUE"""),246.24)</f>
        <v>246.24</v>
      </c>
      <c r="E889" s="1">
        <f>IFERROR(__xludf.DUMMYFUNCTION("""COMPUTED_VALUE"""),248.13)</f>
        <v>248.13</v>
      </c>
      <c r="F889" s="1">
        <f>IFERROR(__xludf.DUMMYFUNCTION("""COMPUTED_VALUE"""),3.315529E7)</f>
        <v>33155290</v>
      </c>
    </row>
    <row r="890">
      <c r="A890" s="2">
        <f>IFERROR(__xludf.DUMMYFUNCTION("""COMPUTED_VALUE"""),45642.66666666667)</f>
        <v>45642.66667</v>
      </c>
      <c r="B890" s="1">
        <f>IFERROR(__xludf.DUMMYFUNCTION("""COMPUTED_VALUE"""),247.99)</f>
        <v>247.99</v>
      </c>
      <c r="C890" s="1">
        <f>IFERROR(__xludf.DUMMYFUNCTION("""COMPUTED_VALUE"""),251.38)</f>
        <v>251.38</v>
      </c>
      <c r="D890" s="1">
        <f>IFERROR(__xludf.DUMMYFUNCTION("""COMPUTED_VALUE"""),247.65)</f>
        <v>247.65</v>
      </c>
      <c r="E890" s="1">
        <f>IFERROR(__xludf.DUMMYFUNCTION("""COMPUTED_VALUE"""),251.04)</f>
        <v>251.04</v>
      </c>
      <c r="F890" s="1">
        <f>IFERROR(__xludf.DUMMYFUNCTION("""COMPUTED_VALUE"""),5.1694753E7)</f>
        <v>51694753</v>
      </c>
    </row>
    <row r="891">
      <c r="A891" s="2">
        <f>IFERROR(__xludf.DUMMYFUNCTION("""COMPUTED_VALUE"""),45643.66666666667)</f>
        <v>45643.66667</v>
      </c>
      <c r="B891" s="1">
        <f>IFERROR(__xludf.DUMMYFUNCTION("""COMPUTED_VALUE"""),250.08)</f>
        <v>250.08</v>
      </c>
      <c r="C891" s="1">
        <f>IFERROR(__xludf.DUMMYFUNCTION("""COMPUTED_VALUE"""),253.83)</f>
        <v>253.83</v>
      </c>
      <c r="D891" s="1">
        <f>IFERROR(__xludf.DUMMYFUNCTION("""COMPUTED_VALUE"""),249.78)</f>
        <v>249.78</v>
      </c>
      <c r="E891" s="1">
        <f>IFERROR(__xludf.DUMMYFUNCTION("""COMPUTED_VALUE"""),253.48)</f>
        <v>253.48</v>
      </c>
      <c r="F891" s="1">
        <f>IFERROR(__xludf.DUMMYFUNCTION("""COMPUTED_VALUE"""),5.135636E7)</f>
        <v>51356360</v>
      </c>
    </row>
    <row r="892">
      <c r="A892" s="2">
        <f>IFERROR(__xludf.DUMMYFUNCTION("""COMPUTED_VALUE"""),45644.66666666667)</f>
        <v>45644.66667</v>
      </c>
      <c r="B892" s="1">
        <f>IFERROR(__xludf.DUMMYFUNCTION("""COMPUTED_VALUE"""),252.16)</f>
        <v>252.16</v>
      </c>
      <c r="C892" s="1">
        <f>IFERROR(__xludf.DUMMYFUNCTION("""COMPUTED_VALUE"""),254.28)</f>
        <v>254.28</v>
      </c>
      <c r="D892" s="1">
        <f>IFERROR(__xludf.DUMMYFUNCTION("""COMPUTED_VALUE"""),247.74)</f>
        <v>247.74</v>
      </c>
      <c r="E892" s="1">
        <f>IFERROR(__xludf.DUMMYFUNCTION("""COMPUTED_VALUE"""),248.05)</f>
        <v>248.05</v>
      </c>
      <c r="F892" s="1">
        <f>IFERROR(__xludf.DUMMYFUNCTION("""COMPUTED_VALUE"""),5.6774101E7)</f>
        <v>56774101</v>
      </c>
    </row>
    <row r="893">
      <c r="A893" s="2">
        <f>IFERROR(__xludf.DUMMYFUNCTION("""COMPUTED_VALUE"""),45645.66666666667)</f>
        <v>45645.66667</v>
      </c>
      <c r="B893" s="1">
        <f>IFERROR(__xludf.DUMMYFUNCTION("""COMPUTED_VALUE"""),247.5)</f>
        <v>247.5</v>
      </c>
      <c r="C893" s="1">
        <f>IFERROR(__xludf.DUMMYFUNCTION("""COMPUTED_VALUE"""),252.0)</f>
        <v>252</v>
      </c>
      <c r="D893" s="1">
        <f>IFERROR(__xludf.DUMMYFUNCTION("""COMPUTED_VALUE"""),247.09)</f>
        <v>247.09</v>
      </c>
      <c r="E893" s="1">
        <f>IFERROR(__xludf.DUMMYFUNCTION("""COMPUTED_VALUE"""),249.79)</f>
        <v>249.79</v>
      </c>
      <c r="F893" s="1">
        <f>IFERROR(__xludf.DUMMYFUNCTION("""COMPUTED_VALUE"""),6.0882264E7)</f>
        <v>60882264</v>
      </c>
    </row>
    <row r="894">
      <c r="A894" s="2">
        <f>IFERROR(__xludf.DUMMYFUNCTION("""COMPUTED_VALUE"""),45646.66666666667)</f>
        <v>45646.66667</v>
      </c>
      <c r="B894" s="1">
        <f>IFERROR(__xludf.DUMMYFUNCTION("""COMPUTED_VALUE"""),248.04)</f>
        <v>248.04</v>
      </c>
      <c r="C894" s="1">
        <f>IFERROR(__xludf.DUMMYFUNCTION("""COMPUTED_VALUE"""),255.0)</f>
        <v>255</v>
      </c>
      <c r="D894" s="1">
        <f>IFERROR(__xludf.DUMMYFUNCTION("""COMPUTED_VALUE"""),245.69)</f>
        <v>245.69</v>
      </c>
      <c r="E894" s="1">
        <f>IFERROR(__xludf.DUMMYFUNCTION("""COMPUTED_VALUE"""),254.49)</f>
        <v>254.49</v>
      </c>
      <c r="F894" s="1">
        <f>IFERROR(__xludf.DUMMYFUNCTION("""COMPUTED_VALUE"""),1.47495267E8)</f>
        <v>147495267</v>
      </c>
    </row>
    <row r="895">
      <c r="A895" s="2">
        <f>IFERROR(__xludf.DUMMYFUNCTION("""COMPUTED_VALUE"""),45649.66666666667)</f>
        <v>45649.66667</v>
      </c>
      <c r="B895" s="1">
        <f>IFERROR(__xludf.DUMMYFUNCTION("""COMPUTED_VALUE"""),254.77)</f>
        <v>254.77</v>
      </c>
      <c r="C895" s="1">
        <f>IFERROR(__xludf.DUMMYFUNCTION("""COMPUTED_VALUE"""),255.65)</f>
        <v>255.65</v>
      </c>
      <c r="D895" s="1">
        <f>IFERROR(__xludf.DUMMYFUNCTION("""COMPUTED_VALUE"""),253.45)</f>
        <v>253.45</v>
      </c>
      <c r="E895" s="1">
        <f>IFERROR(__xludf.DUMMYFUNCTION("""COMPUTED_VALUE"""),255.27)</f>
        <v>255.27</v>
      </c>
      <c r="F895" s="1">
        <f>IFERROR(__xludf.DUMMYFUNCTION("""COMPUTED_VALUE"""),4.0858774E7)</f>
        <v>40858774</v>
      </c>
    </row>
    <row r="896">
      <c r="A896" s="2">
        <f>IFERROR(__xludf.DUMMYFUNCTION("""COMPUTED_VALUE"""),45650.54513888889)</f>
        <v>45650.54514</v>
      </c>
      <c r="B896" s="1">
        <f>IFERROR(__xludf.DUMMYFUNCTION("""COMPUTED_VALUE"""),255.49)</f>
        <v>255.49</v>
      </c>
      <c r="C896" s="1">
        <f>IFERROR(__xludf.DUMMYFUNCTION("""COMPUTED_VALUE"""),258.21)</f>
        <v>258.21</v>
      </c>
      <c r="D896" s="1">
        <f>IFERROR(__xludf.DUMMYFUNCTION("""COMPUTED_VALUE"""),255.29)</f>
        <v>255.29</v>
      </c>
      <c r="E896" s="1">
        <f>IFERROR(__xludf.DUMMYFUNCTION("""COMPUTED_VALUE"""),258.2)</f>
        <v>258.2</v>
      </c>
      <c r="F896" s="1">
        <f>IFERROR(__xludf.DUMMYFUNCTION("""COMPUTED_VALUE"""),2.3234705E7)</f>
        <v>23234705</v>
      </c>
    </row>
    <row r="897">
      <c r="A897" s="2">
        <f>IFERROR(__xludf.DUMMYFUNCTION("""COMPUTED_VALUE"""),45652.66666666667)</f>
        <v>45652.66667</v>
      </c>
      <c r="B897" s="1">
        <f>IFERROR(__xludf.DUMMYFUNCTION("""COMPUTED_VALUE"""),258.19)</f>
        <v>258.19</v>
      </c>
      <c r="C897" s="1">
        <f>IFERROR(__xludf.DUMMYFUNCTION("""COMPUTED_VALUE"""),260.1)</f>
        <v>260.1</v>
      </c>
      <c r="D897" s="1">
        <f>IFERROR(__xludf.DUMMYFUNCTION("""COMPUTED_VALUE"""),257.63)</f>
        <v>257.63</v>
      </c>
      <c r="E897" s="1">
        <f>IFERROR(__xludf.DUMMYFUNCTION("""COMPUTED_VALUE"""),259.02)</f>
        <v>259.02</v>
      </c>
      <c r="F897" s="1">
        <f>IFERROR(__xludf.DUMMYFUNCTION("""COMPUTED_VALUE"""),2.7262983E7)</f>
        <v>27262983</v>
      </c>
    </row>
    <row r="898">
      <c r="A898" s="2">
        <f>IFERROR(__xludf.DUMMYFUNCTION("""COMPUTED_VALUE"""),45653.66666666667)</f>
        <v>45653.66667</v>
      </c>
      <c r="B898" s="1">
        <f>IFERROR(__xludf.DUMMYFUNCTION("""COMPUTED_VALUE"""),257.83)</f>
        <v>257.83</v>
      </c>
      <c r="C898" s="1">
        <f>IFERROR(__xludf.DUMMYFUNCTION("""COMPUTED_VALUE"""),258.7)</f>
        <v>258.7</v>
      </c>
      <c r="D898" s="1">
        <f>IFERROR(__xludf.DUMMYFUNCTION("""COMPUTED_VALUE"""),253.06)</f>
        <v>253.06</v>
      </c>
      <c r="E898" s="1">
        <f>IFERROR(__xludf.DUMMYFUNCTION("""COMPUTED_VALUE"""),255.59)</f>
        <v>255.59</v>
      </c>
      <c r="F898" s="1">
        <f>IFERROR(__xludf.DUMMYFUNCTION("""COMPUTED_VALUE"""),4.2355321E7)</f>
        <v>42355321</v>
      </c>
    </row>
    <row r="899">
      <c r="A899" s="2">
        <f>IFERROR(__xludf.DUMMYFUNCTION("""COMPUTED_VALUE"""),45656.66666666667)</f>
        <v>45656.66667</v>
      </c>
      <c r="B899" s="1">
        <f>IFERROR(__xludf.DUMMYFUNCTION("""COMPUTED_VALUE"""),252.23)</f>
        <v>252.23</v>
      </c>
      <c r="C899" s="1">
        <f>IFERROR(__xludf.DUMMYFUNCTION("""COMPUTED_VALUE"""),253.5)</f>
        <v>253.5</v>
      </c>
      <c r="D899" s="1">
        <f>IFERROR(__xludf.DUMMYFUNCTION("""COMPUTED_VALUE"""),250.75)</f>
        <v>250.75</v>
      </c>
      <c r="E899" s="1">
        <f>IFERROR(__xludf.DUMMYFUNCTION("""COMPUTED_VALUE"""),252.2)</f>
        <v>252.2</v>
      </c>
      <c r="F899" s="1">
        <f>IFERROR(__xludf.DUMMYFUNCTION("""COMPUTED_VALUE"""),3.5557542E7)</f>
        <v>35557542</v>
      </c>
    </row>
    <row r="900">
      <c r="A900" s="2">
        <f>IFERROR(__xludf.DUMMYFUNCTION("""COMPUTED_VALUE"""),45657.66666666667)</f>
        <v>45657.66667</v>
      </c>
      <c r="B900" s="1">
        <f>IFERROR(__xludf.DUMMYFUNCTION("""COMPUTED_VALUE"""),252.44)</f>
        <v>252.44</v>
      </c>
      <c r="C900" s="1">
        <f>IFERROR(__xludf.DUMMYFUNCTION("""COMPUTED_VALUE"""),253.28)</f>
        <v>253.28</v>
      </c>
      <c r="D900" s="1">
        <f>IFERROR(__xludf.DUMMYFUNCTION("""COMPUTED_VALUE"""),249.43)</f>
        <v>249.43</v>
      </c>
      <c r="E900" s="1">
        <f>IFERROR(__xludf.DUMMYFUNCTION("""COMPUTED_VALUE"""),250.42)</f>
        <v>250.42</v>
      </c>
      <c r="F900" s="1">
        <f>IFERROR(__xludf.DUMMYFUNCTION("""COMPUTED_VALUE"""),3.9480718E7)</f>
        <v>39480718</v>
      </c>
    </row>
    <row r="901">
      <c r="A901" s="2">
        <f>IFERROR(__xludf.DUMMYFUNCTION("""COMPUTED_VALUE"""),45659.66666666667)</f>
        <v>45659.66667</v>
      </c>
      <c r="B901" s="1">
        <f>IFERROR(__xludf.DUMMYFUNCTION("""COMPUTED_VALUE"""),248.93)</f>
        <v>248.93</v>
      </c>
      <c r="C901" s="1">
        <f>IFERROR(__xludf.DUMMYFUNCTION("""COMPUTED_VALUE"""),249.1)</f>
        <v>249.1</v>
      </c>
      <c r="D901" s="1">
        <f>IFERROR(__xludf.DUMMYFUNCTION("""COMPUTED_VALUE"""),241.82)</f>
        <v>241.82</v>
      </c>
      <c r="E901" s="1">
        <f>IFERROR(__xludf.DUMMYFUNCTION("""COMPUTED_VALUE"""),243.85)</f>
        <v>243.85</v>
      </c>
      <c r="F901" s="1">
        <f>IFERROR(__xludf.DUMMYFUNCTION("""COMPUTED_VALUE"""),5.5740731E7)</f>
        <v>55740731</v>
      </c>
    </row>
    <row r="902">
      <c r="A902" s="2">
        <f>IFERROR(__xludf.DUMMYFUNCTION("""COMPUTED_VALUE"""),45660.66666666667)</f>
        <v>45660.66667</v>
      </c>
      <c r="B902" s="1">
        <f>IFERROR(__xludf.DUMMYFUNCTION("""COMPUTED_VALUE"""),243.36)</f>
        <v>243.36</v>
      </c>
      <c r="C902" s="1">
        <f>IFERROR(__xludf.DUMMYFUNCTION("""COMPUTED_VALUE"""),244.18)</f>
        <v>244.18</v>
      </c>
      <c r="D902" s="1">
        <f>IFERROR(__xludf.DUMMYFUNCTION("""COMPUTED_VALUE"""),241.89)</f>
        <v>241.89</v>
      </c>
      <c r="E902" s="1">
        <f>IFERROR(__xludf.DUMMYFUNCTION("""COMPUTED_VALUE"""),243.36)</f>
        <v>243.36</v>
      </c>
      <c r="F902" s="1">
        <f>IFERROR(__xludf.DUMMYFUNCTION("""COMPUTED_VALUE"""),4.0244114E7)</f>
        <v>40244114</v>
      </c>
    </row>
    <row r="903">
      <c r="A903" s="2">
        <f>IFERROR(__xludf.DUMMYFUNCTION("""COMPUTED_VALUE"""),45663.66666666667)</f>
        <v>45663.66667</v>
      </c>
      <c r="B903" s="1">
        <f>IFERROR(__xludf.DUMMYFUNCTION("""COMPUTED_VALUE"""),244.31)</f>
        <v>244.31</v>
      </c>
      <c r="C903" s="1">
        <f>IFERROR(__xludf.DUMMYFUNCTION("""COMPUTED_VALUE"""),247.33)</f>
        <v>247.33</v>
      </c>
      <c r="D903" s="1">
        <f>IFERROR(__xludf.DUMMYFUNCTION("""COMPUTED_VALUE"""),243.2)</f>
        <v>243.2</v>
      </c>
      <c r="E903" s="1">
        <f>IFERROR(__xludf.DUMMYFUNCTION("""COMPUTED_VALUE"""),245.0)</f>
        <v>245</v>
      </c>
      <c r="F903" s="1">
        <f>IFERROR(__xludf.DUMMYFUNCTION("""COMPUTED_VALUE"""),4.5045571E7)</f>
        <v>45045571</v>
      </c>
    </row>
    <row r="904">
      <c r="A904" s="2">
        <f>IFERROR(__xludf.DUMMYFUNCTION("""COMPUTED_VALUE"""),45664.66666666667)</f>
        <v>45664.66667</v>
      </c>
      <c r="B904" s="1">
        <f>IFERROR(__xludf.DUMMYFUNCTION("""COMPUTED_VALUE"""),242.98)</f>
        <v>242.98</v>
      </c>
      <c r="C904" s="1">
        <f>IFERROR(__xludf.DUMMYFUNCTION("""COMPUTED_VALUE"""),245.55)</f>
        <v>245.55</v>
      </c>
      <c r="D904" s="1">
        <f>IFERROR(__xludf.DUMMYFUNCTION("""COMPUTED_VALUE"""),241.35)</f>
        <v>241.35</v>
      </c>
      <c r="E904" s="1">
        <f>IFERROR(__xludf.DUMMYFUNCTION("""COMPUTED_VALUE"""),242.21)</f>
        <v>242.21</v>
      </c>
      <c r="F904" s="1">
        <f>IFERROR(__xludf.DUMMYFUNCTION("""COMPUTED_VALUE"""),4.085596E7)</f>
        <v>40855960</v>
      </c>
    </row>
    <row r="905">
      <c r="A905" s="2">
        <f>IFERROR(__xludf.DUMMYFUNCTION("""COMPUTED_VALUE"""),45665.66666666667)</f>
        <v>45665.66667</v>
      </c>
      <c r="B905" s="1">
        <f>IFERROR(__xludf.DUMMYFUNCTION("""COMPUTED_VALUE"""),241.92)</f>
        <v>241.92</v>
      </c>
      <c r="C905" s="1">
        <f>IFERROR(__xludf.DUMMYFUNCTION("""COMPUTED_VALUE"""),243.71)</f>
        <v>243.71</v>
      </c>
      <c r="D905" s="1">
        <f>IFERROR(__xludf.DUMMYFUNCTION("""COMPUTED_VALUE"""),240.05)</f>
        <v>240.05</v>
      </c>
      <c r="E905" s="1">
        <f>IFERROR(__xludf.DUMMYFUNCTION("""COMPUTED_VALUE"""),242.7)</f>
        <v>242.7</v>
      </c>
      <c r="F905" s="1">
        <f>IFERROR(__xludf.DUMMYFUNCTION("""COMPUTED_VALUE"""),3.762894E7)</f>
        <v>37628940</v>
      </c>
    </row>
    <row r="906">
      <c r="A906" s="2">
        <f>IFERROR(__xludf.DUMMYFUNCTION("""COMPUTED_VALUE"""),45667.66666666667)</f>
        <v>45667.66667</v>
      </c>
      <c r="B906" s="1">
        <f>IFERROR(__xludf.DUMMYFUNCTION("""COMPUTED_VALUE"""),240.01)</f>
        <v>240.01</v>
      </c>
      <c r="C906" s="1">
        <f>IFERROR(__xludf.DUMMYFUNCTION("""COMPUTED_VALUE"""),240.16)</f>
        <v>240.16</v>
      </c>
      <c r="D906" s="1">
        <f>IFERROR(__xludf.DUMMYFUNCTION("""COMPUTED_VALUE"""),233.0)</f>
        <v>233</v>
      </c>
      <c r="E906" s="1">
        <f>IFERROR(__xludf.DUMMYFUNCTION("""COMPUTED_VALUE"""),236.85)</f>
        <v>236.85</v>
      </c>
      <c r="F906" s="1">
        <f>IFERROR(__xludf.DUMMYFUNCTION("""COMPUTED_VALUE"""),6.1710856E7)</f>
        <v>61710856</v>
      </c>
    </row>
    <row r="907">
      <c r="A907" s="2">
        <f>IFERROR(__xludf.DUMMYFUNCTION("""COMPUTED_VALUE"""),45670.66666666667)</f>
        <v>45670.66667</v>
      </c>
      <c r="B907" s="1">
        <f>IFERROR(__xludf.DUMMYFUNCTION("""COMPUTED_VALUE"""),233.53)</f>
        <v>233.53</v>
      </c>
      <c r="C907" s="1">
        <f>IFERROR(__xludf.DUMMYFUNCTION("""COMPUTED_VALUE"""),234.67)</f>
        <v>234.67</v>
      </c>
      <c r="D907" s="1">
        <f>IFERROR(__xludf.DUMMYFUNCTION("""COMPUTED_VALUE"""),229.72)</f>
        <v>229.72</v>
      </c>
      <c r="E907" s="1">
        <f>IFERROR(__xludf.DUMMYFUNCTION("""COMPUTED_VALUE"""),234.4)</f>
        <v>234.4</v>
      </c>
      <c r="F907" s="1">
        <f>IFERROR(__xludf.DUMMYFUNCTION("""COMPUTED_VALUE"""),4.9630725E7)</f>
        <v>49630725</v>
      </c>
    </row>
    <row r="908">
      <c r="A908" s="2">
        <f>IFERROR(__xludf.DUMMYFUNCTION("""COMPUTED_VALUE"""),45671.66666666667)</f>
        <v>45671.66667</v>
      </c>
      <c r="B908" s="1">
        <f>IFERROR(__xludf.DUMMYFUNCTION("""COMPUTED_VALUE"""),234.75)</f>
        <v>234.75</v>
      </c>
      <c r="C908" s="1">
        <f>IFERROR(__xludf.DUMMYFUNCTION("""COMPUTED_VALUE"""),236.12)</f>
        <v>236.12</v>
      </c>
      <c r="D908" s="1">
        <f>IFERROR(__xludf.DUMMYFUNCTION("""COMPUTED_VALUE"""),232.47)</f>
        <v>232.47</v>
      </c>
      <c r="E908" s="1">
        <f>IFERROR(__xludf.DUMMYFUNCTION("""COMPUTED_VALUE"""),233.28)</f>
        <v>233.28</v>
      </c>
      <c r="F908" s="1">
        <f>IFERROR(__xludf.DUMMYFUNCTION("""COMPUTED_VALUE"""),3.9435294E7)</f>
        <v>39435294</v>
      </c>
    </row>
    <row r="909">
      <c r="A909" s="2">
        <f>IFERROR(__xludf.DUMMYFUNCTION("""COMPUTED_VALUE"""),45672.66666666667)</f>
        <v>45672.66667</v>
      </c>
      <c r="B909" s="1">
        <f>IFERROR(__xludf.DUMMYFUNCTION("""COMPUTED_VALUE"""),234.64)</f>
        <v>234.64</v>
      </c>
      <c r="C909" s="1">
        <f>IFERROR(__xludf.DUMMYFUNCTION("""COMPUTED_VALUE"""),238.96)</f>
        <v>238.96</v>
      </c>
      <c r="D909" s="1">
        <f>IFERROR(__xludf.DUMMYFUNCTION("""COMPUTED_VALUE"""),234.43)</f>
        <v>234.43</v>
      </c>
      <c r="E909" s="1">
        <f>IFERROR(__xludf.DUMMYFUNCTION("""COMPUTED_VALUE"""),237.87)</f>
        <v>237.87</v>
      </c>
      <c r="F909" s="1">
        <f>IFERROR(__xludf.DUMMYFUNCTION("""COMPUTED_VALUE"""),3.9831969E7)</f>
        <v>39831969</v>
      </c>
    </row>
    <row r="910">
      <c r="A910" s="2">
        <f>IFERROR(__xludf.DUMMYFUNCTION("""COMPUTED_VALUE"""),45673.66666666667)</f>
        <v>45673.66667</v>
      </c>
      <c r="B910" s="1">
        <f>IFERROR(__xludf.DUMMYFUNCTION("""COMPUTED_VALUE"""),237.35)</f>
        <v>237.35</v>
      </c>
      <c r="C910" s="1">
        <f>IFERROR(__xludf.DUMMYFUNCTION("""COMPUTED_VALUE"""),238.01)</f>
        <v>238.01</v>
      </c>
      <c r="D910" s="1">
        <f>IFERROR(__xludf.DUMMYFUNCTION("""COMPUTED_VALUE"""),228.03)</f>
        <v>228.03</v>
      </c>
      <c r="E910" s="1">
        <f>IFERROR(__xludf.DUMMYFUNCTION("""COMPUTED_VALUE"""),228.26)</f>
        <v>228.26</v>
      </c>
      <c r="F910" s="1">
        <f>IFERROR(__xludf.DUMMYFUNCTION("""COMPUTED_VALUE"""),7.1759052E7)</f>
        <v>71759052</v>
      </c>
    </row>
    <row r="911">
      <c r="A911" s="2">
        <f>IFERROR(__xludf.DUMMYFUNCTION("""COMPUTED_VALUE"""),45674.66666666667)</f>
        <v>45674.66667</v>
      </c>
      <c r="B911" s="1">
        <f>IFERROR(__xludf.DUMMYFUNCTION("""COMPUTED_VALUE"""),232.12)</f>
        <v>232.12</v>
      </c>
      <c r="C911" s="1">
        <f>IFERROR(__xludf.DUMMYFUNCTION("""COMPUTED_VALUE"""),232.29)</f>
        <v>232.29</v>
      </c>
      <c r="D911" s="1">
        <f>IFERROR(__xludf.DUMMYFUNCTION("""COMPUTED_VALUE"""),228.48)</f>
        <v>228.48</v>
      </c>
      <c r="E911" s="1">
        <f>IFERROR(__xludf.DUMMYFUNCTION("""COMPUTED_VALUE"""),229.98)</f>
        <v>229.98</v>
      </c>
      <c r="F911" s="1">
        <f>IFERROR(__xludf.DUMMYFUNCTION("""COMPUTED_VALUE"""),6.8488301E7)</f>
        <v>68488301</v>
      </c>
    </row>
    <row r="912">
      <c r="A912" s="2">
        <f>IFERROR(__xludf.DUMMYFUNCTION("""COMPUTED_VALUE"""),45678.66666666667)</f>
        <v>45678.66667</v>
      </c>
      <c r="B912" s="1">
        <f>IFERROR(__xludf.DUMMYFUNCTION("""COMPUTED_VALUE"""),224.0)</f>
        <v>224</v>
      </c>
      <c r="C912" s="1">
        <f>IFERROR(__xludf.DUMMYFUNCTION("""COMPUTED_VALUE"""),224.42)</f>
        <v>224.42</v>
      </c>
      <c r="D912" s="1">
        <f>IFERROR(__xludf.DUMMYFUNCTION("""COMPUTED_VALUE"""),219.38)</f>
        <v>219.38</v>
      </c>
      <c r="E912" s="1">
        <f>IFERROR(__xludf.DUMMYFUNCTION("""COMPUTED_VALUE"""),222.64)</f>
        <v>222.64</v>
      </c>
      <c r="F912" s="1">
        <f>IFERROR(__xludf.DUMMYFUNCTION("""COMPUTED_VALUE"""),9.8070429E7)</f>
        <v>98070429</v>
      </c>
    </row>
    <row r="913">
      <c r="A913" s="2">
        <f>IFERROR(__xludf.DUMMYFUNCTION("""COMPUTED_VALUE"""),45679.66666666667)</f>
        <v>45679.66667</v>
      </c>
      <c r="B913" s="1">
        <f>IFERROR(__xludf.DUMMYFUNCTION("""COMPUTED_VALUE"""),219.79)</f>
        <v>219.79</v>
      </c>
      <c r="C913" s="1">
        <f>IFERROR(__xludf.DUMMYFUNCTION("""COMPUTED_VALUE"""),224.12)</f>
        <v>224.12</v>
      </c>
      <c r="D913" s="1">
        <f>IFERROR(__xludf.DUMMYFUNCTION("""COMPUTED_VALUE"""),219.79)</f>
        <v>219.79</v>
      </c>
      <c r="E913" s="1">
        <f>IFERROR(__xludf.DUMMYFUNCTION("""COMPUTED_VALUE"""),223.83)</f>
        <v>223.83</v>
      </c>
      <c r="F913" s="1">
        <f>IFERROR(__xludf.DUMMYFUNCTION("""COMPUTED_VALUE"""),6.41265E7)</f>
        <v>64126500</v>
      </c>
    </row>
    <row r="914">
      <c r="A914" s="2">
        <f>IFERROR(__xludf.DUMMYFUNCTION("""COMPUTED_VALUE"""),45680.66666666667)</f>
        <v>45680.66667</v>
      </c>
      <c r="B914" s="1">
        <f>IFERROR(__xludf.DUMMYFUNCTION("""COMPUTED_VALUE"""),224.74)</f>
        <v>224.74</v>
      </c>
      <c r="C914" s="1">
        <f>IFERROR(__xludf.DUMMYFUNCTION("""COMPUTED_VALUE"""),227.03)</f>
        <v>227.03</v>
      </c>
      <c r="D914" s="1">
        <f>IFERROR(__xludf.DUMMYFUNCTION("""COMPUTED_VALUE"""),222.3)</f>
        <v>222.3</v>
      </c>
      <c r="E914" s="1">
        <f>IFERROR(__xludf.DUMMYFUNCTION("""COMPUTED_VALUE"""),223.66)</f>
        <v>223.66</v>
      </c>
      <c r="F914" s="1">
        <f>IFERROR(__xludf.DUMMYFUNCTION("""COMPUTED_VALUE"""),6.023476E7)</f>
        <v>60234760</v>
      </c>
    </row>
    <row r="915">
      <c r="A915" s="2">
        <f>IFERROR(__xludf.DUMMYFUNCTION("""COMPUTED_VALUE"""),45681.66666666667)</f>
        <v>45681.66667</v>
      </c>
      <c r="B915" s="1">
        <f>IFERROR(__xludf.DUMMYFUNCTION("""COMPUTED_VALUE"""),224.78)</f>
        <v>224.78</v>
      </c>
      <c r="C915" s="1">
        <f>IFERROR(__xludf.DUMMYFUNCTION("""COMPUTED_VALUE"""),225.63)</f>
        <v>225.63</v>
      </c>
      <c r="D915" s="1">
        <f>IFERROR(__xludf.DUMMYFUNCTION("""COMPUTED_VALUE"""),221.41)</f>
        <v>221.41</v>
      </c>
      <c r="E915" s="1">
        <f>IFERROR(__xludf.DUMMYFUNCTION("""COMPUTED_VALUE"""),222.78)</f>
        <v>222.78</v>
      </c>
      <c r="F915" s="1">
        <f>IFERROR(__xludf.DUMMYFUNCTION("""COMPUTED_VALUE"""),5.4697907E7)</f>
        <v>54697907</v>
      </c>
    </row>
    <row r="916">
      <c r="A916" s="2">
        <f>IFERROR(__xludf.DUMMYFUNCTION("""COMPUTED_VALUE"""),45684.66666666667)</f>
        <v>45684.66667</v>
      </c>
      <c r="B916" s="1">
        <f>IFERROR(__xludf.DUMMYFUNCTION("""COMPUTED_VALUE"""),224.02)</f>
        <v>224.02</v>
      </c>
      <c r="C916" s="1">
        <f>IFERROR(__xludf.DUMMYFUNCTION("""COMPUTED_VALUE"""),232.15)</f>
        <v>232.15</v>
      </c>
      <c r="D916" s="1">
        <f>IFERROR(__xludf.DUMMYFUNCTION("""COMPUTED_VALUE"""),223.98)</f>
        <v>223.98</v>
      </c>
      <c r="E916" s="1">
        <f>IFERROR(__xludf.DUMMYFUNCTION("""COMPUTED_VALUE"""),229.86)</f>
        <v>229.86</v>
      </c>
      <c r="F916" s="1">
        <f>IFERROR(__xludf.DUMMYFUNCTION("""COMPUTED_VALUE"""),9.4863418E7)</f>
        <v>94863418</v>
      </c>
    </row>
    <row r="917">
      <c r="A917" s="2">
        <f>IFERROR(__xludf.DUMMYFUNCTION("""COMPUTED_VALUE"""),45685.66666666667)</f>
        <v>45685.66667</v>
      </c>
      <c r="B917" s="1">
        <f>IFERROR(__xludf.DUMMYFUNCTION("""COMPUTED_VALUE"""),230.85)</f>
        <v>230.85</v>
      </c>
      <c r="C917" s="1">
        <f>IFERROR(__xludf.DUMMYFUNCTION("""COMPUTED_VALUE"""),240.19)</f>
        <v>240.19</v>
      </c>
      <c r="D917" s="1">
        <f>IFERROR(__xludf.DUMMYFUNCTION("""COMPUTED_VALUE"""),230.81)</f>
        <v>230.81</v>
      </c>
      <c r="E917" s="1">
        <f>IFERROR(__xludf.DUMMYFUNCTION("""COMPUTED_VALUE"""),238.26)</f>
        <v>238.26</v>
      </c>
      <c r="F917" s="1">
        <f>IFERROR(__xludf.DUMMYFUNCTION("""COMPUTED_VALUE"""),7.5707569E7)</f>
        <v>75707569</v>
      </c>
    </row>
    <row r="918">
      <c r="A918" s="2">
        <f>IFERROR(__xludf.DUMMYFUNCTION("""COMPUTED_VALUE"""),45686.66666666667)</f>
        <v>45686.66667</v>
      </c>
      <c r="B918" s="1">
        <f>IFERROR(__xludf.DUMMYFUNCTION("""COMPUTED_VALUE"""),234.12)</f>
        <v>234.12</v>
      </c>
      <c r="C918" s="1">
        <f>IFERROR(__xludf.DUMMYFUNCTION("""COMPUTED_VALUE"""),239.86)</f>
        <v>239.86</v>
      </c>
      <c r="D918" s="1">
        <f>IFERROR(__xludf.DUMMYFUNCTION("""COMPUTED_VALUE"""),234.01)</f>
        <v>234.01</v>
      </c>
      <c r="E918" s="1">
        <f>IFERROR(__xludf.DUMMYFUNCTION("""COMPUTED_VALUE"""),239.36)</f>
        <v>239.36</v>
      </c>
      <c r="F918" s="1">
        <f>IFERROR(__xludf.DUMMYFUNCTION("""COMPUTED_VALUE"""),4.54861E7)</f>
        <v>45486100</v>
      </c>
    </row>
    <row r="919">
      <c r="A919" s="2">
        <f>IFERROR(__xludf.DUMMYFUNCTION("""COMPUTED_VALUE"""),45687.66666666667)</f>
        <v>45687.66667</v>
      </c>
      <c r="B919" s="1">
        <f>IFERROR(__xludf.DUMMYFUNCTION("""COMPUTED_VALUE"""),238.67)</f>
        <v>238.67</v>
      </c>
      <c r="C919" s="1">
        <f>IFERROR(__xludf.DUMMYFUNCTION("""COMPUTED_VALUE"""),240.79)</f>
        <v>240.79</v>
      </c>
      <c r="D919" s="1">
        <f>IFERROR(__xludf.DUMMYFUNCTION("""COMPUTED_VALUE"""),237.21)</f>
        <v>237.21</v>
      </c>
      <c r="E919" s="1">
        <f>IFERROR(__xludf.DUMMYFUNCTION("""COMPUTED_VALUE"""),237.59)</f>
        <v>237.59</v>
      </c>
      <c r="F919" s="1">
        <f>IFERROR(__xludf.DUMMYFUNCTION("""COMPUTED_VALUE"""),5.5658279E7)</f>
        <v>55658279</v>
      </c>
    </row>
    <row r="920">
      <c r="A920" s="2">
        <f>IFERROR(__xludf.DUMMYFUNCTION("""COMPUTED_VALUE"""),45688.66666666667)</f>
        <v>45688.66667</v>
      </c>
      <c r="B920" s="1">
        <f>IFERROR(__xludf.DUMMYFUNCTION("""COMPUTED_VALUE"""),247.19)</f>
        <v>247.19</v>
      </c>
      <c r="C920" s="1">
        <f>IFERROR(__xludf.DUMMYFUNCTION("""COMPUTED_VALUE"""),247.19)</f>
        <v>247.19</v>
      </c>
      <c r="D920" s="1">
        <f>IFERROR(__xludf.DUMMYFUNCTION("""COMPUTED_VALUE"""),233.44)</f>
        <v>233.44</v>
      </c>
      <c r="E920" s="1">
        <f>IFERROR(__xludf.DUMMYFUNCTION("""COMPUTED_VALUE"""),236.0)</f>
        <v>236</v>
      </c>
      <c r="F920" s="1">
        <f>IFERROR(__xludf.DUMMYFUNCTION("""COMPUTED_VALUE"""),1.01075128E8)</f>
        <v>101075128</v>
      </c>
    </row>
    <row r="921">
      <c r="A921" s="2">
        <f>IFERROR(__xludf.DUMMYFUNCTION("""COMPUTED_VALUE"""),45691.66666666667)</f>
        <v>45691.66667</v>
      </c>
      <c r="B921" s="1">
        <f>IFERROR(__xludf.DUMMYFUNCTION("""COMPUTED_VALUE"""),229.99)</f>
        <v>229.99</v>
      </c>
      <c r="C921" s="1">
        <f>IFERROR(__xludf.DUMMYFUNCTION("""COMPUTED_VALUE"""),231.83)</f>
        <v>231.83</v>
      </c>
      <c r="D921" s="1">
        <f>IFERROR(__xludf.DUMMYFUNCTION("""COMPUTED_VALUE"""),225.7)</f>
        <v>225.7</v>
      </c>
      <c r="E921" s="1">
        <f>IFERROR(__xludf.DUMMYFUNCTION("""COMPUTED_VALUE"""),228.01)</f>
        <v>228.01</v>
      </c>
      <c r="F921" s="1">
        <f>IFERROR(__xludf.DUMMYFUNCTION("""COMPUTED_VALUE"""),7.3063301E7)</f>
        <v>73063301</v>
      </c>
    </row>
    <row r="922">
      <c r="A922" s="2">
        <f>IFERROR(__xludf.DUMMYFUNCTION("""COMPUTED_VALUE"""),45692.66666666667)</f>
        <v>45692.66667</v>
      </c>
      <c r="B922" s="1">
        <f>IFERROR(__xludf.DUMMYFUNCTION("""COMPUTED_VALUE"""),227.25)</f>
        <v>227.25</v>
      </c>
      <c r="C922" s="1">
        <f>IFERROR(__xludf.DUMMYFUNCTION("""COMPUTED_VALUE"""),233.13)</f>
        <v>233.13</v>
      </c>
      <c r="D922" s="1">
        <f>IFERROR(__xludf.DUMMYFUNCTION("""COMPUTED_VALUE"""),226.65)</f>
        <v>226.65</v>
      </c>
      <c r="E922" s="1">
        <f>IFERROR(__xludf.DUMMYFUNCTION("""COMPUTED_VALUE"""),232.8)</f>
        <v>232.8</v>
      </c>
      <c r="F922" s="1">
        <f>IFERROR(__xludf.DUMMYFUNCTION("""COMPUTED_VALUE"""),4.5067301E7)</f>
        <v>45067301</v>
      </c>
    </row>
    <row r="923">
      <c r="A923" s="2">
        <f>IFERROR(__xludf.DUMMYFUNCTION("""COMPUTED_VALUE"""),45693.66666666667)</f>
        <v>45693.66667</v>
      </c>
      <c r="B923" s="1">
        <f>IFERROR(__xludf.DUMMYFUNCTION("""COMPUTED_VALUE"""),228.53)</f>
        <v>228.53</v>
      </c>
      <c r="C923" s="1">
        <f>IFERROR(__xludf.DUMMYFUNCTION("""COMPUTED_VALUE"""),232.67)</f>
        <v>232.67</v>
      </c>
      <c r="D923" s="1">
        <f>IFERROR(__xludf.DUMMYFUNCTION("""COMPUTED_VALUE"""),228.27)</f>
        <v>228.27</v>
      </c>
      <c r="E923" s="1">
        <f>IFERROR(__xludf.DUMMYFUNCTION("""COMPUTED_VALUE"""),232.47)</f>
        <v>232.47</v>
      </c>
      <c r="F923" s="1">
        <f>IFERROR(__xludf.DUMMYFUNCTION("""COMPUTED_VALUE"""),3.9664989E7)</f>
        <v>39664989</v>
      </c>
    </row>
    <row r="924">
      <c r="A924" s="2">
        <f>IFERROR(__xludf.DUMMYFUNCTION("""COMPUTED_VALUE"""),45694.66666666667)</f>
        <v>45694.66667</v>
      </c>
      <c r="B924" s="1">
        <f>IFERROR(__xludf.DUMMYFUNCTION("""COMPUTED_VALUE"""),231.29)</f>
        <v>231.29</v>
      </c>
      <c r="C924" s="1">
        <f>IFERROR(__xludf.DUMMYFUNCTION("""COMPUTED_VALUE"""),233.8)</f>
        <v>233.8</v>
      </c>
      <c r="D924" s="1">
        <f>IFERROR(__xludf.DUMMYFUNCTION("""COMPUTED_VALUE"""),230.43)</f>
        <v>230.43</v>
      </c>
      <c r="E924" s="1">
        <f>IFERROR(__xludf.DUMMYFUNCTION("""COMPUTED_VALUE"""),233.22)</f>
        <v>233.22</v>
      </c>
      <c r="F924" s="1">
        <f>IFERROR(__xludf.DUMMYFUNCTION("""COMPUTED_VALUE"""),2.9925349E7)</f>
        <v>29925349</v>
      </c>
    </row>
    <row r="925">
      <c r="A925" s="2">
        <f>IFERROR(__xludf.DUMMYFUNCTION("""COMPUTED_VALUE"""),45695.66666666667)</f>
        <v>45695.66667</v>
      </c>
      <c r="B925" s="1">
        <f>IFERROR(__xludf.DUMMYFUNCTION("""COMPUTED_VALUE"""),232.6)</f>
        <v>232.6</v>
      </c>
      <c r="C925" s="1">
        <f>IFERROR(__xludf.DUMMYFUNCTION("""COMPUTED_VALUE"""),234.0)</f>
        <v>234</v>
      </c>
      <c r="D925" s="1">
        <f>IFERROR(__xludf.DUMMYFUNCTION("""COMPUTED_VALUE"""),227.26)</f>
        <v>227.26</v>
      </c>
      <c r="E925" s="1">
        <f>IFERROR(__xludf.DUMMYFUNCTION("""COMPUTED_VALUE"""),227.63)</f>
        <v>227.63</v>
      </c>
      <c r="F925" s="1">
        <f>IFERROR(__xludf.DUMMYFUNCTION("""COMPUTED_VALUE"""),3.9707224E7)</f>
        <v>39707224</v>
      </c>
    </row>
    <row r="926">
      <c r="A926" s="2">
        <f>IFERROR(__xludf.DUMMYFUNCTION("""COMPUTED_VALUE"""),45698.66666666667)</f>
        <v>45698.66667</v>
      </c>
      <c r="B926" s="1">
        <f>IFERROR(__xludf.DUMMYFUNCTION("""COMPUTED_VALUE"""),229.57)</f>
        <v>229.57</v>
      </c>
      <c r="C926" s="1">
        <f>IFERROR(__xludf.DUMMYFUNCTION("""COMPUTED_VALUE"""),230.59)</f>
        <v>230.59</v>
      </c>
      <c r="D926" s="1">
        <f>IFERROR(__xludf.DUMMYFUNCTION("""COMPUTED_VALUE"""),227.2)</f>
        <v>227.2</v>
      </c>
      <c r="E926" s="1">
        <f>IFERROR(__xludf.DUMMYFUNCTION("""COMPUTED_VALUE"""),227.65)</f>
        <v>227.65</v>
      </c>
      <c r="F926" s="1">
        <f>IFERROR(__xludf.DUMMYFUNCTION("""COMPUTED_VALUE"""),3.3115645E7)</f>
        <v>33115645</v>
      </c>
    </row>
    <row r="927">
      <c r="A927" s="2">
        <f>IFERROR(__xludf.DUMMYFUNCTION("""COMPUTED_VALUE"""),45699.66666666667)</f>
        <v>45699.66667</v>
      </c>
      <c r="B927" s="1">
        <f>IFERROR(__xludf.DUMMYFUNCTION("""COMPUTED_VALUE"""),228.2)</f>
        <v>228.2</v>
      </c>
      <c r="C927" s="1">
        <f>IFERROR(__xludf.DUMMYFUNCTION("""COMPUTED_VALUE"""),235.23)</f>
        <v>235.23</v>
      </c>
      <c r="D927" s="1">
        <f>IFERROR(__xludf.DUMMYFUNCTION("""COMPUTED_VALUE"""),228.13)</f>
        <v>228.13</v>
      </c>
      <c r="E927" s="1">
        <f>IFERROR(__xludf.DUMMYFUNCTION("""COMPUTED_VALUE"""),232.62)</f>
        <v>232.62</v>
      </c>
      <c r="F927" s="1">
        <f>IFERROR(__xludf.DUMMYFUNCTION("""COMPUTED_VALUE"""),5.3718362E7)</f>
        <v>53718362</v>
      </c>
    </row>
    <row r="928">
      <c r="A928" s="2">
        <f>IFERROR(__xludf.DUMMYFUNCTION("""COMPUTED_VALUE"""),45700.66666666667)</f>
        <v>45700.66667</v>
      </c>
      <c r="B928" s="1">
        <f>IFERROR(__xludf.DUMMYFUNCTION("""COMPUTED_VALUE"""),231.2)</f>
        <v>231.2</v>
      </c>
      <c r="C928" s="1">
        <f>IFERROR(__xludf.DUMMYFUNCTION("""COMPUTED_VALUE"""),236.96)</f>
        <v>236.96</v>
      </c>
      <c r="D928" s="1">
        <f>IFERROR(__xludf.DUMMYFUNCTION("""COMPUTED_VALUE"""),230.68)</f>
        <v>230.68</v>
      </c>
      <c r="E928" s="1">
        <f>IFERROR(__xludf.DUMMYFUNCTION("""COMPUTED_VALUE"""),236.87)</f>
        <v>236.87</v>
      </c>
      <c r="F928" s="1">
        <f>IFERROR(__xludf.DUMMYFUNCTION("""COMPUTED_VALUE"""),4.5243292E7)</f>
        <v>45243292</v>
      </c>
    </row>
    <row r="929">
      <c r="A929" s="2">
        <f>IFERROR(__xludf.DUMMYFUNCTION("""COMPUTED_VALUE"""),45701.66666666667)</f>
        <v>45701.66667</v>
      </c>
      <c r="B929" s="1">
        <f>IFERROR(__xludf.DUMMYFUNCTION("""COMPUTED_VALUE"""),236.91)</f>
        <v>236.91</v>
      </c>
      <c r="C929" s="1">
        <f>IFERROR(__xludf.DUMMYFUNCTION("""COMPUTED_VALUE"""),242.34)</f>
        <v>242.34</v>
      </c>
      <c r="D929" s="1">
        <f>IFERROR(__xludf.DUMMYFUNCTION("""COMPUTED_VALUE"""),235.57)</f>
        <v>235.57</v>
      </c>
      <c r="E929" s="1">
        <f>IFERROR(__xludf.DUMMYFUNCTION("""COMPUTED_VALUE"""),241.53)</f>
        <v>241.53</v>
      </c>
      <c r="F929" s="1">
        <f>IFERROR(__xludf.DUMMYFUNCTION("""COMPUTED_VALUE"""),5.3614054E7)</f>
        <v>53614054</v>
      </c>
    </row>
    <row r="930">
      <c r="A930" s="2">
        <f>IFERROR(__xludf.DUMMYFUNCTION("""COMPUTED_VALUE"""),45702.66666666667)</f>
        <v>45702.66667</v>
      </c>
      <c r="B930" s="1">
        <f>IFERROR(__xludf.DUMMYFUNCTION("""COMPUTED_VALUE"""),241.25)</f>
        <v>241.25</v>
      </c>
      <c r="C930" s="1">
        <f>IFERROR(__xludf.DUMMYFUNCTION("""COMPUTED_VALUE"""),245.55)</f>
        <v>245.55</v>
      </c>
      <c r="D930" s="1">
        <f>IFERROR(__xludf.DUMMYFUNCTION("""COMPUTED_VALUE"""),240.99)</f>
        <v>240.99</v>
      </c>
      <c r="E930" s="1">
        <f>IFERROR(__xludf.DUMMYFUNCTION("""COMPUTED_VALUE"""),244.6)</f>
        <v>244.6</v>
      </c>
      <c r="F930" s="1">
        <f>IFERROR(__xludf.DUMMYFUNCTION("""COMPUTED_VALUE"""),4.0896227E7)</f>
        <v>40896227</v>
      </c>
    </row>
    <row r="931">
      <c r="A931" s="2">
        <f>IFERROR(__xludf.DUMMYFUNCTION("""COMPUTED_VALUE"""),45706.66666666667)</f>
        <v>45706.66667</v>
      </c>
      <c r="B931" s="1">
        <f>IFERROR(__xludf.DUMMYFUNCTION("""COMPUTED_VALUE"""),244.15)</f>
        <v>244.15</v>
      </c>
      <c r="C931" s="1">
        <f>IFERROR(__xludf.DUMMYFUNCTION("""COMPUTED_VALUE"""),245.18)</f>
        <v>245.18</v>
      </c>
      <c r="D931" s="1">
        <f>IFERROR(__xludf.DUMMYFUNCTION("""COMPUTED_VALUE"""),241.84)</f>
        <v>241.84</v>
      </c>
      <c r="E931" s="1">
        <f>IFERROR(__xludf.DUMMYFUNCTION("""COMPUTED_VALUE"""),244.47)</f>
        <v>244.47</v>
      </c>
      <c r="F931" s="1">
        <f>IFERROR(__xludf.DUMMYFUNCTION("""COMPUTED_VALUE"""),4.8822491E7)</f>
        <v>48822491</v>
      </c>
    </row>
    <row r="932">
      <c r="A932" s="2">
        <f>IFERROR(__xludf.DUMMYFUNCTION("""COMPUTED_VALUE"""),45707.66666666667)</f>
        <v>45707.66667</v>
      </c>
      <c r="B932" s="1">
        <f>IFERROR(__xludf.DUMMYFUNCTION("""COMPUTED_VALUE"""),244.66)</f>
        <v>244.66</v>
      </c>
      <c r="C932" s="1">
        <f>IFERROR(__xludf.DUMMYFUNCTION("""COMPUTED_VALUE"""),246.01)</f>
        <v>246.01</v>
      </c>
      <c r="D932" s="1">
        <f>IFERROR(__xludf.DUMMYFUNCTION("""COMPUTED_VALUE"""),243.16)</f>
        <v>243.16</v>
      </c>
      <c r="E932" s="1">
        <f>IFERROR(__xludf.DUMMYFUNCTION("""COMPUTED_VALUE"""),244.87)</f>
        <v>244.87</v>
      </c>
      <c r="F932" s="1">
        <f>IFERROR(__xludf.DUMMYFUNCTION("""COMPUTED_VALUE"""),3.2204215E7)</f>
        <v>32204215</v>
      </c>
    </row>
    <row r="933">
      <c r="A933" s="2">
        <f>IFERROR(__xludf.DUMMYFUNCTION("""COMPUTED_VALUE"""),45708.66666666667)</f>
        <v>45708.66667</v>
      </c>
      <c r="B933" s="1">
        <f>IFERROR(__xludf.DUMMYFUNCTION("""COMPUTED_VALUE"""),244.94)</f>
        <v>244.94</v>
      </c>
      <c r="C933" s="1">
        <f>IFERROR(__xludf.DUMMYFUNCTION("""COMPUTED_VALUE"""),246.78)</f>
        <v>246.78</v>
      </c>
      <c r="D933" s="1">
        <f>IFERROR(__xludf.DUMMYFUNCTION("""COMPUTED_VALUE"""),244.29)</f>
        <v>244.29</v>
      </c>
      <c r="E933" s="1">
        <f>IFERROR(__xludf.DUMMYFUNCTION("""COMPUTED_VALUE"""),245.83)</f>
        <v>245.83</v>
      </c>
      <c r="F933" s="1">
        <f>IFERROR(__xludf.DUMMYFUNCTION("""COMPUTED_VALUE"""),3.2316907E7)</f>
        <v>32316907</v>
      </c>
    </row>
    <row r="934">
      <c r="A934" s="2">
        <f>IFERROR(__xludf.DUMMYFUNCTION("""COMPUTED_VALUE"""),45709.66666666667)</f>
        <v>45709.66667</v>
      </c>
      <c r="B934" s="1">
        <f>IFERROR(__xludf.DUMMYFUNCTION("""COMPUTED_VALUE"""),245.95)</f>
        <v>245.95</v>
      </c>
      <c r="C934" s="1">
        <f>IFERROR(__xludf.DUMMYFUNCTION("""COMPUTED_VALUE"""),248.69)</f>
        <v>248.69</v>
      </c>
      <c r="D934" s="1">
        <f>IFERROR(__xludf.DUMMYFUNCTION("""COMPUTED_VALUE"""),245.22)</f>
        <v>245.22</v>
      </c>
      <c r="E934" s="1">
        <f>IFERROR(__xludf.DUMMYFUNCTION("""COMPUTED_VALUE"""),245.55)</f>
        <v>245.55</v>
      </c>
      <c r="F934" s="1">
        <f>IFERROR(__xludf.DUMMYFUNCTION("""COMPUTED_VALUE"""),5.3197431E7)</f>
        <v>53197431</v>
      </c>
    </row>
    <row r="935">
      <c r="A935" s="2">
        <f>IFERROR(__xludf.DUMMYFUNCTION("""COMPUTED_VALUE"""),45712.66666666667)</f>
        <v>45712.66667</v>
      </c>
      <c r="B935" s="1">
        <f>IFERROR(__xludf.DUMMYFUNCTION("""COMPUTED_VALUE"""),244.93)</f>
        <v>244.93</v>
      </c>
      <c r="C935" s="1">
        <f>IFERROR(__xludf.DUMMYFUNCTION("""COMPUTED_VALUE"""),248.86)</f>
        <v>248.86</v>
      </c>
      <c r="D935" s="1">
        <f>IFERROR(__xludf.DUMMYFUNCTION("""COMPUTED_VALUE"""),244.42)</f>
        <v>244.42</v>
      </c>
      <c r="E935" s="1">
        <f>IFERROR(__xludf.DUMMYFUNCTION("""COMPUTED_VALUE"""),247.1)</f>
        <v>247.1</v>
      </c>
      <c r="F935" s="1">
        <f>IFERROR(__xludf.DUMMYFUNCTION("""COMPUTED_VALUE"""),5.1326396E7)</f>
        <v>51326396</v>
      </c>
    </row>
    <row r="936">
      <c r="A936" s="2">
        <f>IFERROR(__xludf.DUMMYFUNCTION("""COMPUTED_VALUE"""),45713.66666666667)</f>
        <v>45713.66667</v>
      </c>
      <c r="B936" s="1">
        <f>IFERROR(__xludf.DUMMYFUNCTION("""COMPUTED_VALUE"""),248.0)</f>
        <v>248</v>
      </c>
      <c r="C936" s="1">
        <f>IFERROR(__xludf.DUMMYFUNCTION("""COMPUTED_VALUE"""),250.0)</f>
        <v>250</v>
      </c>
      <c r="D936" s="1">
        <f>IFERROR(__xludf.DUMMYFUNCTION("""COMPUTED_VALUE"""),244.91)</f>
        <v>244.91</v>
      </c>
      <c r="E936" s="1">
        <f>IFERROR(__xludf.DUMMYFUNCTION("""COMPUTED_VALUE"""),247.04)</f>
        <v>247.04</v>
      </c>
      <c r="F936" s="1">
        <f>IFERROR(__xludf.DUMMYFUNCTION("""COMPUTED_VALUE"""),4.8013272E7)</f>
        <v>48013272</v>
      </c>
    </row>
    <row r="937">
      <c r="A937" s="2">
        <f>IFERROR(__xludf.DUMMYFUNCTION("""COMPUTED_VALUE"""),45714.66666666667)</f>
        <v>45714.66667</v>
      </c>
      <c r="B937" s="1">
        <f>IFERROR(__xludf.DUMMYFUNCTION("""COMPUTED_VALUE"""),244.33)</f>
        <v>244.33</v>
      </c>
      <c r="C937" s="1">
        <f>IFERROR(__xludf.DUMMYFUNCTION("""COMPUTED_VALUE"""),244.98)</f>
        <v>244.98</v>
      </c>
      <c r="D937" s="1">
        <f>IFERROR(__xludf.DUMMYFUNCTION("""COMPUTED_VALUE"""),239.13)</f>
        <v>239.13</v>
      </c>
      <c r="E937" s="1">
        <f>IFERROR(__xludf.DUMMYFUNCTION("""COMPUTED_VALUE"""),240.36)</f>
        <v>240.36</v>
      </c>
      <c r="F937" s="1">
        <f>IFERROR(__xludf.DUMMYFUNCTION("""COMPUTED_VALUE"""),4.4433564E7)</f>
        <v>44433564</v>
      </c>
    </row>
    <row r="938">
      <c r="A938" s="2">
        <f>IFERROR(__xludf.DUMMYFUNCTION("""COMPUTED_VALUE"""),45715.66666666667)</f>
        <v>45715.66667</v>
      </c>
      <c r="B938" s="1">
        <f>IFERROR(__xludf.DUMMYFUNCTION("""COMPUTED_VALUE"""),239.41)</f>
        <v>239.41</v>
      </c>
      <c r="C938" s="1">
        <f>IFERROR(__xludf.DUMMYFUNCTION("""COMPUTED_VALUE"""),242.46)</f>
        <v>242.46</v>
      </c>
      <c r="D938" s="1">
        <f>IFERROR(__xludf.DUMMYFUNCTION("""COMPUTED_VALUE"""),237.06)</f>
        <v>237.06</v>
      </c>
      <c r="E938" s="1">
        <f>IFERROR(__xludf.DUMMYFUNCTION("""COMPUTED_VALUE"""),237.3)</f>
        <v>237.3</v>
      </c>
      <c r="F938" s="1">
        <f>IFERROR(__xludf.DUMMYFUNCTION("""COMPUTED_VALUE"""),4.1153639E7)</f>
        <v>41153639</v>
      </c>
    </row>
    <row r="939">
      <c r="A939" s="2">
        <f>IFERROR(__xludf.DUMMYFUNCTION("""COMPUTED_VALUE"""),45716.66666666667)</f>
        <v>45716.66667</v>
      </c>
      <c r="B939" s="1">
        <f>IFERROR(__xludf.DUMMYFUNCTION("""COMPUTED_VALUE"""),236.95)</f>
        <v>236.95</v>
      </c>
      <c r="C939" s="1">
        <f>IFERROR(__xludf.DUMMYFUNCTION("""COMPUTED_VALUE"""),242.09)</f>
        <v>242.09</v>
      </c>
      <c r="D939" s="1">
        <f>IFERROR(__xludf.DUMMYFUNCTION("""COMPUTED_VALUE"""),230.2)</f>
        <v>230.2</v>
      </c>
      <c r="E939" s="1">
        <f>IFERROR(__xludf.DUMMYFUNCTION("""COMPUTED_VALUE"""),241.84)</f>
        <v>241.84</v>
      </c>
      <c r="F939" s="1">
        <f>IFERROR(__xludf.DUMMYFUNCTION("""COMPUTED_VALUE"""),5.683336E7)</f>
        <v>56833360</v>
      </c>
    </row>
    <row r="940">
      <c r="A940" s="2">
        <f>IFERROR(__xludf.DUMMYFUNCTION("""COMPUTED_VALUE"""),45719.66666666667)</f>
        <v>45719.66667</v>
      </c>
      <c r="B940" s="1">
        <f>IFERROR(__xludf.DUMMYFUNCTION("""COMPUTED_VALUE"""),241.79)</f>
        <v>241.79</v>
      </c>
      <c r="C940" s="1">
        <f>IFERROR(__xludf.DUMMYFUNCTION("""COMPUTED_VALUE"""),244.03)</f>
        <v>244.03</v>
      </c>
      <c r="D940" s="1">
        <f>IFERROR(__xludf.DUMMYFUNCTION("""COMPUTED_VALUE"""),236.11)</f>
        <v>236.11</v>
      </c>
      <c r="E940" s="1">
        <f>IFERROR(__xludf.DUMMYFUNCTION("""COMPUTED_VALUE"""),238.03)</f>
        <v>238.03</v>
      </c>
      <c r="F940" s="1">
        <f>IFERROR(__xludf.DUMMYFUNCTION("""COMPUTED_VALUE"""),4.7183985E7)</f>
        <v>47183985</v>
      </c>
    </row>
    <row r="941">
      <c r="A941" s="2">
        <f>IFERROR(__xludf.DUMMYFUNCTION("""COMPUTED_VALUE"""),45720.66666666667)</f>
        <v>45720.66667</v>
      </c>
      <c r="B941" s="1">
        <f>IFERROR(__xludf.DUMMYFUNCTION("""COMPUTED_VALUE"""),237.71)</f>
        <v>237.71</v>
      </c>
      <c r="C941" s="1">
        <f>IFERROR(__xludf.DUMMYFUNCTION("""COMPUTED_VALUE"""),240.07)</f>
        <v>240.07</v>
      </c>
      <c r="D941" s="1">
        <f>IFERROR(__xludf.DUMMYFUNCTION("""COMPUTED_VALUE"""),234.68)</f>
        <v>234.68</v>
      </c>
      <c r="E941" s="1">
        <f>IFERROR(__xludf.DUMMYFUNCTION("""COMPUTED_VALUE"""),235.93)</f>
        <v>235.93</v>
      </c>
      <c r="F941" s="1">
        <f>IFERROR(__xludf.DUMMYFUNCTION("""COMPUTED_VALUE"""),5.3798062E7)</f>
        <v>53798062</v>
      </c>
    </row>
    <row r="942">
      <c r="A942" s="2">
        <f>IFERROR(__xludf.DUMMYFUNCTION("""COMPUTED_VALUE"""),45721.66666666667)</f>
        <v>45721.66667</v>
      </c>
      <c r="B942" s="1">
        <f>IFERROR(__xludf.DUMMYFUNCTION("""COMPUTED_VALUE"""),235.42)</f>
        <v>235.42</v>
      </c>
      <c r="C942" s="1">
        <f>IFERROR(__xludf.DUMMYFUNCTION("""COMPUTED_VALUE"""),236.55)</f>
        <v>236.55</v>
      </c>
      <c r="D942" s="1">
        <f>IFERROR(__xludf.DUMMYFUNCTION("""COMPUTED_VALUE"""),229.23)</f>
        <v>229.23</v>
      </c>
      <c r="E942" s="1">
        <f>IFERROR(__xludf.DUMMYFUNCTION("""COMPUTED_VALUE"""),235.74)</f>
        <v>235.74</v>
      </c>
      <c r="F942" s="1">
        <f>IFERROR(__xludf.DUMMYFUNCTION("""COMPUTED_VALUE"""),4.7227643E7)</f>
        <v>47227643</v>
      </c>
    </row>
    <row r="943">
      <c r="A943" s="2">
        <f>IFERROR(__xludf.DUMMYFUNCTION("""COMPUTED_VALUE"""),45722.66666666667)</f>
        <v>45722.66667</v>
      </c>
      <c r="B943" s="1">
        <f>IFERROR(__xludf.DUMMYFUNCTION("""COMPUTED_VALUE"""),234.44)</f>
        <v>234.44</v>
      </c>
      <c r="C943" s="1">
        <f>IFERROR(__xludf.DUMMYFUNCTION("""COMPUTED_VALUE"""),237.86)</f>
        <v>237.86</v>
      </c>
      <c r="D943" s="1">
        <f>IFERROR(__xludf.DUMMYFUNCTION("""COMPUTED_VALUE"""),233.16)</f>
        <v>233.16</v>
      </c>
      <c r="E943" s="1">
        <f>IFERROR(__xludf.DUMMYFUNCTION("""COMPUTED_VALUE"""),235.33)</f>
        <v>235.33</v>
      </c>
      <c r="F943" s="1">
        <f>IFERROR(__xludf.DUMMYFUNCTION("""COMPUTED_VALUE"""),4.5170419E7)</f>
        <v>45170419</v>
      </c>
    </row>
    <row r="944">
      <c r="A944" s="2">
        <f>IFERROR(__xludf.DUMMYFUNCTION("""COMPUTED_VALUE"""),45723.66666666667)</f>
        <v>45723.66667</v>
      </c>
      <c r="B944" s="1">
        <f>IFERROR(__xludf.DUMMYFUNCTION("""COMPUTED_VALUE"""),235.11)</f>
        <v>235.11</v>
      </c>
      <c r="C944" s="1">
        <f>IFERROR(__xludf.DUMMYFUNCTION("""COMPUTED_VALUE"""),241.37)</f>
        <v>241.37</v>
      </c>
      <c r="D944" s="1">
        <f>IFERROR(__xludf.DUMMYFUNCTION("""COMPUTED_VALUE"""),234.76)</f>
        <v>234.76</v>
      </c>
      <c r="E944" s="1">
        <f>IFERROR(__xludf.DUMMYFUNCTION("""COMPUTED_VALUE"""),239.07)</f>
        <v>239.07</v>
      </c>
      <c r="F944" s="1">
        <f>IFERROR(__xludf.DUMMYFUNCTION("""COMPUTED_VALUE"""),4.6273565E7)</f>
        <v>46273565</v>
      </c>
    </row>
    <row r="945">
      <c r="A945" s="2">
        <f>IFERROR(__xludf.DUMMYFUNCTION("""COMPUTED_VALUE"""),45726.66666666667)</f>
        <v>45726.66667</v>
      </c>
      <c r="B945" s="1">
        <f>IFERROR(__xludf.DUMMYFUNCTION("""COMPUTED_VALUE"""),235.54)</f>
        <v>235.54</v>
      </c>
      <c r="C945" s="1">
        <f>IFERROR(__xludf.DUMMYFUNCTION("""COMPUTED_VALUE"""),236.16)</f>
        <v>236.16</v>
      </c>
      <c r="D945" s="1">
        <f>IFERROR(__xludf.DUMMYFUNCTION("""COMPUTED_VALUE"""),224.22)</f>
        <v>224.22</v>
      </c>
      <c r="E945" s="1">
        <f>IFERROR(__xludf.DUMMYFUNCTION("""COMPUTED_VALUE"""),227.48)</f>
        <v>227.48</v>
      </c>
      <c r="F945" s="1">
        <f>IFERROR(__xludf.DUMMYFUNCTION("""COMPUTED_VALUE"""),7.2071197E7)</f>
        <v>72071197</v>
      </c>
    </row>
    <row r="946">
      <c r="A946" s="2">
        <f>IFERROR(__xludf.DUMMYFUNCTION("""COMPUTED_VALUE"""),45727.66666666667)</f>
        <v>45727.66667</v>
      </c>
      <c r="B946" s="1">
        <f>IFERROR(__xludf.DUMMYFUNCTION("""COMPUTED_VALUE"""),223.81)</f>
        <v>223.81</v>
      </c>
      <c r="C946" s="1">
        <f>IFERROR(__xludf.DUMMYFUNCTION("""COMPUTED_VALUE"""),225.84)</f>
        <v>225.84</v>
      </c>
      <c r="D946" s="1">
        <f>IFERROR(__xludf.DUMMYFUNCTION("""COMPUTED_VALUE"""),217.45)</f>
        <v>217.45</v>
      </c>
      <c r="E946" s="1">
        <f>IFERROR(__xludf.DUMMYFUNCTION("""COMPUTED_VALUE"""),220.84)</f>
        <v>220.84</v>
      </c>
      <c r="F946" s="1">
        <f>IFERROR(__xludf.DUMMYFUNCTION("""COMPUTED_VALUE"""),7.613741E7)</f>
        <v>76137410</v>
      </c>
    </row>
    <row r="947">
      <c r="A947" s="2">
        <f>IFERROR(__xludf.DUMMYFUNCTION("""COMPUTED_VALUE"""),45728.66666666667)</f>
        <v>45728.66667</v>
      </c>
      <c r="B947" s="1">
        <f>IFERROR(__xludf.DUMMYFUNCTION("""COMPUTED_VALUE"""),220.14)</f>
        <v>220.14</v>
      </c>
      <c r="C947" s="1">
        <f>IFERROR(__xludf.DUMMYFUNCTION("""COMPUTED_VALUE"""),221.75)</f>
        <v>221.75</v>
      </c>
      <c r="D947" s="1">
        <f>IFERROR(__xludf.DUMMYFUNCTION("""COMPUTED_VALUE"""),214.91)</f>
        <v>214.91</v>
      </c>
      <c r="E947" s="1">
        <f>IFERROR(__xludf.DUMMYFUNCTION("""COMPUTED_VALUE"""),216.98)</f>
        <v>216.98</v>
      </c>
      <c r="F947" s="1">
        <f>IFERROR(__xludf.DUMMYFUNCTION("""COMPUTED_VALUE"""),6.2547467E7)</f>
        <v>62547467</v>
      </c>
    </row>
    <row r="948">
      <c r="A948" s="2">
        <f>IFERROR(__xludf.DUMMYFUNCTION("""COMPUTED_VALUE"""),45729.66666666667)</f>
        <v>45729.66667</v>
      </c>
      <c r="B948" s="1">
        <f>IFERROR(__xludf.DUMMYFUNCTION("""COMPUTED_VALUE"""),215.95)</f>
        <v>215.95</v>
      </c>
      <c r="C948" s="1">
        <f>IFERROR(__xludf.DUMMYFUNCTION("""COMPUTED_VALUE"""),216.84)</f>
        <v>216.84</v>
      </c>
      <c r="D948" s="1">
        <f>IFERROR(__xludf.DUMMYFUNCTION("""COMPUTED_VALUE"""),208.42)</f>
        <v>208.42</v>
      </c>
      <c r="E948" s="1">
        <f>IFERROR(__xludf.DUMMYFUNCTION("""COMPUTED_VALUE"""),209.68)</f>
        <v>209.68</v>
      </c>
      <c r="F948" s="1">
        <f>IFERROR(__xludf.DUMMYFUNCTION("""COMPUTED_VALUE"""),6.136833E7)</f>
        <v>61368330</v>
      </c>
    </row>
    <row r="949">
      <c r="A949" s="2">
        <f>IFERROR(__xludf.DUMMYFUNCTION("""COMPUTED_VALUE"""),45730.66666666667)</f>
        <v>45730.66667</v>
      </c>
      <c r="B949" s="1">
        <f>IFERROR(__xludf.DUMMYFUNCTION("""COMPUTED_VALUE"""),211.25)</f>
        <v>211.25</v>
      </c>
      <c r="C949" s="1">
        <f>IFERROR(__xludf.DUMMYFUNCTION("""COMPUTED_VALUE"""),213.95)</f>
        <v>213.95</v>
      </c>
      <c r="D949" s="1">
        <f>IFERROR(__xludf.DUMMYFUNCTION("""COMPUTED_VALUE"""),209.58)</f>
        <v>209.58</v>
      </c>
      <c r="E949" s="1">
        <f>IFERROR(__xludf.DUMMYFUNCTION("""COMPUTED_VALUE"""),213.49)</f>
        <v>213.49</v>
      </c>
      <c r="F949" s="1">
        <f>IFERROR(__xludf.DUMMYFUNCTION("""COMPUTED_VALUE"""),6.0107582E7)</f>
        <v>60107582</v>
      </c>
    </row>
    <row r="950">
      <c r="A950" s="2">
        <f>IFERROR(__xludf.DUMMYFUNCTION("""COMPUTED_VALUE"""),45733.66666666667)</f>
        <v>45733.66667</v>
      </c>
      <c r="B950" s="1">
        <f>IFERROR(__xludf.DUMMYFUNCTION("""COMPUTED_VALUE"""),213.31)</f>
        <v>213.31</v>
      </c>
      <c r="C950" s="1">
        <f>IFERROR(__xludf.DUMMYFUNCTION("""COMPUTED_VALUE"""),215.22)</f>
        <v>215.22</v>
      </c>
      <c r="D950" s="1">
        <f>IFERROR(__xludf.DUMMYFUNCTION("""COMPUTED_VALUE"""),209.97)</f>
        <v>209.97</v>
      </c>
      <c r="E950" s="1">
        <f>IFERROR(__xludf.DUMMYFUNCTION("""COMPUTED_VALUE"""),214.0)</f>
        <v>214</v>
      </c>
      <c r="F950" s="1">
        <f>IFERROR(__xludf.DUMMYFUNCTION("""COMPUTED_VALUE"""),4.8073426E7)</f>
        <v>48073426</v>
      </c>
    </row>
    <row r="951">
      <c r="A951" s="2">
        <f>IFERROR(__xludf.DUMMYFUNCTION("""COMPUTED_VALUE"""),45734.66666666667)</f>
        <v>45734.66667</v>
      </c>
      <c r="B951" s="1">
        <f>IFERROR(__xludf.DUMMYFUNCTION("""COMPUTED_VALUE"""),214.16)</f>
        <v>214.16</v>
      </c>
      <c r="C951" s="1">
        <f>IFERROR(__xludf.DUMMYFUNCTION("""COMPUTED_VALUE"""),215.15)</f>
        <v>215.15</v>
      </c>
      <c r="D951" s="1">
        <f>IFERROR(__xludf.DUMMYFUNCTION("""COMPUTED_VALUE"""),211.49)</f>
        <v>211.49</v>
      </c>
      <c r="E951" s="1">
        <f>IFERROR(__xludf.DUMMYFUNCTION("""COMPUTED_VALUE"""),212.69)</f>
        <v>212.69</v>
      </c>
      <c r="F951" s="1">
        <f>IFERROR(__xludf.DUMMYFUNCTION("""COMPUTED_VALUE"""),4.2432426E7)</f>
        <v>42432426</v>
      </c>
    </row>
    <row r="952">
      <c r="A952" s="2">
        <f>IFERROR(__xludf.DUMMYFUNCTION("""COMPUTED_VALUE"""),45735.66666666667)</f>
        <v>45735.66667</v>
      </c>
      <c r="B952" s="1">
        <f>IFERROR(__xludf.DUMMYFUNCTION("""COMPUTED_VALUE"""),214.22)</f>
        <v>214.22</v>
      </c>
      <c r="C952" s="1">
        <f>IFERROR(__xludf.DUMMYFUNCTION("""COMPUTED_VALUE"""),218.76)</f>
        <v>218.76</v>
      </c>
      <c r="D952" s="1">
        <f>IFERROR(__xludf.DUMMYFUNCTION("""COMPUTED_VALUE"""),213.75)</f>
        <v>213.75</v>
      </c>
      <c r="E952" s="1">
        <f>IFERROR(__xludf.DUMMYFUNCTION("""COMPUTED_VALUE"""),215.24)</f>
        <v>215.24</v>
      </c>
      <c r="F952" s="1">
        <f>IFERROR(__xludf.DUMMYFUNCTION("""COMPUTED_VALUE"""),5.4385391E7)</f>
        <v>54385391</v>
      </c>
    </row>
    <row r="953">
      <c r="A953" s="2">
        <f>IFERROR(__xludf.DUMMYFUNCTION("""COMPUTED_VALUE"""),45736.66666666667)</f>
        <v>45736.66667</v>
      </c>
      <c r="B953" s="1">
        <f>IFERROR(__xludf.DUMMYFUNCTION("""COMPUTED_VALUE"""),213.99)</f>
        <v>213.99</v>
      </c>
      <c r="C953" s="1">
        <f>IFERROR(__xludf.DUMMYFUNCTION("""COMPUTED_VALUE"""),217.49)</f>
        <v>217.49</v>
      </c>
      <c r="D953" s="1">
        <f>IFERROR(__xludf.DUMMYFUNCTION("""COMPUTED_VALUE"""),212.22)</f>
        <v>212.22</v>
      </c>
      <c r="E953" s="1">
        <f>IFERROR(__xludf.DUMMYFUNCTION("""COMPUTED_VALUE"""),214.1)</f>
        <v>214.1</v>
      </c>
      <c r="F953" s="1">
        <f>IFERROR(__xludf.DUMMYFUNCTION("""COMPUTED_VALUE"""),4.8862947E7)</f>
        <v>48862947</v>
      </c>
    </row>
    <row r="954">
      <c r="A954" s="2">
        <f>IFERROR(__xludf.DUMMYFUNCTION("""COMPUTED_VALUE"""),45737.66666666667)</f>
        <v>45737.66667</v>
      </c>
      <c r="B954" s="1">
        <f>IFERROR(__xludf.DUMMYFUNCTION("""COMPUTED_VALUE"""),211.56)</f>
        <v>211.56</v>
      </c>
      <c r="C954" s="1">
        <f>IFERROR(__xludf.DUMMYFUNCTION("""COMPUTED_VALUE"""),218.84)</f>
        <v>218.84</v>
      </c>
      <c r="D954" s="1">
        <f>IFERROR(__xludf.DUMMYFUNCTION("""COMPUTED_VALUE"""),211.28)</f>
        <v>211.28</v>
      </c>
      <c r="E954" s="1">
        <f>IFERROR(__xludf.DUMMYFUNCTION("""COMPUTED_VALUE"""),218.27)</f>
        <v>218.27</v>
      </c>
      <c r="F954" s="1">
        <f>IFERROR(__xludf.DUMMYFUNCTION("""COMPUTED_VALUE"""),9.4127768E7)</f>
        <v>94127768</v>
      </c>
    </row>
    <row r="955">
      <c r="A955" s="2">
        <f>IFERROR(__xludf.DUMMYFUNCTION("""COMPUTED_VALUE"""),45740.66666666667)</f>
        <v>45740.66667</v>
      </c>
      <c r="B955" s="1">
        <f>IFERROR(__xludf.DUMMYFUNCTION("""COMPUTED_VALUE"""),221.0)</f>
        <v>221</v>
      </c>
      <c r="C955" s="1">
        <f>IFERROR(__xludf.DUMMYFUNCTION("""COMPUTED_VALUE"""),221.48)</f>
        <v>221.48</v>
      </c>
      <c r="D955" s="1">
        <f>IFERROR(__xludf.DUMMYFUNCTION("""COMPUTED_VALUE"""),218.58)</f>
        <v>218.58</v>
      </c>
      <c r="E955" s="1">
        <f>IFERROR(__xludf.DUMMYFUNCTION("""COMPUTED_VALUE"""),220.73)</f>
        <v>220.73</v>
      </c>
      <c r="F955" s="1">
        <f>IFERROR(__xludf.DUMMYFUNCTION("""COMPUTED_VALUE"""),4.4299483E7)</f>
        <v>44299483</v>
      </c>
    </row>
    <row r="956">
      <c r="A956" s="2">
        <f>IFERROR(__xludf.DUMMYFUNCTION("""COMPUTED_VALUE"""),45741.66666666667)</f>
        <v>45741.66667</v>
      </c>
      <c r="B956" s="1">
        <f>IFERROR(__xludf.DUMMYFUNCTION("""COMPUTED_VALUE"""),220.77)</f>
        <v>220.77</v>
      </c>
      <c r="C956" s="1">
        <f>IFERROR(__xludf.DUMMYFUNCTION("""COMPUTED_VALUE"""),224.1)</f>
        <v>224.1</v>
      </c>
      <c r="D956" s="1">
        <f>IFERROR(__xludf.DUMMYFUNCTION("""COMPUTED_VALUE"""),220.08)</f>
        <v>220.08</v>
      </c>
      <c r="E956" s="1">
        <f>IFERROR(__xludf.DUMMYFUNCTION("""COMPUTED_VALUE"""),223.75)</f>
        <v>223.75</v>
      </c>
      <c r="F956" s="1">
        <f>IFERROR(__xludf.DUMMYFUNCTION("""COMPUTED_VALUE"""),3.4493583E7)</f>
        <v>34493583</v>
      </c>
    </row>
    <row r="957">
      <c r="A957" s="2">
        <f>IFERROR(__xludf.DUMMYFUNCTION("""COMPUTED_VALUE"""),45742.66666666667)</f>
        <v>45742.66667</v>
      </c>
      <c r="B957" s="1">
        <f>IFERROR(__xludf.DUMMYFUNCTION("""COMPUTED_VALUE"""),223.51)</f>
        <v>223.51</v>
      </c>
      <c r="C957" s="1">
        <f>IFERROR(__xludf.DUMMYFUNCTION("""COMPUTED_VALUE"""),225.02)</f>
        <v>225.02</v>
      </c>
      <c r="D957" s="1">
        <f>IFERROR(__xludf.DUMMYFUNCTION("""COMPUTED_VALUE"""),220.47)</f>
        <v>220.47</v>
      </c>
      <c r="E957" s="1">
        <f>IFERROR(__xludf.DUMMYFUNCTION("""COMPUTED_VALUE"""),221.53)</f>
        <v>221.53</v>
      </c>
      <c r="F957" s="1">
        <f>IFERROR(__xludf.DUMMYFUNCTION("""COMPUTED_VALUE"""),3.4532656E7)</f>
        <v>34532656</v>
      </c>
    </row>
    <row r="958">
      <c r="A958" s="2">
        <f>IFERROR(__xludf.DUMMYFUNCTION("""COMPUTED_VALUE"""),45743.66666666667)</f>
        <v>45743.66667</v>
      </c>
      <c r="B958" s="1">
        <f>IFERROR(__xludf.DUMMYFUNCTION("""COMPUTED_VALUE"""),221.39)</f>
        <v>221.39</v>
      </c>
      <c r="C958" s="1">
        <f>IFERROR(__xludf.DUMMYFUNCTION("""COMPUTED_VALUE"""),224.99)</f>
        <v>224.99</v>
      </c>
      <c r="D958" s="1">
        <f>IFERROR(__xludf.DUMMYFUNCTION("""COMPUTED_VALUE"""),220.56)</f>
        <v>220.56</v>
      </c>
      <c r="E958" s="1">
        <f>IFERROR(__xludf.DUMMYFUNCTION("""COMPUTED_VALUE"""),223.85)</f>
        <v>223.85</v>
      </c>
      <c r="F958" s="1">
        <f>IFERROR(__xludf.DUMMYFUNCTION("""COMPUTED_VALUE"""),3.7094774E7)</f>
        <v>37094774</v>
      </c>
    </row>
    <row r="959">
      <c r="A959" s="2">
        <f>IFERROR(__xludf.DUMMYFUNCTION("""COMPUTED_VALUE"""),45744.66666666667)</f>
        <v>45744.66667</v>
      </c>
      <c r="B959" s="1">
        <f>IFERROR(__xludf.DUMMYFUNCTION("""COMPUTED_VALUE"""),221.67)</f>
        <v>221.67</v>
      </c>
      <c r="C959" s="1">
        <f>IFERROR(__xludf.DUMMYFUNCTION("""COMPUTED_VALUE"""),223.81)</f>
        <v>223.81</v>
      </c>
      <c r="D959" s="1">
        <f>IFERROR(__xludf.DUMMYFUNCTION("""COMPUTED_VALUE"""),217.68)</f>
        <v>217.68</v>
      </c>
      <c r="E959" s="1">
        <f>IFERROR(__xludf.DUMMYFUNCTION("""COMPUTED_VALUE"""),217.9)</f>
        <v>217.9</v>
      </c>
      <c r="F959" s="1">
        <f>IFERROR(__xludf.DUMMYFUNCTION("""COMPUTED_VALUE"""),3.9818617E7)</f>
        <v>39818617</v>
      </c>
    </row>
    <row r="960">
      <c r="A960" s="2">
        <f>IFERROR(__xludf.DUMMYFUNCTION("""COMPUTED_VALUE"""),45747.66666666667)</f>
        <v>45747.66667</v>
      </c>
      <c r="B960" s="1">
        <f>IFERROR(__xludf.DUMMYFUNCTION("""COMPUTED_VALUE"""),217.01)</f>
        <v>217.01</v>
      </c>
      <c r="C960" s="1">
        <f>IFERROR(__xludf.DUMMYFUNCTION("""COMPUTED_VALUE"""),225.62)</f>
        <v>225.62</v>
      </c>
      <c r="D960" s="1">
        <f>IFERROR(__xludf.DUMMYFUNCTION("""COMPUTED_VALUE"""),216.23)</f>
        <v>216.23</v>
      </c>
      <c r="E960" s="1">
        <f>IFERROR(__xludf.DUMMYFUNCTION("""COMPUTED_VALUE"""),222.13)</f>
        <v>222.13</v>
      </c>
      <c r="F960" s="1">
        <f>IFERROR(__xludf.DUMMYFUNCTION("""COMPUTED_VALUE"""),6.5299321E7)</f>
        <v>65299321</v>
      </c>
    </row>
    <row r="961">
      <c r="A961" s="2">
        <f>IFERROR(__xludf.DUMMYFUNCTION("""COMPUTED_VALUE"""),45748.66666666667)</f>
        <v>45748.66667</v>
      </c>
      <c r="B961" s="1">
        <f>IFERROR(__xludf.DUMMYFUNCTION("""COMPUTED_VALUE"""),219.81)</f>
        <v>219.81</v>
      </c>
      <c r="C961" s="1">
        <f>IFERROR(__xludf.DUMMYFUNCTION("""COMPUTED_VALUE"""),223.68)</f>
        <v>223.68</v>
      </c>
      <c r="D961" s="1">
        <f>IFERROR(__xludf.DUMMYFUNCTION("""COMPUTED_VALUE"""),218.9)</f>
        <v>218.9</v>
      </c>
      <c r="E961" s="1">
        <f>IFERROR(__xludf.DUMMYFUNCTION("""COMPUTED_VALUE"""),223.19)</f>
        <v>223.19</v>
      </c>
      <c r="F961" s="1">
        <f>IFERROR(__xludf.DUMMYFUNCTION("""COMPUTED_VALUE"""),3.641274E7)</f>
        <v>36412740</v>
      </c>
    </row>
    <row r="962">
      <c r="A962" s="2">
        <f>IFERROR(__xludf.DUMMYFUNCTION("""COMPUTED_VALUE"""),45749.66666666667)</f>
        <v>45749.66667</v>
      </c>
      <c r="B962" s="1">
        <f>IFERROR(__xludf.DUMMYFUNCTION("""COMPUTED_VALUE"""),221.32)</f>
        <v>221.32</v>
      </c>
      <c r="C962" s="1">
        <f>IFERROR(__xludf.DUMMYFUNCTION("""COMPUTED_VALUE"""),225.19)</f>
        <v>225.19</v>
      </c>
      <c r="D962" s="1">
        <f>IFERROR(__xludf.DUMMYFUNCTION("""COMPUTED_VALUE"""),221.02)</f>
        <v>221.02</v>
      </c>
      <c r="E962" s="1">
        <f>IFERROR(__xludf.DUMMYFUNCTION("""COMPUTED_VALUE"""),223.89)</f>
        <v>223.89</v>
      </c>
      <c r="F962" s="1">
        <f>IFERROR(__xludf.DUMMYFUNCTION("""COMPUTED_VALUE"""),3.5905904E7)</f>
        <v>35905904</v>
      </c>
    </row>
    <row r="963">
      <c r="A963" s="2">
        <f>IFERROR(__xludf.DUMMYFUNCTION("""COMPUTED_VALUE"""),45750.66666666667)</f>
        <v>45750.66667</v>
      </c>
      <c r="B963" s="1">
        <f>IFERROR(__xludf.DUMMYFUNCTION("""COMPUTED_VALUE"""),205.54)</f>
        <v>205.54</v>
      </c>
      <c r="C963" s="1">
        <f>IFERROR(__xludf.DUMMYFUNCTION("""COMPUTED_VALUE"""),207.49)</f>
        <v>207.49</v>
      </c>
      <c r="D963" s="1">
        <f>IFERROR(__xludf.DUMMYFUNCTION("""COMPUTED_VALUE"""),201.25)</f>
        <v>201.25</v>
      </c>
      <c r="E963" s="1">
        <f>IFERROR(__xludf.DUMMYFUNCTION("""COMPUTED_VALUE"""),203.19)</f>
        <v>203.19</v>
      </c>
      <c r="F963" s="1">
        <f>IFERROR(__xludf.DUMMYFUNCTION("""COMPUTED_VALUE"""),1.03419006E8)</f>
        <v>103419006</v>
      </c>
    </row>
    <row r="964">
      <c r="A964" s="2">
        <f>IFERROR(__xludf.DUMMYFUNCTION("""COMPUTED_VALUE"""),45751.66666666667)</f>
        <v>45751.66667</v>
      </c>
      <c r="B964" s="1">
        <f>IFERROR(__xludf.DUMMYFUNCTION("""COMPUTED_VALUE"""),193.89)</f>
        <v>193.89</v>
      </c>
      <c r="C964" s="1">
        <f>IFERROR(__xludf.DUMMYFUNCTION("""COMPUTED_VALUE"""),199.88)</f>
        <v>199.88</v>
      </c>
      <c r="D964" s="1">
        <f>IFERROR(__xludf.DUMMYFUNCTION("""COMPUTED_VALUE"""),187.34)</f>
        <v>187.34</v>
      </c>
      <c r="E964" s="1">
        <f>IFERROR(__xludf.DUMMYFUNCTION("""COMPUTED_VALUE"""),188.38)</f>
        <v>188.38</v>
      </c>
      <c r="F964" s="1">
        <f>IFERROR(__xludf.DUMMYFUNCTION("""COMPUTED_VALUE"""),1.25910913E8)</f>
        <v>125910913</v>
      </c>
    </row>
    <row r="965">
      <c r="A965" s="2">
        <f>IFERROR(__xludf.DUMMYFUNCTION("""COMPUTED_VALUE"""),45754.66666666667)</f>
        <v>45754.66667</v>
      </c>
      <c r="B965" s="1">
        <f>IFERROR(__xludf.DUMMYFUNCTION("""COMPUTED_VALUE"""),177.2)</f>
        <v>177.2</v>
      </c>
      <c r="C965" s="1">
        <f>IFERROR(__xludf.DUMMYFUNCTION("""COMPUTED_VALUE"""),194.15)</f>
        <v>194.15</v>
      </c>
      <c r="D965" s="1">
        <f>IFERROR(__xludf.DUMMYFUNCTION("""COMPUTED_VALUE"""),174.62)</f>
        <v>174.62</v>
      </c>
      <c r="E965" s="1">
        <f>IFERROR(__xludf.DUMMYFUNCTION("""COMPUTED_VALUE"""),181.46)</f>
        <v>181.46</v>
      </c>
      <c r="F965" s="1">
        <f>IFERROR(__xludf.DUMMYFUNCTION("""COMPUTED_VALUE"""),1.60466286E8)</f>
        <v>160466286</v>
      </c>
    </row>
    <row r="966">
      <c r="A966" s="2">
        <f>IFERROR(__xludf.DUMMYFUNCTION("""COMPUTED_VALUE"""),45755.66666666667)</f>
        <v>45755.66667</v>
      </c>
      <c r="B966" s="1">
        <f>IFERROR(__xludf.DUMMYFUNCTION("""COMPUTED_VALUE"""),186.7)</f>
        <v>186.7</v>
      </c>
      <c r="C966" s="1">
        <f>IFERROR(__xludf.DUMMYFUNCTION("""COMPUTED_VALUE"""),190.34)</f>
        <v>190.34</v>
      </c>
      <c r="D966" s="1">
        <f>IFERROR(__xludf.DUMMYFUNCTION("""COMPUTED_VALUE"""),169.21)</f>
        <v>169.21</v>
      </c>
      <c r="E966" s="1">
        <f>IFERROR(__xludf.DUMMYFUNCTION("""COMPUTED_VALUE"""),172.42)</f>
        <v>172.42</v>
      </c>
      <c r="F966" s="1">
        <f>IFERROR(__xludf.DUMMYFUNCTION("""COMPUTED_VALUE"""),1.20859491E8)</f>
        <v>120859491</v>
      </c>
    </row>
    <row r="967">
      <c r="A967" s="2">
        <f>IFERROR(__xludf.DUMMYFUNCTION("""COMPUTED_VALUE"""),45756.66666666667)</f>
        <v>45756.66667</v>
      </c>
      <c r="B967" s="1">
        <f>IFERROR(__xludf.DUMMYFUNCTION("""COMPUTED_VALUE"""),171.95)</f>
        <v>171.95</v>
      </c>
      <c r="C967" s="1">
        <f>IFERROR(__xludf.DUMMYFUNCTION("""COMPUTED_VALUE"""),200.61)</f>
        <v>200.61</v>
      </c>
      <c r="D967" s="1">
        <f>IFERROR(__xludf.DUMMYFUNCTION("""COMPUTED_VALUE"""),171.89)</f>
        <v>171.89</v>
      </c>
      <c r="E967" s="1">
        <f>IFERROR(__xludf.DUMMYFUNCTION("""COMPUTED_VALUE"""),198.85)</f>
        <v>198.85</v>
      </c>
      <c r="F967" s="1">
        <f>IFERROR(__xludf.DUMMYFUNCTION("""COMPUTED_VALUE"""),1.84395885E8)</f>
        <v>184395885</v>
      </c>
    </row>
    <row r="968">
      <c r="A968" s="2">
        <f>IFERROR(__xludf.DUMMYFUNCTION("""COMPUTED_VALUE"""),45757.66666666667)</f>
        <v>45757.66667</v>
      </c>
      <c r="B968" s="1">
        <f>IFERROR(__xludf.DUMMYFUNCTION("""COMPUTED_VALUE"""),189.07)</f>
        <v>189.07</v>
      </c>
      <c r="C968" s="1">
        <f>IFERROR(__xludf.DUMMYFUNCTION("""COMPUTED_VALUE"""),194.78)</f>
        <v>194.78</v>
      </c>
      <c r="D968" s="1">
        <f>IFERROR(__xludf.DUMMYFUNCTION("""COMPUTED_VALUE"""),183.0)</f>
        <v>183</v>
      </c>
      <c r="E968" s="1">
        <f>IFERROR(__xludf.DUMMYFUNCTION("""COMPUTED_VALUE"""),190.42)</f>
        <v>190.42</v>
      </c>
      <c r="F968" s="1">
        <f>IFERROR(__xludf.DUMMYFUNCTION("""COMPUTED_VALUE"""),1.21879981E8)</f>
        <v>121879981</v>
      </c>
    </row>
    <row r="969">
      <c r="A969" s="2">
        <f>IFERROR(__xludf.DUMMYFUNCTION("""COMPUTED_VALUE"""),45758.66666666667)</f>
        <v>45758.66667</v>
      </c>
      <c r="B969" s="1">
        <f>IFERROR(__xludf.DUMMYFUNCTION("""COMPUTED_VALUE"""),186.1)</f>
        <v>186.1</v>
      </c>
      <c r="C969" s="1">
        <f>IFERROR(__xludf.DUMMYFUNCTION("""COMPUTED_VALUE"""),199.54)</f>
        <v>199.54</v>
      </c>
      <c r="D969" s="1">
        <f>IFERROR(__xludf.DUMMYFUNCTION("""COMPUTED_VALUE"""),186.06)</f>
        <v>186.06</v>
      </c>
      <c r="E969" s="1">
        <f>IFERROR(__xludf.DUMMYFUNCTION("""COMPUTED_VALUE"""),198.15)</f>
        <v>198.15</v>
      </c>
      <c r="F969" s="1">
        <f>IFERROR(__xludf.DUMMYFUNCTION("""COMPUTED_VALUE"""),8.7435915E7)</f>
        <v>87435915</v>
      </c>
    </row>
    <row r="970">
      <c r="A970" s="2">
        <f>IFERROR(__xludf.DUMMYFUNCTION("""COMPUTED_VALUE"""),45761.66666666667)</f>
        <v>45761.66667</v>
      </c>
      <c r="B970" s="1">
        <f>IFERROR(__xludf.DUMMYFUNCTION("""COMPUTED_VALUE"""),211.44)</f>
        <v>211.44</v>
      </c>
      <c r="C970" s="1">
        <f>IFERROR(__xludf.DUMMYFUNCTION("""COMPUTED_VALUE"""),212.94)</f>
        <v>212.94</v>
      </c>
      <c r="D970" s="1">
        <f>IFERROR(__xludf.DUMMYFUNCTION("""COMPUTED_VALUE"""),201.16)</f>
        <v>201.16</v>
      </c>
      <c r="E970" s="1">
        <f>IFERROR(__xludf.DUMMYFUNCTION("""COMPUTED_VALUE"""),202.52)</f>
        <v>202.52</v>
      </c>
      <c r="F970" s="1">
        <f>IFERROR(__xludf.DUMMYFUNCTION("""COMPUTED_VALUE"""),1.01352911E8)</f>
        <v>101352911</v>
      </c>
    </row>
    <row r="971">
      <c r="A971" s="2">
        <f>IFERROR(__xludf.DUMMYFUNCTION("""COMPUTED_VALUE"""),45762.66666666667)</f>
        <v>45762.66667</v>
      </c>
      <c r="B971" s="1">
        <f>IFERROR(__xludf.DUMMYFUNCTION("""COMPUTED_VALUE"""),201.86)</f>
        <v>201.86</v>
      </c>
      <c r="C971" s="1">
        <f>IFERROR(__xludf.DUMMYFUNCTION("""COMPUTED_VALUE"""),203.51)</f>
        <v>203.51</v>
      </c>
      <c r="D971" s="1">
        <f>IFERROR(__xludf.DUMMYFUNCTION("""COMPUTED_VALUE"""),199.8)</f>
        <v>199.8</v>
      </c>
      <c r="E971" s="1">
        <f>IFERROR(__xludf.DUMMYFUNCTION("""COMPUTED_VALUE"""),202.14)</f>
        <v>202.14</v>
      </c>
      <c r="F971" s="1">
        <f>IFERROR(__xludf.DUMMYFUNCTION("""COMPUTED_VALUE"""),5.1343872E7)</f>
        <v>51343872</v>
      </c>
    </row>
    <row r="972">
      <c r="A972" s="2">
        <f>IFERROR(__xludf.DUMMYFUNCTION("""COMPUTED_VALUE"""),45763.66666666667)</f>
        <v>45763.66667</v>
      </c>
      <c r="B972" s="1">
        <f>IFERROR(__xludf.DUMMYFUNCTION("""COMPUTED_VALUE"""),198.36)</f>
        <v>198.36</v>
      </c>
      <c r="C972" s="1">
        <f>IFERROR(__xludf.DUMMYFUNCTION("""COMPUTED_VALUE"""),200.7)</f>
        <v>200.7</v>
      </c>
      <c r="D972" s="1">
        <f>IFERROR(__xludf.DUMMYFUNCTION("""COMPUTED_VALUE"""),192.37)</f>
        <v>192.37</v>
      </c>
      <c r="E972" s="1">
        <f>IFERROR(__xludf.DUMMYFUNCTION("""COMPUTED_VALUE"""),194.27)</f>
        <v>194.27</v>
      </c>
      <c r="F972" s="1">
        <f>IFERROR(__xludf.DUMMYFUNCTION("""COMPUTED_VALUE"""),5.9732423E7)</f>
        <v>59732423</v>
      </c>
    </row>
    <row r="973">
      <c r="A973" s="2">
        <f>IFERROR(__xludf.DUMMYFUNCTION("""COMPUTED_VALUE"""),45764.66666666667)</f>
        <v>45764.66667</v>
      </c>
      <c r="B973" s="1">
        <f>IFERROR(__xludf.DUMMYFUNCTION("""COMPUTED_VALUE"""),197.2)</f>
        <v>197.2</v>
      </c>
      <c r="C973" s="1">
        <f>IFERROR(__xludf.DUMMYFUNCTION("""COMPUTED_VALUE"""),198.83)</f>
        <v>198.83</v>
      </c>
      <c r="D973" s="1">
        <f>IFERROR(__xludf.DUMMYFUNCTION("""COMPUTED_VALUE"""),194.42)</f>
        <v>194.42</v>
      </c>
      <c r="E973" s="1">
        <f>IFERROR(__xludf.DUMMYFUNCTION("""COMPUTED_VALUE"""),196.98)</f>
        <v>196.98</v>
      </c>
      <c r="F973" s="1">
        <f>IFERROR(__xludf.DUMMYFUNCTION("""COMPUTED_VALUE"""),5.2164675E7)</f>
        <v>52164675</v>
      </c>
    </row>
    <row r="974">
      <c r="A974" s="2">
        <f>IFERROR(__xludf.DUMMYFUNCTION("""COMPUTED_VALUE"""),45768.66666666667)</f>
        <v>45768.66667</v>
      </c>
      <c r="B974" s="1">
        <f>IFERROR(__xludf.DUMMYFUNCTION("""COMPUTED_VALUE"""),193.27)</f>
        <v>193.27</v>
      </c>
      <c r="C974" s="1">
        <f>IFERROR(__xludf.DUMMYFUNCTION("""COMPUTED_VALUE"""),193.8)</f>
        <v>193.8</v>
      </c>
      <c r="D974" s="1">
        <f>IFERROR(__xludf.DUMMYFUNCTION("""COMPUTED_VALUE"""),189.81)</f>
        <v>189.81</v>
      </c>
      <c r="E974" s="1">
        <f>IFERROR(__xludf.DUMMYFUNCTION("""COMPUTED_VALUE"""),193.16)</f>
        <v>193.16</v>
      </c>
      <c r="F974" s="1">
        <f>IFERROR(__xludf.DUMMYFUNCTION("""COMPUTED_VALUE"""),4.6742537E7)</f>
        <v>46742537</v>
      </c>
    </row>
    <row r="975">
      <c r="A975" s="2">
        <f>IFERROR(__xludf.DUMMYFUNCTION("""COMPUTED_VALUE"""),45769.66666666667)</f>
        <v>45769.66667</v>
      </c>
      <c r="B975" s="1">
        <f>IFERROR(__xludf.DUMMYFUNCTION("""COMPUTED_VALUE"""),196.12)</f>
        <v>196.12</v>
      </c>
      <c r="C975" s="1">
        <f>IFERROR(__xludf.DUMMYFUNCTION("""COMPUTED_VALUE"""),201.59)</f>
        <v>201.59</v>
      </c>
      <c r="D975" s="1">
        <f>IFERROR(__xludf.DUMMYFUNCTION("""COMPUTED_VALUE"""),195.97)</f>
        <v>195.97</v>
      </c>
      <c r="E975" s="1">
        <f>IFERROR(__xludf.DUMMYFUNCTION("""COMPUTED_VALUE"""),199.74)</f>
        <v>199.74</v>
      </c>
      <c r="F975" s="1">
        <f>IFERROR(__xludf.DUMMYFUNCTION("""COMPUTED_VALUE"""),5.2976371E7)</f>
        <v>52976371</v>
      </c>
    </row>
    <row r="976">
      <c r="A976" s="2">
        <f>IFERROR(__xludf.DUMMYFUNCTION("""COMPUTED_VALUE"""),45770.66666666667)</f>
        <v>45770.66667</v>
      </c>
      <c r="B976" s="1">
        <f>IFERROR(__xludf.DUMMYFUNCTION("""COMPUTED_VALUE"""),206.0)</f>
        <v>206</v>
      </c>
      <c r="C976" s="1">
        <f>IFERROR(__xludf.DUMMYFUNCTION("""COMPUTED_VALUE"""),208.0)</f>
        <v>208</v>
      </c>
      <c r="D976" s="1">
        <f>IFERROR(__xludf.DUMMYFUNCTION("""COMPUTED_VALUE"""),202.8)</f>
        <v>202.8</v>
      </c>
      <c r="E976" s="1">
        <f>IFERROR(__xludf.DUMMYFUNCTION("""COMPUTED_VALUE"""),204.6)</f>
        <v>204.6</v>
      </c>
      <c r="F976" s="1">
        <f>IFERROR(__xludf.DUMMYFUNCTION("""COMPUTED_VALUE"""),5.2929165E7)</f>
        <v>52929165</v>
      </c>
    </row>
    <row r="977">
      <c r="A977" s="2">
        <f>IFERROR(__xludf.DUMMYFUNCTION("""COMPUTED_VALUE"""),45771.66666666667)</f>
        <v>45771.66667</v>
      </c>
      <c r="B977" s="1">
        <f>IFERROR(__xludf.DUMMYFUNCTION("""COMPUTED_VALUE"""),204.89)</f>
        <v>204.89</v>
      </c>
      <c r="C977" s="1">
        <f>IFERROR(__xludf.DUMMYFUNCTION("""COMPUTED_VALUE"""),208.83)</f>
        <v>208.83</v>
      </c>
      <c r="D977" s="1">
        <f>IFERROR(__xludf.DUMMYFUNCTION("""COMPUTED_VALUE"""),202.94)</f>
        <v>202.94</v>
      </c>
      <c r="E977" s="1">
        <f>IFERROR(__xludf.DUMMYFUNCTION("""COMPUTED_VALUE"""),208.37)</f>
        <v>208.37</v>
      </c>
      <c r="F977" s="1">
        <f>IFERROR(__xludf.DUMMYFUNCTION("""COMPUTED_VALUE"""),4.7310989E7)</f>
        <v>47310989</v>
      </c>
    </row>
    <row r="978">
      <c r="A978" s="2">
        <f>IFERROR(__xludf.DUMMYFUNCTION("""COMPUTED_VALUE"""),45772.66666666667)</f>
        <v>45772.66667</v>
      </c>
      <c r="B978" s="1">
        <f>IFERROR(__xludf.DUMMYFUNCTION("""COMPUTED_VALUE"""),206.37)</f>
        <v>206.37</v>
      </c>
      <c r="C978" s="1">
        <f>IFERROR(__xludf.DUMMYFUNCTION("""COMPUTED_VALUE"""),209.75)</f>
        <v>209.75</v>
      </c>
      <c r="D978" s="1">
        <f>IFERROR(__xludf.DUMMYFUNCTION("""COMPUTED_VALUE"""),206.2)</f>
        <v>206.2</v>
      </c>
      <c r="E978" s="1">
        <f>IFERROR(__xludf.DUMMYFUNCTION("""COMPUTED_VALUE"""),209.28)</f>
        <v>209.28</v>
      </c>
      <c r="F978" s="1">
        <f>IFERROR(__xludf.DUMMYFUNCTION("""COMPUTED_VALUE"""),3.8222258E7)</f>
        <v>38222258</v>
      </c>
    </row>
    <row r="979">
      <c r="A979" s="2">
        <f>IFERROR(__xludf.DUMMYFUNCTION("""COMPUTED_VALUE"""),45775.66666666667)</f>
        <v>45775.66667</v>
      </c>
      <c r="B979" s="1">
        <f>IFERROR(__xludf.DUMMYFUNCTION("""COMPUTED_VALUE"""),210.0)</f>
        <v>210</v>
      </c>
      <c r="C979" s="1">
        <f>IFERROR(__xludf.DUMMYFUNCTION("""COMPUTED_VALUE"""),211.5)</f>
        <v>211.5</v>
      </c>
      <c r="D979" s="1">
        <f>IFERROR(__xludf.DUMMYFUNCTION("""COMPUTED_VALUE"""),207.46)</f>
        <v>207.46</v>
      </c>
      <c r="E979" s="1">
        <f>IFERROR(__xludf.DUMMYFUNCTION("""COMPUTED_VALUE"""),210.14)</f>
        <v>210.14</v>
      </c>
      <c r="F979" s="1">
        <f>IFERROR(__xludf.DUMMYFUNCTION("""COMPUTED_VALUE"""),3.8743074E7)</f>
        <v>38743074</v>
      </c>
    </row>
    <row r="980">
      <c r="A980" s="2">
        <f>IFERROR(__xludf.DUMMYFUNCTION("""COMPUTED_VALUE"""),45776.66666666667)</f>
        <v>45776.66667</v>
      </c>
      <c r="B980" s="1">
        <f>IFERROR(__xludf.DUMMYFUNCTION("""COMPUTED_VALUE"""),208.69)</f>
        <v>208.69</v>
      </c>
      <c r="C980" s="1">
        <f>IFERROR(__xludf.DUMMYFUNCTION("""COMPUTED_VALUE"""),212.24)</f>
        <v>212.24</v>
      </c>
      <c r="D980" s="1">
        <f>IFERROR(__xludf.DUMMYFUNCTION("""COMPUTED_VALUE"""),208.37)</f>
        <v>208.37</v>
      </c>
      <c r="E980" s="1">
        <f>IFERROR(__xludf.DUMMYFUNCTION("""COMPUTED_VALUE"""),211.21)</f>
        <v>211.21</v>
      </c>
      <c r="F980" s="1">
        <f>IFERROR(__xludf.DUMMYFUNCTION("""COMPUTED_VALUE"""),3.6827633E7)</f>
        <v>36827633</v>
      </c>
    </row>
    <row r="981">
      <c r="A981" s="2">
        <f>IFERROR(__xludf.DUMMYFUNCTION("""COMPUTED_VALUE"""),45777.66666666667)</f>
        <v>45777.66667</v>
      </c>
      <c r="B981" s="1">
        <f>IFERROR(__xludf.DUMMYFUNCTION("""COMPUTED_VALUE"""),209.3)</f>
        <v>209.3</v>
      </c>
      <c r="C981" s="1">
        <f>IFERROR(__xludf.DUMMYFUNCTION("""COMPUTED_VALUE"""),213.58)</f>
        <v>213.58</v>
      </c>
      <c r="D981" s="1">
        <f>IFERROR(__xludf.DUMMYFUNCTION("""COMPUTED_VALUE"""),206.67)</f>
        <v>206.67</v>
      </c>
      <c r="E981" s="1">
        <f>IFERROR(__xludf.DUMMYFUNCTION("""COMPUTED_VALUE"""),212.5)</f>
        <v>212.5</v>
      </c>
      <c r="F981" s="1">
        <f>IFERROR(__xludf.DUMMYFUNCTION("""COMPUTED_VALUE"""),5.2286454E7)</f>
        <v>52286454</v>
      </c>
    </row>
    <row r="982">
      <c r="A982" s="2">
        <f>IFERROR(__xludf.DUMMYFUNCTION("""COMPUTED_VALUE"""),45778.66666666667)</f>
        <v>45778.66667</v>
      </c>
      <c r="B982" s="1">
        <f>IFERROR(__xludf.DUMMYFUNCTION("""COMPUTED_VALUE"""),209.08)</f>
        <v>209.08</v>
      </c>
      <c r="C982" s="1">
        <f>IFERROR(__xludf.DUMMYFUNCTION("""COMPUTED_VALUE"""),214.56)</f>
        <v>214.56</v>
      </c>
      <c r="D982" s="1">
        <f>IFERROR(__xludf.DUMMYFUNCTION("""COMPUTED_VALUE"""),208.9)</f>
        <v>208.9</v>
      </c>
      <c r="E982" s="1">
        <f>IFERROR(__xludf.DUMMYFUNCTION("""COMPUTED_VALUE"""),213.32)</f>
        <v>213.32</v>
      </c>
      <c r="F982" s="1">
        <f>IFERROR(__xludf.DUMMYFUNCTION("""COMPUTED_VALUE"""),5.7365675E7)</f>
        <v>57365675</v>
      </c>
    </row>
    <row r="983">
      <c r="A983" s="2">
        <f>IFERROR(__xludf.DUMMYFUNCTION("""COMPUTED_VALUE"""),45779.66666666667)</f>
        <v>45779.66667</v>
      </c>
      <c r="B983" s="1">
        <f>IFERROR(__xludf.DUMMYFUNCTION("""COMPUTED_VALUE"""),206.09)</f>
        <v>206.09</v>
      </c>
      <c r="C983" s="1">
        <f>IFERROR(__xludf.DUMMYFUNCTION("""COMPUTED_VALUE"""),206.99)</f>
        <v>206.99</v>
      </c>
      <c r="D983" s="1">
        <f>IFERROR(__xludf.DUMMYFUNCTION("""COMPUTED_VALUE"""),202.16)</f>
        <v>202.16</v>
      </c>
      <c r="E983" s="1">
        <f>IFERROR(__xludf.DUMMYFUNCTION("""COMPUTED_VALUE"""),205.35)</f>
        <v>205.35</v>
      </c>
      <c r="F983" s="1">
        <f>IFERROR(__xludf.DUMMYFUNCTION("""COMPUTED_VALUE"""),1.01010621E8)</f>
        <v>101010621</v>
      </c>
    </row>
    <row r="984">
      <c r="A984" s="2">
        <f>IFERROR(__xludf.DUMMYFUNCTION("""COMPUTED_VALUE"""),45782.66666666667)</f>
        <v>45782.66667</v>
      </c>
      <c r="B984" s="1">
        <f>IFERROR(__xludf.DUMMYFUNCTION("""COMPUTED_VALUE"""),203.1)</f>
        <v>203.1</v>
      </c>
      <c r="C984" s="1">
        <f>IFERROR(__xludf.DUMMYFUNCTION("""COMPUTED_VALUE"""),204.1)</f>
        <v>204.1</v>
      </c>
      <c r="D984" s="1">
        <f>IFERROR(__xludf.DUMMYFUNCTION("""COMPUTED_VALUE"""),198.21)</f>
        <v>198.21</v>
      </c>
      <c r="E984" s="1">
        <f>IFERROR(__xludf.DUMMYFUNCTION("""COMPUTED_VALUE"""),198.89)</f>
        <v>198.89</v>
      </c>
      <c r="F984" s="1">
        <f>IFERROR(__xludf.DUMMYFUNCTION("""COMPUTED_VALUE"""),6.9018452E7)</f>
        <v>69018452</v>
      </c>
    </row>
    <row r="985">
      <c r="A985" s="2">
        <f>IFERROR(__xludf.DUMMYFUNCTION("""COMPUTED_VALUE"""),45783.66666666667)</f>
        <v>45783.66667</v>
      </c>
      <c r="B985" s="1">
        <f>IFERROR(__xludf.DUMMYFUNCTION("""COMPUTED_VALUE"""),198.21)</f>
        <v>198.21</v>
      </c>
      <c r="C985" s="1">
        <f>IFERROR(__xludf.DUMMYFUNCTION("""COMPUTED_VALUE"""),200.65)</f>
        <v>200.65</v>
      </c>
      <c r="D985" s="1">
        <f>IFERROR(__xludf.DUMMYFUNCTION("""COMPUTED_VALUE"""),197.02)</f>
        <v>197.02</v>
      </c>
      <c r="E985" s="1">
        <f>IFERROR(__xludf.DUMMYFUNCTION("""COMPUTED_VALUE"""),198.51)</f>
        <v>198.51</v>
      </c>
      <c r="F985" s="1">
        <f>IFERROR(__xludf.DUMMYFUNCTION("""COMPUTED_VALUE"""),5.1216482E7)</f>
        <v>51216482</v>
      </c>
    </row>
    <row r="986">
      <c r="A986" s="2">
        <f>IFERROR(__xludf.DUMMYFUNCTION("""COMPUTED_VALUE"""),45784.66666666667)</f>
        <v>45784.66667</v>
      </c>
      <c r="B986" s="1">
        <f>IFERROR(__xludf.DUMMYFUNCTION("""COMPUTED_VALUE"""),199.17)</f>
        <v>199.17</v>
      </c>
      <c r="C986" s="1">
        <f>IFERROR(__xludf.DUMMYFUNCTION("""COMPUTED_VALUE"""),199.44)</f>
        <v>199.44</v>
      </c>
      <c r="D986" s="1">
        <f>IFERROR(__xludf.DUMMYFUNCTION("""COMPUTED_VALUE"""),193.25)</f>
        <v>193.25</v>
      </c>
      <c r="E986" s="1">
        <f>IFERROR(__xludf.DUMMYFUNCTION("""COMPUTED_VALUE"""),196.25)</f>
        <v>196.25</v>
      </c>
      <c r="F986" s="1">
        <f>IFERROR(__xludf.DUMMYFUNCTION("""COMPUTED_VALUE"""),6.8616943E7)</f>
        <v>68616943</v>
      </c>
    </row>
    <row r="987">
      <c r="A987" s="2">
        <f>IFERROR(__xludf.DUMMYFUNCTION("""COMPUTED_VALUE"""),45785.66666666667)</f>
        <v>45785.66667</v>
      </c>
      <c r="B987" s="1">
        <f>IFERROR(__xludf.DUMMYFUNCTION("""COMPUTED_VALUE"""),197.72)</f>
        <v>197.72</v>
      </c>
      <c r="C987" s="1">
        <f>IFERROR(__xludf.DUMMYFUNCTION("""COMPUTED_VALUE"""),200.05)</f>
        <v>200.05</v>
      </c>
      <c r="D987" s="1">
        <f>IFERROR(__xludf.DUMMYFUNCTION("""COMPUTED_VALUE"""),194.68)</f>
        <v>194.68</v>
      </c>
      <c r="E987" s="1">
        <f>IFERROR(__xludf.DUMMYFUNCTION("""COMPUTED_VALUE"""),197.49)</f>
        <v>197.49</v>
      </c>
      <c r="F987" s="1">
        <f>IFERROR(__xludf.DUMMYFUNCTION("""COMPUTED_VALUE"""),5.0478872E7)</f>
        <v>50478872</v>
      </c>
    </row>
    <row r="988">
      <c r="A988" s="2">
        <f>IFERROR(__xludf.DUMMYFUNCTION("""COMPUTED_VALUE"""),45786.66666666667)</f>
        <v>45786.66667</v>
      </c>
      <c r="B988" s="1">
        <f>IFERROR(__xludf.DUMMYFUNCTION("""COMPUTED_VALUE"""),199.0)</f>
        <v>199</v>
      </c>
      <c r="C988" s="1">
        <f>IFERROR(__xludf.DUMMYFUNCTION("""COMPUTED_VALUE"""),200.54)</f>
        <v>200.54</v>
      </c>
      <c r="D988" s="1">
        <f>IFERROR(__xludf.DUMMYFUNCTION("""COMPUTED_VALUE"""),197.54)</f>
        <v>197.54</v>
      </c>
      <c r="E988" s="1">
        <f>IFERROR(__xludf.DUMMYFUNCTION("""COMPUTED_VALUE"""),198.53)</f>
        <v>198.53</v>
      </c>
      <c r="F988" s="1">
        <f>IFERROR(__xludf.DUMMYFUNCTION("""COMPUTED_VALUE"""),3.6453923E7)</f>
        <v>36453923</v>
      </c>
    </row>
    <row r="989">
      <c r="A989" s="2">
        <f>IFERROR(__xludf.DUMMYFUNCTION("""COMPUTED_VALUE"""),45789.66666666667)</f>
        <v>45789.66667</v>
      </c>
      <c r="B989" s="1">
        <f>IFERROR(__xludf.DUMMYFUNCTION("""COMPUTED_VALUE"""),210.97)</f>
        <v>210.97</v>
      </c>
      <c r="C989" s="1">
        <f>IFERROR(__xludf.DUMMYFUNCTION("""COMPUTED_VALUE"""),211.27)</f>
        <v>211.27</v>
      </c>
      <c r="D989" s="1">
        <f>IFERROR(__xludf.DUMMYFUNCTION("""COMPUTED_VALUE"""),206.75)</f>
        <v>206.75</v>
      </c>
      <c r="E989" s="1">
        <f>IFERROR(__xludf.DUMMYFUNCTION("""COMPUTED_VALUE"""),210.79)</f>
        <v>210.79</v>
      </c>
      <c r="F989" s="1">
        <f>IFERROR(__xludf.DUMMYFUNCTION("""COMPUTED_VALUE"""),6.3775814E7)</f>
        <v>63775814</v>
      </c>
    </row>
    <row r="990">
      <c r="A990" s="2">
        <f>IFERROR(__xludf.DUMMYFUNCTION("""COMPUTED_VALUE"""),45790.66666666667)</f>
        <v>45790.66667</v>
      </c>
      <c r="B990" s="1">
        <f>IFERROR(__xludf.DUMMYFUNCTION("""COMPUTED_VALUE"""),210.43)</f>
        <v>210.43</v>
      </c>
      <c r="C990" s="1">
        <f>IFERROR(__xludf.DUMMYFUNCTION("""COMPUTED_VALUE"""),213.4)</f>
        <v>213.4</v>
      </c>
      <c r="D990" s="1">
        <f>IFERROR(__xludf.DUMMYFUNCTION("""COMPUTED_VALUE"""),209.0)</f>
        <v>209</v>
      </c>
      <c r="E990" s="1">
        <f>IFERROR(__xludf.DUMMYFUNCTION("""COMPUTED_VALUE"""),212.93)</f>
        <v>212.93</v>
      </c>
      <c r="F990" s="1">
        <f>IFERROR(__xludf.DUMMYFUNCTION("""COMPUTED_VALUE"""),5.1909332E7)</f>
        <v>51909332</v>
      </c>
    </row>
    <row r="991">
      <c r="A991" s="2">
        <f>IFERROR(__xludf.DUMMYFUNCTION("""COMPUTED_VALUE"""),45791.66666666667)</f>
        <v>45791.66667</v>
      </c>
      <c r="B991" s="1">
        <f>IFERROR(__xludf.DUMMYFUNCTION("""COMPUTED_VALUE"""),212.43)</f>
        <v>212.43</v>
      </c>
      <c r="C991" s="1">
        <f>IFERROR(__xludf.DUMMYFUNCTION("""COMPUTED_VALUE"""),213.94)</f>
        <v>213.94</v>
      </c>
      <c r="D991" s="1">
        <f>IFERROR(__xludf.DUMMYFUNCTION("""COMPUTED_VALUE"""),210.58)</f>
        <v>210.58</v>
      </c>
      <c r="E991" s="1">
        <f>IFERROR(__xludf.DUMMYFUNCTION("""COMPUTED_VALUE"""),212.33)</f>
        <v>212.33</v>
      </c>
      <c r="F991" s="1">
        <f>IFERROR(__xludf.DUMMYFUNCTION("""COMPUTED_VALUE"""),4.9325825E7)</f>
        <v>49325825</v>
      </c>
    </row>
    <row r="992">
      <c r="A992" s="2">
        <f>IFERROR(__xludf.DUMMYFUNCTION("""COMPUTED_VALUE"""),45792.66666666667)</f>
        <v>45792.66667</v>
      </c>
      <c r="B992" s="1">
        <f>IFERROR(__xludf.DUMMYFUNCTION("""COMPUTED_VALUE"""),210.95)</f>
        <v>210.95</v>
      </c>
      <c r="C992" s="1">
        <f>IFERROR(__xludf.DUMMYFUNCTION("""COMPUTED_VALUE"""),212.96)</f>
        <v>212.96</v>
      </c>
      <c r="D992" s="1">
        <f>IFERROR(__xludf.DUMMYFUNCTION("""COMPUTED_VALUE"""),209.54)</f>
        <v>209.54</v>
      </c>
      <c r="E992" s="1">
        <f>IFERROR(__xludf.DUMMYFUNCTION("""COMPUTED_VALUE"""),211.45)</f>
        <v>211.45</v>
      </c>
      <c r="F992" s="1">
        <f>IFERROR(__xludf.DUMMYFUNCTION("""COMPUTED_VALUE"""),4.5029473E7)</f>
        <v>45029473</v>
      </c>
    </row>
    <row r="993">
      <c r="A993" s="2">
        <f>IFERROR(__xludf.DUMMYFUNCTION("""COMPUTED_VALUE"""),45793.66666666667)</f>
        <v>45793.66667</v>
      </c>
      <c r="B993" s="1">
        <f>IFERROR(__xludf.DUMMYFUNCTION("""COMPUTED_VALUE"""),212.36)</f>
        <v>212.36</v>
      </c>
      <c r="C993" s="1">
        <f>IFERROR(__xludf.DUMMYFUNCTION("""COMPUTED_VALUE"""),212.57)</f>
        <v>212.57</v>
      </c>
      <c r="D993" s="1">
        <f>IFERROR(__xludf.DUMMYFUNCTION("""COMPUTED_VALUE"""),209.77)</f>
        <v>209.77</v>
      </c>
      <c r="E993" s="1">
        <f>IFERROR(__xludf.DUMMYFUNCTION("""COMPUTED_VALUE"""),211.26)</f>
        <v>211.26</v>
      </c>
      <c r="F993" s="1">
        <f>IFERROR(__xludf.DUMMYFUNCTION("""COMPUTED_VALUE"""),5.473785E7)</f>
        <v>54737850</v>
      </c>
    </row>
    <row r="994">
      <c r="A994" s="2">
        <f>IFERROR(__xludf.DUMMYFUNCTION("""COMPUTED_VALUE"""),45796.66666666667)</f>
        <v>45796.66667</v>
      </c>
      <c r="B994" s="1">
        <f>IFERROR(__xludf.DUMMYFUNCTION("""COMPUTED_VALUE"""),207.91)</f>
        <v>207.91</v>
      </c>
      <c r="C994" s="1">
        <f>IFERROR(__xludf.DUMMYFUNCTION("""COMPUTED_VALUE"""),209.48)</f>
        <v>209.48</v>
      </c>
      <c r="D994" s="1">
        <f>IFERROR(__xludf.DUMMYFUNCTION("""COMPUTED_VALUE"""),204.26)</f>
        <v>204.26</v>
      </c>
      <c r="E994" s="1">
        <f>IFERROR(__xludf.DUMMYFUNCTION("""COMPUTED_VALUE"""),208.78)</f>
        <v>208.78</v>
      </c>
      <c r="F994" s="1">
        <f>IFERROR(__xludf.DUMMYFUNCTION("""COMPUTED_VALUE"""),4.6140527E7)</f>
        <v>46140527</v>
      </c>
    </row>
    <row r="995">
      <c r="A995" s="2">
        <f>IFERROR(__xludf.DUMMYFUNCTION("""COMPUTED_VALUE"""),45797.66666666667)</f>
        <v>45797.66667</v>
      </c>
      <c r="B995" s="1">
        <f>IFERROR(__xludf.DUMMYFUNCTION("""COMPUTED_VALUE"""),207.67)</f>
        <v>207.67</v>
      </c>
      <c r="C995" s="1">
        <f>IFERROR(__xludf.DUMMYFUNCTION("""COMPUTED_VALUE"""),208.47)</f>
        <v>208.47</v>
      </c>
      <c r="D995" s="1">
        <f>IFERROR(__xludf.DUMMYFUNCTION("""COMPUTED_VALUE"""),205.03)</f>
        <v>205.03</v>
      </c>
      <c r="E995" s="1">
        <f>IFERROR(__xludf.DUMMYFUNCTION("""COMPUTED_VALUE"""),206.86)</f>
        <v>206.86</v>
      </c>
      <c r="F995" s="1">
        <f>IFERROR(__xludf.DUMMYFUNCTION("""COMPUTED_VALUE"""),4.2496635E7)</f>
        <v>42496635</v>
      </c>
    </row>
    <row r="996">
      <c r="A996" s="2">
        <f>IFERROR(__xludf.DUMMYFUNCTION("""COMPUTED_VALUE"""),45798.66666666667)</f>
        <v>45798.66667</v>
      </c>
      <c r="B996" s="1">
        <f>IFERROR(__xludf.DUMMYFUNCTION("""COMPUTED_VALUE"""),205.17)</f>
        <v>205.17</v>
      </c>
      <c r="C996" s="1">
        <f>IFERROR(__xludf.DUMMYFUNCTION("""COMPUTED_VALUE"""),207.04)</f>
        <v>207.04</v>
      </c>
      <c r="D996" s="1">
        <f>IFERROR(__xludf.DUMMYFUNCTION("""COMPUTED_VALUE"""),200.71)</f>
        <v>200.71</v>
      </c>
      <c r="E996" s="1">
        <f>IFERROR(__xludf.DUMMYFUNCTION("""COMPUTED_VALUE"""),202.09)</f>
        <v>202.09</v>
      </c>
      <c r="F996" s="1">
        <f>IFERROR(__xludf.DUMMYFUNCTION("""COMPUTED_VALUE"""),5.9211774E7)</f>
        <v>59211774</v>
      </c>
    </row>
    <row r="997">
      <c r="A997" s="2">
        <f>IFERROR(__xludf.DUMMYFUNCTION("""COMPUTED_VALUE"""),45799.66666666667)</f>
        <v>45799.66667</v>
      </c>
      <c r="B997" s="1">
        <f>IFERROR(__xludf.DUMMYFUNCTION("""COMPUTED_VALUE"""),205.17)</f>
        <v>205.17</v>
      </c>
      <c r="C997" s="1">
        <f>IFERROR(__xludf.DUMMYFUNCTION("""COMPUTED_VALUE"""),207.04)</f>
        <v>207.04</v>
      </c>
      <c r="D997" s="1">
        <f>IFERROR(__xludf.DUMMYFUNCTION("""COMPUTED_VALUE"""),200.71)</f>
        <v>200.71</v>
      </c>
      <c r="E997" s="1">
        <f>IFERROR(__xludf.DUMMYFUNCTION("""COMPUTED_VALUE"""),202.09)</f>
        <v>202.09</v>
      </c>
      <c r="F997" s="1">
        <f>IFERROR(__xludf.DUMMYFUNCTION("""COMPUTED_VALUE"""),1536434.0)</f>
        <v>1536434</v>
      </c>
    </row>
    <row r="998">
      <c r="A998" s="2">
        <f>IFERROR(__xludf.DUMMYFUNCTION("""COMPUTED_VALUE"""),45800.66666666667)</f>
        <v>45800.66667</v>
      </c>
      <c r="B998" s="1">
        <f>IFERROR(__xludf.DUMMYFUNCTION("""COMPUTED_VALUE"""),193.67)</f>
        <v>193.67</v>
      </c>
      <c r="C998" s="1">
        <f>IFERROR(__xludf.DUMMYFUNCTION("""COMPUTED_VALUE"""),197.7)</f>
        <v>197.7</v>
      </c>
      <c r="D998" s="1">
        <f>IFERROR(__xludf.DUMMYFUNCTION("""COMPUTED_VALUE"""),193.46)</f>
        <v>193.46</v>
      </c>
      <c r="E998" s="1">
        <f>IFERROR(__xludf.DUMMYFUNCTION("""COMPUTED_VALUE"""),195.27)</f>
        <v>195.27</v>
      </c>
      <c r="F998" s="1">
        <f>IFERROR(__xludf.DUMMYFUNCTION("""COMPUTED_VALUE"""),7.8432918E7)</f>
        <v>78432918</v>
      </c>
    </row>
    <row r="999">
      <c r="A999" s="2">
        <f>IFERROR(__xludf.DUMMYFUNCTION("""COMPUTED_VALUE"""),45804.66666666667)</f>
        <v>45804.66667</v>
      </c>
      <c r="B999" s="1">
        <f>IFERROR(__xludf.DUMMYFUNCTION("""COMPUTED_VALUE"""),198.3)</f>
        <v>198.3</v>
      </c>
      <c r="C999" s="1">
        <f>IFERROR(__xludf.DUMMYFUNCTION("""COMPUTED_VALUE"""),200.74)</f>
        <v>200.74</v>
      </c>
      <c r="D999" s="1">
        <f>IFERROR(__xludf.DUMMYFUNCTION("""COMPUTED_VALUE"""),197.43)</f>
        <v>197.43</v>
      </c>
      <c r="E999" s="1">
        <f>IFERROR(__xludf.DUMMYFUNCTION("""COMPUTED_VALUE"""),200.21)</f>
        <v>200.21</v>
      </c>
      <c r="F999" s="1">
        <f>IFERROR(__xludf.DUMMYFUNCTION("""COMPUTED_VALUE"""),5.6288475E7)</f>
        <v>56288475</v>
      </c>
    </row>
    <row r="1000">
      <c r="A1000" s="2">
        <f>IFERROR(__xludf.DUMMYFUNCTION("""COMPUTED_VALUE"""),45805.66666666667)</f>
        <v>45805.66667</v>
      </c>
      <c r="B1000" s="1">
        <f>IFERROR(__xludf.DUMMYFUNCTION("""COMPUTED_VALUE"""),200.59)</f>
        <v>200.59</v>
      </c>
      <c r="C1000" s="1">
        <f>IFERROR(__xludf.DUMMYFUNCTION("""COMPUTED_VALUE"""),202.73)</f>
        <v>202.73</v>
      </c>
      <c r="D1000" s="1">
        <f>IFERROR(__xludf.DUMMYFUNCTION("""COMPUTED_VALUE"""),199.9)</f>
        <v>199.9</v>
      </c>
      <c r="E1000" s="1">
        <f>IFERROR(__xludf.DUMMYFUNCTION("""COMPUTED_VALUE"""),200.42)</f>
        <v>200.42</v>
      </c>
      <c r="F1000" s="1">
        <f>IFERROR(__xludf.DUMMYFUNCTION("""COMPUTED_VALUE"""),4.5339678E7)</f>
        <v>45339678</v>
      </c>
    </row>
    <row r="1001">
      <c r="A1001" s="2">
        <f>IFERROR(__xludf.DUMMYFUNCTION("""COMPUTED_VALUE"""),45806.66666666667)</f>
        <v>45806.66667</v>
      </c>
      <c r="B1001" s="1">
        <f>IFERROR(__xludf.DUMMYFUNCTION("""COMPUTED_VALUE"""),203.58)</f>
        <v>203.58</v>
      </c>
      <c r="C1001" s="1">
        <f>IFERROR(__xludf.DUMMYFUNCTION("""COMPUTED_VALUE"""),203.81)</f>
        <v>203.81</v>
      </c>
      <c r="D1001" s="1">
        <f>IFERROR(__xludf.DUMMYFUNCTION("""COMPUTED_VALUE"""),198.51)</f>
        <v>198.51</v>
      </c>
      <c r="E1001" s="1">
        <f>IFERROR(__xludf.DUMMYFUNCTION("""COMPUTED_VALUE"""),199.95)</f>
        <v>199.95</v>
      </c>
      <c r="F1001" s="1">
        <f>IFERROR(__xludf.DUMMYFUNCTION("""COMPUTED_VALUE"""),5.1477938E7)</f>
        <v>51477938</v>
      </c>
    </row>
    <row r="1002">
      <c r="A1002" s="2">
        <f>IFERROR(__xludf.DUMMYFUNCTION("""COMPUTED_VALUE"""),45807.66666666667)</f>
        <v>45807.66667</v>
      </c>
      <c r="B1002" s="1">
        <f>IFERROR(__xludf.DUMMYFUNCTION("""COMPUTED_VALUE"""),199.37)</f>
        <v>199.37</v>
      </c>
      <c r="C1002" s="1">
        <f>IFERROR(__xludf.DUMMYFUNCTION("""COMPUTED_VALUE"""),201.96)</f>
        <v>201.96</v>
      </c>
      <c r="D1002" s="1">
        <f>IFERROR(__xludf.DUMMYFUNCTION("""COMPUTED_VALUE"""),196.78)</f>
        <v>196.78</v>
      </c>
      <c r="E1002" s="1">
        <f>IFERROR(__xludf.DUMMYFUNCTION("""COMPUTED_VALUE"""),200.85)</f>
        <v>200.85</v>
      </c>
      <c r="F1002" s="1">
        <f>IFERROR(__xludf.DUMMYFUNCTION("""COMPUTED_VALUE"""),7.0819942E7)</f>
        <v>70819942</v>
      </c>
    </row>
    <row r="1003">
      <c r="A1003" s="2">
        <f>IFERROR(__xludf.DUMMYFUNCTION("""COMPUTED_VALUE"""),45810.66666666667)</f>
        <v>45810.66667</v>
      </c>
      <c r="B1003" s="1">
        <f>IFERROR(__xludf.DUMMYFUNCTION("""COMPUTED_VALUE"""),200.28)</f>
        <v>200.28</v>
      </c>
      <c r="C1003" s="1">
        <f>IFERROR(__xludf.DUMMYFUNCTION("""COMPUTED_VALUE"""),202.13)</f>
        <v>202.13</v>
      </c>
      <c r="D1003" s="1">
        <f>IFERROR(__xludf.DUMMYFUNCTION("""COMPUTED_VALUE"""),200.12)</f>
        <v>200.12</v>
      </c>
      <c r="E1003" s="1">
        <f>IFERROR(__xludf.DUMMYFUNCTION("""COMPUTED_VALUE"""),201.7)</f>
        <v>201.7</v>
      </c>
      <c r="F1003" s="1">
        <f>IFERROR(__xludf.DUMMYFUNCTION("""COMPUTED_VALUE"""),3.5423294E7)</f>
        <v>35423294</v>
      </c>
    </row>
    <row r="1004">
      <c r="A1004" s="2">
        <f>IFERROR(__xludf.DUMMYFUNCTION("""COMPUTED_VALUE"""),45811.66666666667)</f>
        <v>45811.66667</v>
      </c>
      <c r="B1004" s="1">
        <f>IFERROR(__xludf.DUMMYFUNCTION("""COMPUTED_VALUE"""),201.35)</f>
        <v>201.35</v>
      </c>
      <c r="C1004" s="1">
        <f>IFERROR(__xludf.DUMMYFUNCTION("""COMPUTED_VALUE"""),203.77)</f>
        <v>203.77</v>
      </c>
      <c r="D1004" s="1">
        <f>IFERROR(__xludf.DUMMYFUNCTION("""COMPUTED_VALUE"""),200.96)</f>
        <v>200.96</v>
      </c>
      <c r="E1004" s="1">
        <f>IFERROR(__xludf.DUMMYFUNCTION("""COMPUTED_VALUE"""),203.27)</f>
        <v>203.27</v>
      </c>
      <c r="F1004" s="1">
        <f>IFERROR(__xludf.DUMMYFUNCTION("""COMPUTED_VALUE"""),4.6381567E7)</f>
        <v>46381567</v>
      </c>
    </row>
    <row r="1005">
      <c r="A1005" s="2">
        <f>IFERROR(__xludf.DUMMYFUNCTION("""COMPUTED_VALUE"""),45812.66666666667)</f>
        <v>45812.66667</v>
      </c>
      <c r="B1005" s="1">
        <f>IFERROR(__xludf.DUMMYFUNCTION("""COMPUTED_VALUE"""),202.91)</f>
        <v>202.91</v>
      </c>
      <c r="C1005" s="1">
        <f>IFERROR(__xludf.DUMMYFUNCTION("""COMPUTED_VALUE"""),206.24)</f>
        <v>206.24</v>
      </c>
      <c r="D1005" s="1">
        <f>IFERROR(__xludf.DUMMYFUNCTION("""COMPUTED_VALUE"""),202.1)</f>
        <v>202.1</v>
      </c>
      <c r="E1005" s="1">
        <f>IFERROR(__xludf.DUMMYFUNCTION("""COMPUTED_VALUE"""),202.82)</f>
        <v>202.82</v>
      </c>
      <c r="F1005" s="1">
        <f>IFERROR(__xludf.DUMMYFUNCTION("""COMPUTED_VALUE"""),4.3603985E7)</f>
        <v>43603985</v>
      </c>
    </row>
    <row r="1006">
      <c r="A1006" s="2">
        <f>IFERROR(__xludf.DUMMYFUNCTION("""COMPUTED_VALUE"""),45813.66666666667)</f>
        <v>45813.66667</v>
      </c>
      <c r="B1006" s="1">
        <f>IFERROR(__xludf.DUMMYFUNCTION("""COMPUTED_VALUE"""),203.5)</f>
        <v>203.5</v>
      </c>
      <c r="C1006" s="1">
        <f>IFERROR(__xludf.DUMMYFUNCTION("""COMPUTED_VALUE"""),204.75)</f>
        <v>204.75</v>
      </c>
      <c r="D1006" s="1">
        <f>IFERROR(__xludf.DUMMYFUNCTION("""COMPUTED_VALUE"""),200.15)</f>
        <v>200.15</v>
      </c>
      <c r="E1006" s="1">
        <f>IFERROR(__xludf.DUMMYFUNCTION("""COMPUTED_VALUE"""),200.63)</f>
        <v>200.63</v>
      </c>
      <c r="F1006" s="1">
        <f>IFERROR(__xludf.DUMMYFUNCTION("""COMPUTED_VALUE"""),5.5221235E7)</f>
        <v>55221235</v>
      </c>
    </row>
    <row r="1007">
      <c r="A1007" s="2">
        <f>IFERROR(__xludf.DUMMYFUNCTION("""COMPUTED_VALUE"""),45814.66666666667)</f>
        <v>45814.66667</v>
      </c>
      <c r="B1007" s="1">
        <f>IFERROR(__xludf.DUMMYFUNCTION("""COMPUTED_VALUE"""),203.0)</f>
        <v>203</v>
      </c>
      <c r="C1007" s="1">
        <f>IFERROR(__xludf.DUMMYFUNCTION("""COMPUTED_VALUE"""),205.7)</f>
        <v>205.7</v>
      </c>
      <c r="D1007" s="1">
        <f>IFERROR(__xludf.DUMMYFUNCTION("""COMPUTED_VALUE"""),202.05)</f>
        <v>202.05</v>
      </c>
      <c r="E1007" s="1">
        <f>IFERROR(__xludf.DUMMYFUNCTION("""COMPUTED_VALUE"""),203.92)</f>
        <v>203.92</v>
      </c>
      <c r="F1007" s="1">
        <f>IFERROR(__xludf.DUMMYFUNCTION("""COMPUTED_VALUE"""),4.6607693E7)</f>
        <v>46607693</v>
      </c>
    </row>
    <row r="1008">
      <c r="A1008" s="2">
        <f>IFERROR(__xludf.DUMMYFUNCTION("""COMPUTED_VALUE"""),45817.66666666667)</f>
        <v>45817.66667</v>
      </c>
      <c r="B1008" s="1">
        <f>IFERROR(__xludf.DUMMYFUNCTION("""COMPUTED_VALUE"""),204.39)</f>
        <v>204.39</v>
      </c>
      <c r="C1008" s="1">
        <f>IFERROR(__xludf.DUMMYFUNCTION("""COMPUTED_VALUE"""),206.0)</f>
        <v>206</v>
      </c>
      <c r="D1008" s="1">
        <f>IFERROR(__xludf.DUMMYFUNCTION("""COMPUTED_VALUE"""),200.02)</f>
        <v>200.02</v>
      </c>
      <c r="E1008" s="1">
        <f>IFERROR(__xludf.DUMMYFUNCTION("""COMPUTED_VALUE"""),201.45)</f>
        <v>201.45</v>
      </c>
      <c r="F1008" s="1">
        <f>IFERROR(__xludf.DUMMYFUNCTION("""COMPUTED_VALUE"""),7.2862557E7)</f>
        <v>72862557</v>
      </c>
    </row>
    <row r="1009">
      <c r="A1009" s="2">
        <f>IFERROR(__xludf.DUMMYFUNCTION("""COMPUTED_VALUE"""),45818.66666666667)</f>
        <v>45818.66667</v>
      </c>
      <c r="B1009" s="1">
        <f>IFERROR(__xludf.DUMMYFUNCTION("""COMPUTED_VALUE"""),200.6)</f>
        <v>200.6</v>
      </c>
      <c r="C1009" s="1">
        <f>IFERROR(__xludf.DUMMYFUNCTION("""COMPUTED_VALUE"""),204.35)</f>
        <v>204.35</v>
      </c>
      <c r="D1009" s="1">
        <f>IFERROR(__xludf.DUMMYFUNCTION("""COMPUTED_VALUE"""),200.57)</f>
        <v>200.57</v>
      </c>
      <c r="E1009" s="1">
        <f>IFERROR(__xludf.DUMMYFUNCTION("""COMPUTED_VALUE"""),202.67)</f>
        <v>202.67</v>
      </c>
      <c r="F1009" s="1">
        <f>IFERROR(__xludf.DUMMYFUNCTION("""COMPUTED_VALUE"""),5.4672608E7)</f>
        <v>54672608</v>
      </c>
    </row>
    <row r="1010">
      <c r="A1010" s="2">
        <f>IFERROR(__xludf.DUMMYFUNCTION("""COMPUTED_VALUE"""),45819.66666666667)</f>
        <v>45819.66667</v>
      </c>
      <c r="B1010" s="1">
        <f>IFERROR(__xludf.DUMMYFUNCTION("""COMPUTED_VALUE"""),203.5)</f>
        <v>203.5</v>
      </c>
      <c r="C1010" s="1">
        <f>IFERROR(__xludf.DUMMYFUNCTION("""COMPUTED_VALUE"""),204.5)</f>
        <v>204.5</v>
      </c>
      <c r="D1010" s="1">
        <f>IFERROR(__xludf.DUMMYFUNCTION("""COMPUTED_VALUE"""),198.41)</f>
        <v>198.41</v>
      </c>
      <c r="E1010" s="1">
        <f>IFERROR(__xludf.DUMMYFUNCTION("""COMPUTED_VALUE"""),198.78)</f>
        <v>198.78</v>
      </c>
      <c r="F1010" s="1">
        <f>IFERROR(__xludf.DUMMYFUNCTION("""COMPUTED_VALUE"""),6.0989857E7)</f>
        <v>60989857</v>
      </c>
    </row>
    <row r="1011">
      <c r="A1011" s="2">
        <f>IFERROR(__xludf.DUMMYFUNCTION("""COMPUTED_VALUE"""),45820.66666666667)</f>
        <v>45820.66667</v>
      </c>
      <c r="B1011" s="1">
        <f>IFERROR(__xludf.DUMMYFUNCTION("""COMPUTED_VALUE"""),199.08)</f>
        <v>199.08</v>
      </c>
      <c r="C1011" s="1">
        <f>IFERROR(__xludf.DUMMYFUNCTION("""COMPUTED_VALUE"""),199.68)</f>
        <v>199.68</v>
      </c>
      <c r="D1011" s="1">
        <f>IFERROR(__xludf.DUMMYFUNCTION("""COMPUTED_VALUE"""),197.36)</f>
        <v>197.36</v>
      </c>
      <c r="E1011" s="1">
        <f>IFERROR(__xludf.DUMMYFUNCTION("""COMPUTED_VALUE"""),199.2)</f>
        <v>199.2</v>
      </c>
      <c r="F1011" s="1">
        <f>IFERROR(__xludf.DUMMYFUNCTION("""COMPUTED_VALUE"""),4.3904635E7)</f>
        <v>43904635</v>
      </c>
    </row>
    <row r="1012">
      <c r="A1012" s="2">
        <f>IFERROR(__xludf.DUMMYFUNCTION("""COMPUTED_VALUE"""),45821.66666666667)</f>
        <v>45821.66667</v>
      </c>
      <c r="B1012" s="1">
        <f>IFERROR(__xludf.DUMMYFUNCTION("""COMPUTED_VALUE"""),199.73)</f>
        <v>199.73</v>
      </c>
      <c r="C1012" s="1">
        <f>IFERROR(__xludf.DUMMYFUNCTION("""COMPUTED_VALUE"""),200.37)</f>
        <v>200.37</v>
      </c>
      <c r="D1012" s="1">
        <f>IFERROR(__xludf.DUMMYFUNCTION("""COMPUTED_VALUE"""),195.7)</f>
        <v>195.7</v>
      </c>
      <c r="E1012" s="1">
        <f>IFERROR(__xludf.DUMMYFUNCTION("""COMPUTED_VALUE"""),196.45)</f>
        <v>196.45</v>
      </c>
      <c r="F1012" s="1">
        <f>IFERROR(__xludf.DUMMYFUNCTION("""COMPUTED_VALUE"""),5.1447349E7)</f>
        <v>51447349</v>
      </c>
    </row>
    <row r="1013">
      <c r="A1013" s="2">
        <f>IFERROR(__xludf.DUMMYFUNCTION("""COMPUTED_VALUE"""),45824.66666666667)</f>
        <v>45824.66667</v>
      </c>
      <c r="B1013" s="1">
        <f>IFERROR(__xludf.DUMMYFUNCTION("""COMPUTED_VALUE"""),197.3)</f>
        <v>197.3</v>
      </c>
      <c r="C1013" s="1">
        <f>IFERROR(__xludf.DUMMYFUNCTION("""COMPUTED_VALUE"""),198.69)</f>
        <v>198.69</v>
      </c>
      <c r="D1013" s="1">
        <f>IFERROR(__xludf.DUMMYFUNCTION("""COMPUTED_VALUE"""),196.56)</f>
        <v>196.56</v>
      </c>
      <c r="E1013" s="1">
        <f>IFERROR(__xludf.DUMMYFUNCTION("""COMPUTED_VALUE"""),198.42)</f>
        <v>198.42</v>
      </c>
      <c r="F1013" s="1">
        <f>IFERROR(__xludf.DUMMYFUNCTION("""COMPUTED_VALUE"""),4.3020691E7)</f>
        <v>43020691</v>
      </c>
    </row>
    <row r="1014">
      <c r="A1014" s="2">
        <f>IFERROR(__xludf.DUMMYFUNCTION("""COMPUTED_VALUE"""),45825.66666666667)</f>
        <v>45825.66667</v>
      </c>
      <c r="B1014" s="1">
        <f>IFERROR(__xludf.DUMMYFUNCTION("""COMPUTED_VALUE"""),197.2)</f>
        <v>197.2</v>
      </c>
      <c r="C1014" s="1">
        <f>IFERROR(__xludf.DUMMYFUNCTION("""COMPUTED_VALUE"""),198.39)</f>
        <v>198.39</v>
      </c>
      <c r="D1014" s="1">
        <f>IFERROR(__xludf.DUMMYFUNCTION("""COMPUTED_VALUE"""),195.21)</f>
        <v>195.21</v>
      </c>
      <c r="E1014" s="1">
        <f>IFERROR(__xludf.DUMMYFUNCTION("""COMPUTED_VALUE"""),195.64)</f>
        <v>195.64</v>
      </c>
      <c r="F1014" s="1">
        <f>IFERROR(__xludf.DUMMYFUNCTION("""COMPUTED_VALUE"""),3.8856152E7)</f>
        <v>38856152</v>
      </c>
    </row>
    <row r="1015">
      <c r="A1015" s="2">
        <f>IFERROR(__xludf.DUMMYFUNCTION("""COMPUTED_VALUE"""),45826.66666666667)</f>
        <v>45826.66667</v>
      </c>
      <c r="B1015" s="1">
        <f>IFERROR(__xludf.DUMMYFUNCTION("""COMPUTED_VALUE"""),195.94)</f>
        <v>195.94</v>
      </c>
      <c r="C1015" s="1">
        <f>IFERROR(__xludf.DUMMYFUNCTION("""COMPUTED_VALUE"""),197.57)</f>
        <v>197.57</v>
      </c>
      <c r="D1015" s="1">
        <f>IFERROR(__xludf.DUMMYFUNCTION("""COMPUTED_VALUE"""),195.07)</f>
        <v>195.07</v>
      </c>
      <c r="E1015" s="1">
        <f>IFERROR(__xludf.DUMMYFUNCTION("""COMPUTED_VALUE"""),196.58)</f>
        <v>196.58</v>
      </c>
      <c r="F1015" s="1">
        <f>IFERROR(__xludf.DUMMYFUNCTION("""COMPUTED_VALUE"""),4.5394689E7)</f>
        <v>45394689</v>
      </c>
    </row>
    <row r="1016">
      <c r="A1016" s="2">
        <f>IFERROR(__xludf.DUMMYFUNCTION("""COMPUTED_VALUE"""),45828.66666666667)</f>
        <v>45828.66667</v>
      </c>
      <c r="B1016" s="1">
        <f>IFERROR(__xludf.DUMMYFUNCTION("""COMPUTED_VALUE"""),198.24)</f>
        <v>198.24</v>
      </c>
      <c r="C1016" s="1">
        <f>IFERROR(__xludf.DUMMYFUNCTION("""COMPUTED_VALUE"""),201.7)</f>
        <v>201.7</v>
      </c>
      <c r="D1016" s="1">
        <f>IFERROR(__xludf.DUMMYFUNCTION("""COMPUTED_VALUE"""),196.86)</f>
        <v>196.86</v>
      </c>
      <c r="E1016" s="1">
        <f>IFERROR(__xludf.DUMMYFUNCTION("""COMPUTED_VALUE"""),201.0)</f>
        <v>201</v>
      </c>
      <c r="F1016" s="1">
        <f>IFERROR(__xludf.DUMMYFUNCTION("""COMPUTED_VALUE"""),9.6813542E7)</f>
        <v>96813542</v>
      </c>
    </row>
    <row r="1017">
      <c r="A1017" s="2">
        <f>IFERROR(__xludf.DUMMYFUNCTION("""COMPUTED_VALUE"""),45831.66666666667)</f>
        <v>45831.66667</v>
      </c>
      <c r="B1017" s="1">
        <f>IFERROR(__xludf.DUMMYFUNCTION("""COMPUTED_VALUE"""),201.63)</f>
        <v>201.63</v>
      </c>
      <c r="C1017" s="1">
        <f>IFERROR(__xludf.DUMMYFUNCTION("""COMPUTED_VALUE"""),202.3)</f>
        <v>202.3</v>
      </c>
      <c r="D1017" s="1">
        <f>IFERROR(__xludf.DUMMYFUNCTION("""COMPUTED_VALUE"""),198.96)</f>
        <v>198.96</v>
      </c>
      <c r="E1017" s="1">
        <f>IFERROR(__xludf.DUMMYFUNCTION("""COMPUTED_VALUE"""),201.5)</f>
        <v>201.5</v>
      </c>
      <c r="F1017" s="1">
        <f>IFERROR(__xludf.DUMMYFUNCTION("""COMPUTED_VALUE"""),5.5814272E7)</f>
        <v>55814272</v>
      </c>
    </row>
    <row r="1018">
      <c r="A1018" s="2">
        <f>IFERROR(__xludf.DUMMYFUNCTION("""COMPUTED_VALUE"""),45832.66666666667)</f>
        <v>45832.66667</v>
      </c>
      <c r="B1018" s="1">
        <f>IFERROR(__xludf.DUMMYFUNCTION("""COMPUTED_VALUE"""),202.59)</f>
        <v>202.59</v>
      </c>
      <c r="C1018" s="1">
        <f>IFERROR(__xludf.DUMMYFUNCTION("""COMPUTED_VALUE"""),203.44)</f>
        <v>203.44</v>
      </c>
      <c r="D1018" s="1">
        <f>IFERROR(__xludf.DUMMYFUNCTION("""COMPUTED_VALUE"""),200.2)</f>
        <v>200.2</v>
      </c>
      <c r="E1018" s="1">
        <f>IFERROR(__xludf.DUMMYFUNCTION("""COMPUTED_VALUE"""),200.3)</f>
        <v>200.3</v>
      </c>
      <c r="F1018" s="1">
        <f>IFERROR(__xludf.DUMMYFUNCTION("""COMPUTED_VALUE"""),5.4064033E7)</f>
        <v>54064033</v>
      </c>
    </row>
    <row r="1019">
      <c r="A1019" s="2">
        <f>IFERROR(__xludf.DUMMYFUNCTION("""COMPUTED_VALUE"""),45833.66666666667)</f>
        <v>45833.66667</v>
      </c>
      <c r="B1019" s="1">
        <f>IFERROR(__xludf.DUMMYFUNCTION("""COMPUTED_VALUE"""),201.45)</f>
        <v>201.45</v>
      </c>
      <c r="C1019" s="1">
        <f>IFERROR(__xludf.DUMMYFUNCTION("""COMPUTED_VALUE"""),203.67)</f>
        <v>203.67</v>
      </c>
      <c r="D1019" s="1">
        <f>IFERROR(__xludf.DUMMYFUNCTION("""COMPUTED_VALUE"""),200.62)</f>
        <v>200.62</v>
      </c>
      <c r="E1019" s="1">
        <f>IFERROR(__xludf.DUMMYFUNCTION("""COMPUTED_VALUE"""),201.56)</f>
        <v>201.56</v>
      </c>
      <c r="F1019" s="1">
        <f>IFERROR(__xludf.DUMMYFUNCTION("""COMPUTED_VALUE"""),3.952573E7)</f>
        <v>39525730</v>
      </c>
    </row>
    <row r="1020">
      <c r="A1020" s="2">
        <f>IFERROR(__xludf.DUMMYFUNCTION("""COMPUTED_VALUE"""),45834.66666666667)</f>
        <v>45834.66667</v>
      </c>
      <c r="B1020" s="1">
        <f>IFERROR(__xludf.DUMMYFUNCTION("""COMPUTED_VALUE"""),201.43)</f>
        <v>201.43</v>
      </c>
      <c r="C1020" s="1">
        <f>IFERROR(__xludf.DUMMYFUNCTION("""COMPUTED_VALUE"""),202.64)</f>
        <v>202.64</v>
      </c>
      <c r="D1020" s="1">
        <f>IFERROR(__xludf.DUMMYFUNCTION("""COMPUTED_VALUE"""),199.46)</f>
        <v>199.46</v>
      </c>
      <c r="E1020" s="1">
        <f>IFERROR(__xludf.DUMMYFUNCTION("""COMPUTED_VALUE"""),201.0)</f>
        <v>201</v>
      </c>
      <c r="F1020" s="1">
        <f>IFERROR(__xludf.DUMMYFUNCTION("""COMPUTED_VALUE"""),5.0799121E7)</f>
        <v>50799121</v>
      </c>
    </row>
    <row r="1021">
      <c r="A1021" s="2">
        <f>IFERROR(__xludf.DUMMYFUNCTION("""COMPUTED_VALUE"""),45835.66666666667)</f>
        <v>45835.66667</v>
      </c>
      <c r="B1021" s="1">
        <f>IFERROR(__xludf.DUMMYFUNCTION("""COMPUTED_VALUE"""),201.89)</f>
        <v>201.89</v>
      </c>
      <c r="C1021" s="1">
        <f>IFERROR(__xludf.DUMMYFUNCTION("""COMPUTED_VALUE"""),203.22)</f>
        <v>203.22</v>
      </c>
      <c r="D1021" s="1">
        <f>IFERROR(__xludf.DUMMYFUNCTION("""COMPUTED_VALUE"""),200.0)</f>
        <v>200</v>
      </c>
      <c r="E1021" s="1">
        <f>IFERROR(__xludf.DUMMYFUNCTION("""COMPUTED_VALUE"""),201.08)</f>
        <v>201.08</v>
      </c>
      <c r="F1021" s="1">
        <f>IFERROR(__xludf.DUMMYFUNCTION("""COMPUTED_VALUE"""),7.3188571E7)</f>
        <v>73188571</v>
      </c>
    </row>
    <row r="1022">
      <c r="A1022" s="2">
        <f>IFERROR(__xludf.DUMMYFUNCTION("""COMPUTED_VALUE"""),45838.66666666667)</f>
        <v>45838.66667</v>
      </c>
      <c r="B1022" s="1">
        <f>IFERROR(__xludf.DUMMYFUNCTION("""COMPUTED_VALUE"""),202.01)</f>
        <v>202.01</v>
      </c>
      <c r="C1022" s="1">
        <f>IFERROR(__xludf.DUMMYFUNCTION("""COMPUTED_VALUE"""),207.39)</f>
        <v>207.39</v>
      </c>
      <c r="D1022" s="1">
        <f>IFERROR(__xludf.DUMMYFUNCTION("""COMPUTED_VALUE"""),199.26)</f>
        <v>199.26</v>
      </c>
      <c r="E1022" s="1">
        <f>IFERROR(__xludf.DUMMYFUNCTION("""COMPUTED_VALUE"""),205.17)</f>
        <v>205.17</v>
      </c>
      <c r="F1022" s="1">
        <f>IFERROR(__xludf.DUMMYFUNCTION("""COMPUTED_VALUE"""),9.1912816E7)</f>
        <v>91912816</v>
      </c>
    </row>
    <row r="1023">
      <c r="A1023" s="2">
        <f>IFERROR(__xludf.DUMMYFUNCTION("""COMPUTED_VALUE"""),45839.66666666667)</f>
        <v>45839.66667</v>
      </c>
      <c r="B1023" s="1">
        <f>IFERROR(__xludf.DUMMYFUNCTION("""COMPUTED_VALUE"""),206.67)</f>
        <v>206.67</v>
      </c>
      <c r="C1023" s="1">
        <f>IFERROR(__xludf.DUMMYFUNCTION("""COMPUTED_VALUE"""),210.19)</f>
        <v>210.19</v>
      </c>
      <c r="D1023" s="1">
        <f>IFERROR(__xludf.DUMMYFUNCTION("""COMPUTED_VALUE"""),206.14)</f>
        <v>206.14</v>
      </c>
      <c r="E1023" s="1">
        <f>IFERROR(__xludf.DUMMYFUNCTION("""COMPUTED_VALUE"""),207.82)</f>
        <v>207.82</v>
      </c>
      <c r="F1023" s="1">
        <f>IFERROR(__xludf.DUMMYFUNCTION("""COMPUTED_VALUE"""),7.8788867E7)</f>
        <v>78788867</v>
      </c>
    </row>
    <row r="1024">
      <c r="A1024" s="2">
        <f>IFERROR(__xludf.DUMMYFUNCTION("""COMPUTED_VALUE"""),45840.66666666667)</f>
        <v>45840.66667</v>
      </c>
      <c r="B1024" s="1">
        <f>IFERROR(__xludf.DUMMYFUNCTION("""COMPUTED_VALUE"""),208.91)</f>
        <v>208.91</v>
      </c>
      <c r="C1024" s="1">
        <f>IFERROR(__xludf.DUMMYFUNCTION("""COMPUTED_VALUE"""),213.34)</f>
        <v>213.34</v>
      </c>
      <c r="D1024" s="1">
        <f>IFERROR(__xludf.DUMMYFUNCTION("""COMPUTED_VALUE"""),208.14)</f>
        <v>208.14</v>
      </c>
      <c r="E1024" s="1">
        <f>IFERROR(__xludf.DUMMYFUNCTION("""COMPUTED_VALUE"""),212.44)</f>
        <v>212.44</v>
      </c>
      <c r="F1024" s="1">
        <f>IFERROR(__xludf.DUMMYFUNCTION("""COMPUTED_VALUE"""),6.7941811E7)</f>
        <v>67941811</v>
      </c>
    </row>
    <row r="1025">
      <c r="A1025" s="2">
        <f>IFERROR(__xludf.DUMMYFUNCTION("""COMPUTED_VALUE"""),45841.54513888889)</f>
        <v>45841.54514</v>
      </c>
      <c r="B1025" s="1">
        <f>IFERROR(__xludf.DUMMYFUNCTION("""COMPUTED_VALUE"""),212.15)</f>
        <v>212.15</v>
      </c>
      <c r="C1025" s="1">
        <f>IFERROR(__xludf.DUMMYFUNCTION("""COMPUTED_VALUE"""),214.65)</f>
        <v>214.65</v>
      </c>
      <c r="D1025" s="1">
        <f>IFERROR(__xludf.DUMMYFUNCTION("""COMPUTED_VALUE"""),211.81)</f>
        <v>211.81</v>
      </c>
      <c r="E1025" s="1">
        <f>IFERROR(__xludf.DUMMYFUNCTION("""COMPUTED_VALUE"""),213.55)</f>
        <v>213.55</v>
      </c>
      <c r="F1025" s="1">
        <f>IFERROR(__xludf.DUMMYFUNCTION("""COMPUTED_VALUE"""),3.4955836E7)</f>
        <v>34955836</v>
      </c>
    </row>
    <row r="1026">
      <c r="A1026" s="2">
        <f>IFERROR(__xludf.DUMMYFUNCTION("""COMPUTED_VALUE"""),45845.66666666667)</f>
        <v>45845.66667</v>
      </c>
      <c r="B1026" s="1">
        <f>IFERROR(__xludf.DUMMYFUNCTION("""COMPUTED_VALUE"""),212.68)</f>
        <v>212.68</v>
      </c>
      <c r="C1026" s="1">
        <f>IFERROR(__xludf.DUMMYFUNCTION("""COMPUTED_VALUE"""),216.23)</f>
        <v>216.23</v>
      </c>
      <c r="D1026" s="1">
        <f>IFERROR(__xludf.DUMMYFUNCTION("""COMPUTED_VALUE"""),208.8)</f>
        <v>208.8</v>
      </c>
      <c r="E1026" s="1">
        <f>IFERROR(__xludf.DUMMYFUNCTION("""COMPUTED_VALUE"""),209.95)</f>
        <v>209.95</v>
      </c>
      <c r="F1026" s="1">
        <f>IFERROR(__xludf.DUMMYFUNCTION("""COMPUTED_VALUE"""),5.0228984E7)</f>
        <v>50228984</v>
      </c>
    </row>
    <row r="1027">
      <c r="A1027" s="2">
        <f>IFERROR(__xludf.DUMMYFUNCTION("""COMPUTED_VALUE"""),45846.66666666667)</f>
        <v>45846.66667</v>
      </c>
      <c r="B1027" s="1">
        <f>IFERROR(__xludf.DUMMYFUNCTION("""COMPUTED_VALUE"""),210.1)</f>
        <v>210.1</v>
      </c>
      <c r="C1027" s="1">
        <f>IFERROR(__xludf.DUMMYFUNCTION("""COMPUTED_VALUE"""),211.43)</f>
        <v>211.43</v>
      </c>
      <c r="D1027" s="1">
        <f>IFERROR(__xludf.DUMMYFUNCTION("""COMPUTED_VALUE"""),208.45)</f>
        <v>208.45</v>
      </c>
      <c r="E1027" s="1">
        <f>IFERROR(__xludf.DUMMYFUNCTION("""COMPUTED_VALUE"""),210.01)</f>
        <v>210.01</v>
      </c>
      <c r="F1027" s="1">
        <f>IFERROR(__xludf.DUMMYFUNCTION("""COMPUTED_VALUE"""),4.2848928E7)</f>
        <v>42848928</v>
      </c>
    </row>
    <row r="1028">
      <c r="A1028" s="2">
        <f>IFERROR(__xludf.DUMMYFUNCTION("""COMPUTED_VALUE"""),45847.66666666667)</f>
        <v>45847.66667</v>
      </c>
      <c r="B1028" s="1">
        <f>IFERROR(__xludf.DUMMYFUNCTION("""COMPUTED_VALUE"""),209.53)</f>
        <v>209.53</v>
      </c>
      <c r="C1028" s="1">
        <f>IFERROR(__xludf.DUMMYFUNCTION("""COMPUTED_VALUE"""),211.33)</f>
        <v>211.33</v>
      </c>
      <c r="D1028" s="1">
        <f>IFERROR(__xludf.DUMMYFUNCTION("""COMPUTED_VALUE"""),207.22)</f>
        <v>207.22</v>
      </c>
      <c r="E1028" s="1">
        <f>IFERROR(__xludf.DUMMYFUNCTION("""COMPUTED_VALUE"""),211.14)</f>
        <v>211.14</v>
      </c>
      <c r="F1028" s="1">
        <f>IFERROR(__xludf.DUMMYFUNCTION("""COMPUTED_VALUE"""),4.8749367E7)</f>
        <v>48749367</v>
      </c>
    </row>
    <row r="1029">
      <c r="A1029" s="2">
        <f>IFERROR(__xludf.DUMMYFUNCTION("""COMPUTED_VALUE"""),45848.66666666667)</f>
        <v>45848.66667</v>
      </c>
      <c r="B1029" s="1">
        <f>IFERROR(__xludf.DUMMYFUNCTION("""COMPUTED_VALUE"""),210.51)</f>
        <v>210.51</v>
      </c>
      <c r="C1029" s="1">
        <f>IFERROR(__xludf.DUMMYFUNCTION("""COMPUTED_VALUE"""),213.48)</f>
        <v>213.48</v>
      </c>
      <c r="D1029" s="1">
        <f>IFERROR(__xludf.DUMMYFUNCTION("""COMPUTED_VALUE"""),210.03)</f>
        <v>210.03</v>
      </c>
      <c r="E1029" s="1">
        <f>IFERROR(__xludf.DUMMYFUNCTION("""COMPUTED_VALUE"""),212.41)</f>
        <v>212.41</v>
      </c>
      <c r="F1029" s="1">
        <f>IFERROR(__xludf.DUMMYFUNCTION("""COMPUTED_VALUE"""),4.4443635E7)</f>
        <v>44443635</v>
      </c>
    </row>
    <row r="1030">
      <c r="A1030" s="2">
        <f>IFERROR(__xludf.DUMMYFUNCTION("""COMPUTED_VALUE"""),45849.66666666667)</f>
        <v>45849.66667</v>
      </c>
      <c r="B1030" s="1">
        <f>IFERROR(__xludf.DUMMYFUNCTION("""COMPUTED_VALUE"""),210.57)</f>
        <v>210.57</v>
      </c>
      <c r="C1030" s="1">
        <f>IFERROR(__xludf.DUMMYFUNCTION("""COMPUTED_VALUE"""),212.13)</f>
        <v>212.13</v>
      </c>
      <c r="D1030" s="1">
        <f>IFERROR(__xludf.DUMMYFUNCTION("""COMPUTED_VALUE"""),209.86)</f>
        <v>209.86</v>
      </c>
      <c r="E1030" s="1">
        <f>IFERROR(__xludf.DUMMYFUNCTION("""COMPUTED_VALUE"""),211.16)</f>
        <v>211.16</v>
      </c>
      <c r="F1030" s="1">
        <f>IFERROR(__xludf.DUMMYFUNCTION("""COMPUTED_VALUE"""),3.9765812E7)</f>
        <v>39765812</v>
      </c>
    </row>
    <row r="1031">
      <c r="A1031" s="2">
        <f>IFERROR(__xludf.DUMMYFUNCTION("""COMPUTED_VALUE"""),45852.66666666667)</f>
        <v>45852.66667</v>
      </c>
      <c r="B1031" s="1">
        <f>IFERROR(__xludf.DUMMYFUNCTION("""COMPUTED_VALUE"""),209.93)</f>
        <v>209.93</v>
      </c>
      <c r="C1031" s="1">
        <f>IFERROR(__xludf.DUMMYFUNCTION("""COMPUTED_VALUE"""),210.91)</f>
        <v>210.91</v>
      </c>
      <c r="D1031" s="1">
        <f>IFERROR(__xludf.DUMMYFUNCTION("""COMPUTED_VALUE"""),207.54)</f>
        <v>207.54</v>
      </c>
      <c r="E1031" s="1">
        <f>IFERROR(__xludf.DUMMYFUNCTION("""COMPUTED_VALUE"""),208.62)</f>
        <v>208.62</v>
      </c>
      <c r="F1031" s="1">
        <f>IFERROR(__xludf.DUMMYFUNCTION("""COMPUTED_VALUE"""),3.8840111E7)</f>
        <v>38840111</v>
      </c>
    </row>
    <row r="1032">
      <c r="A1032" s="2">
        <f>IFERROR(__xludf.DUMMYFUNCTION("""COMPUTED_VALUE"""),45853.66666666667)</f>
        <v>45853.66667</v>
      </c>
      <c r="B1032" s="1">
        <f>IFERROR(__xludf.DUMMYFUNCTION("""COMPUTED_VALUE"""),209.22)</f>
        <v>209.22</v>
      </c>
      <c r="C1032" s="1">
        <f>IFERROR(__xludf.DUMMYFUNCTION("""COMPUTED_VALUE"""),211.89)</f>
        <v>211.89</v>
      </c>
      <c r="D1032" s="1">
        <f>IFERROR(__xludf.DUMMYFUNCTION("""COMPUTED_VALUE"""),208.92)</f>
        <v>208.92</v>
      </c>
      <c r="E1032" s="1">
        <f>IFERROR(__xludf.DUMMYFUNCTION("""COMPUTED_VALUE"""),209.11)</f>
        <v>209.11</v>
      </c>
      <c r="F1032" s="1">
        <f>IFERROR(__xludf.DUMMYFUNCTION("""COMPUTED_VALUE"""),4.2296339E7)</f>
        <v>42296339</v>
      </c>
    </row>
    <row r="1033">
      <c r="A1033" s="2">
        <f>IFERROR(__xludf.DUMMYFUNCTION("""COMPUTED_VALUE"""),45854.66666666667)</f>
        <v>45854.66667</v>
      </c>
      <c r="B1033" s="1">
        <f>IFERROR(__xludf.DUMMYFUNCTION("""COMPUTED_VALUE"""),210.3)</f>
        <v>210.3</v>
      </c>
      <c r="C1033" s="1">
        <f>IFERROR(__xludf.DUMMYFUNCTION("""COMPUTED_VALUE"""),212.4)</f>
        <v>212.4</v>
      </c>
      <c r="D1033" s="1">
        <f>IFERROR(__xludf.DUMMYFUNCTION("""COMPUTED_VALUE"""),208.64)</f>
        <v>208.64</v>
      </c>
      <c r="E1033" s="1">
        <f>IFERROR(__xludf.DUMMYFUNCTION("""COMPUTED_VALUE"""),210.16)</f>
        <v>210.16</v>
      </c>
      <c r="F1033" s="1">
        <f>IFERROR(__xludf.DUMMYFUNCTION("""COMPUTED_VALUE"""),4.7490532E7)</f>
        <v>47490532</v>
      </c>
    </row>
    <row r="1034">
      <c r="A1034" s="2">
        <f>IFERROR(__xludf.DUMMYFUNCTION("""COMPUTED_VALUE"""),45855.66666666667)</f>
        <v>45855.66667</v>
      </c>
      <c r="B1034" s="1">
        <f>IFERROR(__xludf.DUMMYFUNCTION("""COMPUTED_VALUE"""),210.57)</f>
        <v>210.57</v>
      </c>
      <c r="C1034" s="1">
        <f>IFERROR(__xludf.DUMMYFUNCTION("""COMPUTED_VALUE"""),211.8)</f>
        <v>211.8</v>
      </c>
      <c r="D1034" s="1">
        <f>IFERROR(__xludf.DUMMYFUNCTION("""COMPUTED_VALUE"""),209.59)</f>
        <v>209.59</v>
      </c>
      <c r="E1034" s="1">
        <f>IFERROR(__xludf.DUMMYFUNCTION("""COMPUTED_VALUE"""),210.02)</f>
        <v>210.02</v>
      </c>
      <c r="F1034" s="1">
        <f>IFERROR(__xludf.DUMMYFUNCTION("""COMPUTED_VALUE"""),4.8068141E7)</f>
        <v>48068141</v>
      </c>
    </row>
    <row r="1035">
      <c r="A1035" s="2">
        <f>IFERROR(__xludf.DUMMYFUNCTION("""COMPUTED_VALUE"""),45856.66666666667)</f>
        <v>45856.66667</v>
      </c>
      <c r="B1035" s="1">
        <f>IFERROR(__xludf.DUMMYFUNCTION("""COMPUTED_VALUE"""),210.87)</f>
        <v>210.87</v>
      </c>
      <c r="C1035" s="1">
        <f>IFERROR(__xludf.DUMMYFUNCTION("""COMPUTED_VALUE"""),211.79)</f>
        <v>211.79</v>
      </c>
      <c r="D1035" s="1">
        <f>IFERROR(__xludf.DUMMYFUNCTION("""COMPUTED_VALUE"""),209.7)</f>
        <v>209.7</v>
      </c>
      <c r="E1035" s="1">
        <f>IFERROR(__xludf.DUMMYFUNCTION("""COMPUTED_VALUE"""),211.18)</f>
        <v>211.18</v>
      </c>
      <c r="F1035" s="1">
        <f>IFERROR(__xludf.DUMMYFUNCTION("""COMPUTED_VALUE"""),4.8974591E7)</f>
        <v>48974591</v>
      </c>
    </row>
    <row r="1036">
      <c r="A1036" s="2">
        <f>IFERROR(__xludf.DUMMYFUNCTION("""COMPUTED_VALUE"""),45859.66666666667)</f>
        <v>45859.66667</v>
      </c>
      <c r="B1036" s="1">
        <f>IFERROR(__xludf.DUMMYFUNCTION("""COMPUTED_VALUE"""),212.1)</f>
        <v>212.1</v>
      </c>
      <c r="C1036" s="1">
        <f>IFERROR(__xludf.DUMMYFUNCTION("""COMPUTED_VALUE"""),215.78)</f>
        <v>215.78</v>
      </c>
      <c r="D1036" s="1">
        <f>IFERROR(__xludf.DUMMYFUNCTION("""COMPUTED_VALUE"""),211.63)</f>
        <v>211.63</v>
      </c>
      <c r="E1036" s="1">
        <f>IFERROR(__xludf.DUMMYFUNCTION("""COMPUTED_VALUE"""),212.48)</f>
        <v>212.48</v>
      </c>
      <c r="F1036" s="1">
        <f>IFERROR(__xludf.DUMMYFUNCTION("""COMPUTED_VALUE"""),5.1377434E7)</f>
        <v>51377434</v>
      </c>
    </row>
    <row r="1037">
      <c r="A1037" s="2">
        <f>IFERROR(__xludf.DUMMYFUNCTION("""COMPUTED_VALUE"""),45860.66666666667)</f>
        <v>45860.66667</v>
      </c>
      <c r="B1037" s="1">
        <f>IFERROR(__xludf.DUMMYFUNCTION("""COMPUTED_VALUE"""),213.14)</f>
        <v>213.14</v>
      </c>
      <c r="C1037" s="1">
        <f>IFERROR(__xludf.DUMMYFUNCTION("""COMPUTED_VALUE"""),214.95)</f>
        <v>214.95</v>
      </c>
      <c r="D1037" s="1">
        <f>IFERROR(__xludf.DUMMYFUNCTION("""COMPUTED_VALUE"""),212.23)</f>
        <v>212.23</v>
      </c>
      <c r="E1037" s="1">
        <f>IFERROR(__xludf.DUMMYFUNCTION("""COMPUTED_VALUE"""),214.4)</f>
        <v>214.4</v>
      </c>
      <c r="F1037" s="1">
        <f>IFERROR(__xludf.DUMMYFUNCTION("""COMPUTED_VALUE"""),4.6404072E7)</f>
        <v>46404072</v>
      </c>
    </row>
    <row r="1038">
      <c r="A1038" s="2">
        <f>IFERROR(__xludf.DUMMYFUNCTION("""COMPUTED_VALUE"""),45861.66666666667)</f>
        <v>45861.66667</v>
      </c>
      <c r="B1038" s="1">
        <f>IFERROR(__xludf.DUMMYFUNCTION("""COMPUTED_VALUE"""),215.0)</f>
        <v>215</v>
      </c>
      <c r="C1038" s="1">
        <f>IFERROR(__xludf.DUMMYFUNCTION("""COMPUTED_VALUE"""),215.15)</f>
        <v>215.15</v>
      </c>
      <c r="D1038" s="1">
        <f>IFERROR(__xludf.DUMMYFUNCTION("""COMPUTED_VALUE"""),212.41)</f>
        <v>212.41</v>
      </c>
      <c r="E1038" s="1">
        <f>IFERROR(__xludf.DUMMYFUNCTION("""COMPUTED_VALUE"""),214.15)</f>
        <v>214.15</v>
      </c>
      <c r="F1038" s="1">
        <f>IFERROR(__xludf.DUMMYFUNCTION("""COMPUTED_VALUE"""),4.6989301E7)</f>
        <v>46989301</v>
      </c>
    </row>
    <row r="1039">
      <c r="A1039" s="2">
        <f>IFERROR(__xludf.DUMMYFUNCTION("""COMPUTED_VALUE"""),45862.66666666667)</f>
        <v>45862.66667</v>
      </c>
      <c r="B1039" s="1">
        <f>IFERROR(__xludf.DUMMYFUNCTION("""COMPUTED_VALUE"""),213.9)</f>
        <v>213.9</v>
      </c>
      <c r="C1039" s="1">
        <f>IFERROR(__xludf.DUMMYFUNCTION("""COMPUTED_VALUE"""),215.69)</f>
        <v>215.69</v>
      </c>
      <c r="D1039" s="1">
        <f>IFERROR(__xludf.DUMMYFUNCTION("""COMPUTED_VALUE"""),213.53)</f>
        <v>213.53</v>
      </c>
      <c r="E1039" s="1">
        <f>IFERROR(__xludf.DUMMYFUNCTION("""COMPUTED_VALUE"""),213.76)</f>
        <v>213.76</v>
      </c>
      <c r="F1039" s="1">
        <f>IFERROR(__xludf.DUMMYFUNCTION("""COMPUTED_VALUE"""),4.602262E7)</f>
        <v>46022620</v>
      </c>
    </row>
    <row r="1040">
      <c r="A1040" s="2">
        <f>IFERROR(__xludf.DUMMYFUNCTION("""COMPUTED_VALUE"""),45863.66666666667)</f>
        <v>45863.66667</v>
      </c>
      <c r="B1040" s="1">
        <f>IFERROR(__xludf.DUMMYFUNCTION("""COMPUTED_VALUE"""),214.7)</f>
        <v>214.7</v>
      </c>
      <c r="C1040" s="1">
        <f>IFERROR(__xludf.DUMMYFUNCTION("""COMPUTED_VALUE"""),215.24)</f>
        <v>215.24</v>
      </c>
      <c r="D1040" s="1">
        <f>IFERROR(__xludf.DUMMYFUNCTION("""COMPUTED_VALUE"""),213.4)</f>
        <v>213.4</v>
      </c>
      <c r="E1040" s="1">
        <f>IFERROR(__xludf.DUMMYFUNCTION("""COMPUTED_VALUE"""),213.88)</f>
        <v>213.88</v>
      </c>
      <c r="F1040" s="1">
        <f>IFERROR(__xludf.DUMMYFUNCTION("""COMPUTED_VALUE"""),4.0268781E7)</f>
        <v>40268781</v>
      </c>
    </row>
    <row r="1041">
      <c r="A1041" s="2">
        <f>IFERROR(__xludf.DUMMYFUNCTION("""COMPUTED_VALUE"""),45866.66666666667)</f>
        <v>45866.66667</v>
      </c>
      <c r="B1041" s="1">
        <f>IFERROR(__xludf.DUMMYFUNCTION("""COMPUTED_VALUE"""),214.03)</f>
        <v>214.03</v>
      </c>
      <c r="C1041" s="1">
        <f>IFERROR(__xludf.DUMMYFUNCTION("""COMPUTED_VALUE"""),214.85)</f>
        <v>214.85</v>
      </c>
      <c r="D1041" s="1">
        <f>IFERROR(__xludf.DUMMYFUNCTION("""COMPUTED_VALUE"""),213.06)</f>
        <v>213.06</v>
      </c>
      <c r="E1041" s="1">
        <f>IFERROR(__xludf.DUMMYFUNCTION("""COMPUTED_VALUE"""),214.05)</f>
        <v>214.05</v>
      </c>
      <c r="F1041" s="1">
        <f>IFERROR(__xludf.DUMMYFUNCTION("""COMPUTED_VALUE"""),3.7858017E7)</f>
        <v>37858017</v>
      </c>
    </row>
    <row r="1042">
      <c r="A1042" s="2">
        <f>IFERROR(__xludf.DUMMYFUNCTION("""COMPUTED_VALUE"""),45867.66666666667)</f>
        <v>45867.66667</v>
      </c>
      <c r="B1042" s="1">
        <f>IFERROR(__xludf.DUMMYFUNCTION("""COMPUTED_VALUE"""),214.18)</f>
        <v>214.18</v>
      </c>
      <c r="C1042" s="1">
        <f>IFERROR(__xludf.DUMMYFUNCTION("""COMPUTED_VALUE"""),214.81)</f>
        <v>214.81</v>
      </c>
      <c r="D1042" s="1">
        <f>IFERROR(__xludf.DUMMYFUNCTION("""COMPUTED_VALUE"""),210.82)</f>
        <v>210.82</v>
      </c>
      <c r="E1042" s="1">
        <f>IFERROR(__xludf.DUMMYFUNCTION("""COMPUTED_VALUE"""),211.27)</f>
        <v>211.27</v>
      </c>
      <c r="F1042" s="1">
        <f>IFERROR(__xludf.DUMMYFUNCTION("""COMPUTED_VALUE"""),5.1411723E7)</f>
        <v>51411723</v>
      </c>
    </row>
    <row r="1043">
      <c r="A1043" s="2">
        <f>IFERROR(__xludf.DUMMYFUNCTION("""COMPUTED_VALUE"""),45868.66666666667)</f>
        <v>45868.66667</v>
      </c>
      <c r="B1043" s="1">
        <f>IFERROR(__xludf.DUMMYFUNCTION("""COMPUTED_VALUE"""),211.9)</f>
        <v>211.9</v>
      </c>
      <c r="C1043" s="1">
        <f>IFERROR(__xludf.DUMMYFUNCTION("""COMPUTED_VALUE"""),212.39)</f>
        <v>212.39</v>
      </c>
      <c r="D1043" s="1">
        <f>IFERROR(__xludf.DUMMYFUNCTION("""COMPUTED_VALUE"""),207.72)</f>
        <v>207.72</v>
      </c>
      <c r="E1043" s="1">
        <f>IFERROR(__xludf.DUMMYFUNCTION("""COMPUTED_VALUE"""),209.05)</f>
        <v>209.05</v>
      </c>
      <c r="F1043" s="1">
        <f>IFERROR(__xludf.DUMMYFUNCTION("""COMPUTED_VALUE"""),4.5512514E7)</f>
        <v>45512514</v>
      </c>
    </row>
    <row r="1044">
      <c r="A1044" s="2">
        <f>IFERROR(__xludf.DUMMYFUNCTION("""COMPUTED_VALUE"""),45869.66666666667)</f>
        <v>45869.66667</v>
      </c>
      <c r="B1044" s="1">
        <f>IFERROR(__xludf.DUMMYFUNCTION("""COMPUTED_VALUE"""),208.49)</f>
        <v>208.49</v>
      </c>
      <c r="C1044" s="1">
        <f>IFERROR(__xludf.DUMMYFUNCTION("""COMPUTED_VALUE"""),209.84)</f>
        <v>209.84</v>
      </c>
      <c r="D1044" s="1">
        <f>IFERROR(__xludf.DUMMYFUNCTION("""COMPUTED_VALUE"""),207.16)</f>
        <v>207.16</v>
      </c>
      <c r="E1044" s="1">
        <f>IFERROR(__xludf.DUMMYFUNCTION("""COMPUTED_VALUE"""),207.57)</f>
        <v>207.57</v>
      </c>
      <c r="F1044" s="1">
        <f>IFERROR(__xludf.DUMMYFUNCTION("""COMPUTED_VALUE"""),8.0698431E7)</f>
        <v>80698431</v>
      </c>
    </row>
    <row r="1045">
      <c r="A1045" s="2">
        <f>IFERROR(__xludf.DUMMYFUNCTION("""COMPUTED_VALUE"""),45870.66666666667)</f>
        <v>45870.66667</v>
      </c>
      <c r="B1045" s="1">
        <f>IFERROR(__xludf.DUMMYFUNCTION("""COMPUTED_VALUE"""),210.87)</f>
        <v>210.87</v>
      </c>
      <c r="C1045" s="1">
        <f>IFERROR(__xludf.DUMMYFUNCTION("""COMPUTED_VALUE"""),213.58)</f>
        <v>213.58</v>
      </c>
      <c r="D1045" s="1">
        <f>IFERROR(__xludf.DUMMYFUNCTION("""COMPUTED_VALUE"""),201.5)</f>
        <v>201.5</v>
      </c>
      <c r="E1045" s="1">
        <f>IFERROR(__xludf.DUMMYFUNCTION("""COMPUTED_VALUE"""),202.38)</f>
        <v>202.38</v>
      </c>
      <c r="F1045" s="1">
        <f>IFERROR(__xludf.DUMMYFUNCTION("""COMPUTED_VALUE"""),1.04434473E8)</f>
        <v>104434473</v>
      </c>
    </row>
    <row r="1046">
      <c r="A1046" s="2">
        <f>IFERROR(__xludf.DUMMYFUNCTION("""COMPUTED_VALUE"""),45873.66666666667)</f>
        <v>45873.66667</v>
      </c>
      <c r="B1046" s="1">
        <f>IFERROR(__xludf.DUMMYFUNCTION("""COMPUTED_VALUE"""),204.51)</f>
        <v>204.51</v>
      </c>
      <c r="C1046" s="1">
        <f>IFERROR(__xludf.DUMMYFUNCTION("""COMPUTED_VALUE"""),207.88)</f>
        <v>207.88</v>
      </c>
      <c r="D1046" s="1">
        <f>IFERROR(__xludf.DUMMYFUNCTION("""COMPUTED_VALUE"""),201.68)</f>
        <v>201.68</v>
      </c>
      <c r="E1046" s="1">
        <f>IFERROR(__xludf.DUMMYFUNCTION("""COMPUTED_VALUE"""),203.35)</f>
        <v>203.35</v>
      </c>
      <c r="F1046" s="1">
        <f>IFERROR(__xludf.DUMMYFUNCTION("""COMPUTED_VALUE"""),7.5109298E7)</f>
        <v>75109298</v>
      </c>
    </row>
    <row r="1047">
      <c r="A1047" s="2">
        <f>IFERROR(__xludf.DUMMYFUNCTION("""COMPUTED_VALUE"""),45874.66666666667)</f>
        <v>45874.66667</v>
      </c>
      <c r="B1047" s="1">
        <f>IFERROR(__xludf.DUMMYFUNCTION("""COMPUTED_VALUE"""),203.4)</f>
        <v>203.4</v>
      </c>
      <c r="C1047" s="1">
        <f>IFERROR(__xludf.DUMMYFUNCTION("""COMPUTED_VALUE"""),205.34)</f>
        <v>205.34</v>
      </c>
      <c r="D1047" s="1">
        <f>IFERROR(__xludf.DUMMYFUNCTION("""COMPUTED_VALUE"""),202.16)</f>
        <v>202.16</v>
      </c>
      <c r="E1047" s="1">
        <f>IFERROR(__xludf.DUMMYFUNCTION("""COMPUTED_VALUE"""),202.92)</f>
        <v>202.92</v>
      </c>
      <c r="F1047" s="1">
        <f>IFERROR(__xludf.DUMMYFUNCTION("""COMPUTED_VALUE"""),4.4155079E7)</f>
        <v>44155079</v>
      </c>
    </row>
    <row r="1048">
      <c r="A1048" s="2">
        <f>IFERROR(__xludf.DUMMYFUNCTION("""COMPUTED_VALUE"""),45875.66666666667)</f>
        <v>45875.66667</v>
      </c>
      <c r="B1048" s="1">
        <f>IFERROR(__xludf.DUMMYFUNCTION("""COMPUTED_VALUE"""),205.63)</f>
        <v>205.63</v>
      </c>
      <c r="C1048" s="1">
        <f>IFERROR(__xludf.DUMMYFUNCTION("""COMPUTED_VALUE"""),215.38)</f>
        <v>215.38</v>
      </c>
      <c r="D1048" s="1">
        <f>IFERROR(__xludf.DUMMYFUNCTION("""COMPUTED_VALUE"""),205.59)</f>
        <v>205.59</v>
      </c>
      <c r="E1048" s="1">
        <f>IFERROR(__xludf.DUMMYFUNCTION("""COMPUTED_VALUE"""),213.25)</f>
        <v>213.25</v>
      </c>
      <c r="F1048" s="1">
        <f>IFERROR(__xludf.DUMMYFUNCTION("""COMPUTED_VALUE"""),1.08483103E8)</f>
        <v>108483103</v>
      </c>
    </row>
    <row r="1049">
      <c r="A1049" s="2">
        <f>IFERROR(__xludf.DUMMYFUNCTION("""COMPUTED_VALUE"""),45876.66666666667)</f>
        <v>45876.66667</v>
      </c>
      <c r="B1049" s="1">
        <f>IFERROR(__xludf.DUMMYFUNCTION("""COMPUTED_VALUE"""),218.88)</f>
        <v>218.88</v>
      </c>
      <c r="C1049" s="1">
        <f>IFERROR(__xludf.DUMMYFUNCTION("""COMPUTED_VALUE"""),220.85)</f>
        <v>220.85</v>
      </c>
      <c r="D1049" s="1">
        <f>IFERROR(__xludf.DUMMYFUNCTION("""COMPUTED_VALUE"""),216.58)</f>
        <v>216.58</v>
      </c>
      <c r="E1049" s="1">
        <f>IFERROR(__xludf.DUMMYFUNCTION("""COMPUTED_VALUE"""),220.03)</f>
        <v>220.03</v>
      </c>
      <c r="F1049" s="1">
        <f>IFERROR(__xludf.DUMMYFUNCTION("""COMPUTED_VALUE"""),9.0224834E7)</f>
        <v>90224834</v>
      </c>
    </row>
    <row r="1050">
      <c r="A1050" s="2">
        <f>IFERROR(__xludf.DUMMYFUNCTION("""COMPUTED_VALUE"""),45877.66666666667)</f>
        <v>45877.66667</v>
      </c>
      <c r="B1050" s="1">
        <f>IFERROR(__xludf.DUMMYFUNCTION("""COMPUTED_VALUE"""),220.83)</f>
        <v>220.83</v>
      </c>
      <c r="C1050" s="1">
        <f>IFERROR(__xludf.DUMMYFUNCTION("""COMPUTED_VALUE"""),231.0)</f>
        <v>231</v>
      </c>
      <c r="D1050" s="1">
        <f>IFERROR(__xludf.DUMMYFUNCTION("""COMPUTED_VALUE"""),219.25)</f>
        <v>219.25</v>
      </c>
      <c r="E1050" s="1">
        <f>IFERROR(__xludf.DUMMYFUNCTION("""COMPUTED_VALUE"""),229.35)</f>
        <v>229.35</v>
      </c>
      <c r="F1050" s="1">
        <f>IFERROR(__xludf.DUMMYFUNCTION("""COMPUTED_VALUE"""),1.13853967E8)</f>
        <v>113853967</v>
      </c>
    </row>
    <row r="1051">
      <c r="A1051" s="2">
        <f>IFERROR(__xludf.DUMMYFUNCTION("""COMPUTED_VALUE"""),45880.66666666667)</f>
        <v>45880.66667</v>
      </c>
      <c r="B1051" s="1">
        <f>IFERROR(__xludf.DUMMYFUNCTION("""COMPUTED_VALUE"""),227.92)</f>
        <v>227.92</v>
      </c>
      <c r="C1051" s="1">
        <f>IFERROR(__xludf.DUMMYFUNCTION("""COMPUTED_VALUE"""),229.56)</f>
        <v>229.56</v>
      </c>
      <c r="D1051" s="1">
        <f>IFERROR(__xludf.DUMMYFUNCTION("""COMPUTED_VALUE"""),224.76)</f>
        <v>224.76</v>
      </c>
      <c r="E1051" s="1">
        <f>IFERROR(__xludf.DUMMYFUNCTION("""COMPUTED_VALUE"""),227.18)</f>
        <v>227.18</v>
      </c>
      <c r="F1051" s="1">
        <f>IFERROR(__xludf.DUMMYFUNCTION("""COMPUTED_VALUE"""),6.1806132E7)</f>
        <v>61806132</v>
      </c>
    </row>
    <row r="1052">
      <c r="A1052" s="2">
        <f>IFERROR(__xludf.DUMMYFUNCTION("""COMPUTED_VALUE"""),45881.66666666667)</f>
        <v>45881.66667</v>
      </c>
      <c r="B1052" s="1">
        <f>IFERROR(__xludf.DUMMYFUNCTION("""COMPUTED_VALUE"""),228.01)</f>
        <v>228.01</v>
      </c>
      <c r="C1052" s="1">
        <f>IFERROR(__xludf.DUMMYFUNCTION("""COMPUTED_VALUE"""),230.8)</f>
        <v>230.8</v>
      </c>
      <c r="D1052" s="1">
        <f>IFERROR(__xludf.DUMMYFUNCTION("""COMPUTED_VALUE"""),227.07)</f>
        <v>227.07</v>
      </c>
      <c r="E1052" s="1">
        <f>IFERROR(__xludf.DUMMYFUNCTION("""COMPUTED_VALUE"""),229.65)</f>
        <v>229.65</v>
      </c>
      <c r="F1052" s="1">
        <f>IFERROR(__xludf.DUMMYFUNCTION("""COMPUTED_VALUE"""),5.5672301E7)</f>
        <v>55672301</v>
      </c>
    </row>
    <row r="1053">
      <c r="A1053" s="2">
        <f>IFERROR(__xludf.DUMMYFUNCTION("""COMPUTED_VALUE"""),45882.66666666667)</f>
        <v>45882.66667</v>
      </c>
      <c r="B1053" s="1">
        <f>IFERROR(__xludf.DUMMYFUNCTION("""COMPUTED_VALUE"""),231.07)</f>
        <v>231.07</v>
      </c>
      <c r="C1053" s="1">
        <f>IFERROR(__xludf.DUMMYFUNCTION("""COMPUTED_VALUE"""),235.0)</f>
        <v>235</v>
      </c>
      <c r="D1053" s="1">
        <f>IFERROR(__xludf.DUMMYFUNCTION("""COMPUTED_VALUE"""),230.43)</f>
        <v>230.43</v>
      </c>
      <c r="E1053" s="1">
        <f>IFERROR(__xludf.DUMMYFUNCTION("""COMPUTED_VALUE"""),233.33)</f>
        <v>233.33</v>
      </c>
      <c r="F1053" s="1">
        <f>IFERROR(__xludf.DUMMYFUNCTION("""COMPUTED_VALUE"""),6.9878546E7)</f>
        <v>69878546</v>
      </c>
    </row>
    <row r="1054">
      <c r="A1054" s="2">
        <f>IFERROR(__xludf.DUMMYFUNCTION("""COMPUTED_VALUE"""),45883.66666666667)</f>
        <v>45883.66667</v>
      </c>
      <c r="B1054" s="1">
        <f>IFERROR(__xludf.DUMMYFUNCTION("""COMPUTED_VALUE"""),234.06)</f>
        <v>234.06</v>
      </c>
      <c r="C1054" s="1">
        <f>IFERROR(__xludf.DUMMYFUNCTION("""COMPUTED_VALUE"""),235.12)</f>
        <v>235.12</v>
      </c>
      <c r="D1054" s="1">
        <f>IFERROR(__xludf.DUMMYFUNCTION("""COMPUTED_VALUE"""),230.85)</f>
        <v>230.85</v>
      </c>
      <c r="E1054" s="1">
        <f>IFERROR(__xludf.DUMMYFUNCTION("""COMPUTED_VALUE"""),232.78)</f>
        <v>232.78</v>
      </c>
      <c r="F1054" s="1">
        <f>IFERROR(__xludf.DUMMYFUNCTION("""COMPUTED_VALUE"""),5.1916275E7)</f>
        <v>51916275</v>
      </c>
    </row>
    <row r="1055">
      <c r="A1055" s="2">
        <f>IFERROR(__xludf.DUMMYFUNCTION("""COMPUTED_VALUE"""),45884.66666666667)</f>
        <v>45884.66667</v>
      </c>
      <c r="B1055" s="1">
        <f>IFERROR(__xludf.DUMMYFUNCTION("""COMPUTED_VALUE"""),234.0)</f>
        <v>234</v>
      </c>
      <c r="C1055" s="1">
        <f>IFERROR(__xludf.DUMMYFUNCTION("""COMPUTED_VALUE"""),234.28)</f>
        <v>234.28</v>
      </c>
      <c r="D1055" s="1">
        <f>IFERROR(__xludf.DUMMYFUNCTION("""COMPUTED_VALUE"""),229.34)</f>
        <v>229.34</v>
      </c>
      <c r="E1055" s="1">
        <f>IFERROR(__xludf.DUMMYFUNCTION("""COMPUTED_VALUE"""),231.59)</f>
        <v>231.59</v>
      </c>
      <c r="F1055" s="1">
        <f>IFERROR(__xludf.DUMMYFUNCTION("""COMPUTED_VALUE"""),5.6038657E7)</f>
        <v>56038657</v>
      </c>
    </row>
    <row r="1056">
      <c r="A1056" s="2">
        <f>IFERROR(__xludf.DUMMYFUNCTION("""COMPUTED_VALUE"""),45887.66666666667)</f>
        <v>45887.66667</v>
      </c>
      <c r="B1056" s="1">
        <f>IFERROR(__xludf.DUMMYFUNCTION("""COMPUTED_VALUE"""),231.7)</f>
        <v>231.7</v>
      </c>
      <c r="C1056" s="1">
        <f>IFERROR(__xludf.DUMMYFUNCTION("""COMPUTED_VALUE"""),233.12)</f>
        <v>233.12</v>
      </c>
      <c r="D1056" s="1">
        <f>IFERROR(__xludf.DUMMYFUNCTION("""COMPUTED_VALUE"""),230.11)</f>
        <v>230.11</v>
      </c>
      <c r="E1056" s="1">
        <f>IFERROR(__xludf.DUMMYFUNCTION("""COMPUTED_VALUE"""),230.89)</f>
        <v>230.89</v>
      </c>
      <c r="F1056" s="1">
        <f>IFERROR(__xludf.DUMMYFUNCTION("""COMPUTED_VALUE"""),3.7476188E7)</f>
        <v>37476188</v>
      </c>
    </row>
    <row r="1057">
      <c r="A1057" s="2">
        <f>IFERROR(__xludf.DUMMYFUNCTION("""COMPUTED_VALUE"""),45888.66666666667)</f>
        <v>45888.66667</v>
      </c>
      <c r="B1057" s="1">
        <f>IFERROR(__xludf.DUMMYFUNCTION("""COMPUTED_VALUE"""),231.28)</f>
        <v>231.28</v>
      </c>
      <c r="C1057" s="1">
        <f>IFERROR(__xludf.DUMMYFUNCTION("""COMPUTED_VALUE"""),232.87)</f>
        <v>232.87</v>
      </c>
      <c r="D1057" s="1">
        <f>IFERROR(__xludf.DUMMYFUNCTION("""COMPUTED_VALUE"""),229.35)</f>
        <v>229.35</v>
      </c>
      <c r="E1057" s="1">
        <f>IFERROR(__xludf.DUMMYFUNCTION("""COMPUTED_VALUE"""),230.56)</f>
        <v>230.56</v>
      </c>
      <c r="F1057" s="1">
        <f>IFERROR(__xludf.DUMMYFUNCTION("""COMPUTED_VALUE"""),3.9402564E7)</f>
        <v>39402564</v>
      </c>
    </row>
    <row r="1058">
      <c r="A1058" s="2">
        <f>IFERROR(__xludf.DUMMYFUNCTION("""COMPUTED_VALUE"""),45889.66666666667)</f>
        <v>45889.66667</v>
      </c>
      <c r="B1058" s="1">
        <f>IFERROR(__xludf.DUMMYFUNCTION("""COMPUTED_VALUE"""),229.98)</f>
        <v>229.98</v>
      </c>
      <c r="C1058" s="1">
        <f>IFERROR(__xludf.DUMMYFUNCTION("""COMPUTED_VALUE"""),230.47)</f>
        <v>230.47</v>
      </c>
      <c r="D1058" s="1">
        <f>IFERROR(__xludf.DUMMYFUNCTION("""COMPUTED_VALUE"""),225.77)</f>
        <v>225.77</v>
      </c>
      <c r="E1058" s="1">
        <f>IFERROR(__xludf.DUMMYFUNCTION("""COMPUTED_VALUE"""),226.01)</f>
        <v>226.01</v>
      </c>
      <c r="F1058" s="1">
        <f>IFERROR(__xludf.DUMMYFUNCTION("""COMPUTED_VALUE"""),4.2263865E7)</f>
        <v>42263865</v>
      </c>
    </row>
    <row r="1059">
      <c r="A1059" s="2">
        <f>IFERROR(__xludf.DUMMYFUNCTION("""COMPUTED_VALUE"""),45890.66666666667)</f>
        <v>45890.66667</v>
      </c>
      <c r="B1059" s="1">
        <f>IFERROR(__xludf.DUMMYFUNCTION("""COMPUTED_VALUE"""),226.27)</f>
        <v>226.27</v>
      </c>
      <c r="C1059" s="1">
        <f>IFERROR(__xludf.DUMMYFUNCTION("""COMPUTED_VALUE"""),226.52)</f>
        <v>226.52</v>
      </c>
      <c r="D1059" s="1">
        <f>IFERROR(__xludf.DUMMYFUNCTION("""COMPUTED_VALUE"""),223.78)</f>
        <v>223.78</v>
      </c>
      <c r="E1059" s="1">
        <f>IFERROR(__xludf.DUMMYFUNCTION("""COMPUTED_VALUE"""),224.9)</f>
        <v>224.9</v>
      </c>
      <c r="F1059" s="1">
        <f>IFERROR(__xludf.DUMMYFUNCTION("""COMPUTED_VALUE"""),3.0621249E7)</f>
        <v>30621249</v>
      </c>
    </row>
    <row r="1060">
      <c r="A1060" s="2">
        <f>IFERROR(__xludf.DUMMYFUNCTION("""COMPUTED_VALUE"""),45891.66666666667)</f>
        <v>45891.66667</v>
      </c>
      <c r="B1060" s="1">
        <f>IFERROR(__xludf.DUMMYFUNCTION("""COMPUTED_VALUE"""),226.17)</f>
        <v>226.17</v>
      </c>
      <c r="C1060" s="1">
        <f>IFERROR(__xludf.DUMMYFUNCTION("""COMPUTED_VALUE"""),229.09)</f>
        <v>229.09</v>
      </c>
      <c r="D1060" s="1">
        <f>IFERROR(__xludf.DUMMYFUNCTION("""COMPUTED_VALUE"""),225.41)</f>
        <v>225.41</v>
      </c>
      <c r="E1060" s="1">
        <f>IFERROR(__xludf.DUMMYFUNCTION("""COMPUTED_VALUE"""),227.76)</f>
        <v>227.76</v>
      </c>
      <c r="F1060" s="1">
        <f>IFERROR(__xludf.DUMMYFUNCTION("""COMPUTED_VALUE"""),4.2477811E7)</f>
        <v>42477811</v>
      </c>
    </row>
    <row r="1061">
      <c r="A1061" s="2">
        <f>IFERROR(__xludf.DUMMYFUNCTION("""COMPUTED_VALUE"""),45894.66666666667)</f>
        <v>45894.66667</v>
      </c>
      <c r="B1061" s="1">
        <f>IFERROR(__xludf.DUMMYFUNCTION("""COMPUTED_VALUE"""),226.48)</f>
        <v>226.48</v>
      </c>
      <c r="C1061" s="1">
        <f>IFERROR(__xludf.DUMMYFUNCTION("""COMPUTED_VALUE"""),229.3)</f>
        <v>229.3</v>
      </c>
      <c r="D1061" s="1">
        <f>IFERROR(__xludf.DUMMYFUNCTION("""COMPUTED_VALUE"""),226.23)</f>
        <v>226.23</v>
      </c>
      <c r="E1061" s="1">
        <f>IFERROR(__xludf.DUMMYFUNCTION("""COMPUTED_VALUE"""),227.16)</f>
        <v>227.16</v>
      </c>
      <c r="F1061" s="1">
        <f>IFERROR(__xludf.DUMMYFUNCTION("""COMPUTED_VALUE"""),3.0983133E7)</f>
        <v>30983133</v>
      </c>
    </row>
    <row r="1062">
      <c r="A1062" s="2">
        <f>IFERROR(__xludf.DUMMYFUNCTION("""COMPUTED_VALUE"""),45895.66666666667)</f>
        <v>45895.66667</v>
      </c>
      <c r="B1062" s="1">
        <f>IFERROR(__xludf.DUMMYFUNCTION("""COMPUTED_VALUE"""),226.87)</f>
        <v>226.87</v>
      </c>
      <c r="C1062" s="1">
        <f>IFERROR(__xludf.DUMMYFUNCTION("""COMPUTED_VALUE"""),229.49)</f>
        <v>229.49</v>
      </c>
      <c r="D1062" s="1">
        <f>IFERROR(__xludf.DUMMYFUNCTION("""COMPUTED_VALUE"""),224.69)</f>
        <v>224.69</v>
      </c>
      <c r="E1062" s="1">
        <f>IFERROR(__xludf.DUMMYFUNCTION("""COMPUTED_VALUE"""),229.31)</f>
        <v>229.31</v>
      </c>
      <c r="F1062" s="1">
        <f>IFERROR(__xludf.DUMMYFUNCTION("""COMPUTED_VALUE"""),5.4575107E7)</f>
        <v>54575107</v>
      </c>
    </row>
    <row r="1063">
      <c r="A1063" s="2">
        <f>IFERROR(__xludf.DUMMYFUNCTION("""COMPUTED_VALUE"""),45896.66666666667)</f>
        <v>45896.66667</v>
      </c>
      <c r="B1063" s="1">
        <f>IFERROR(__xludf.DUMMYFUNCTION("""COMPUTED_VALUE"""),228.61)</f>
        <v>228.61</v>
      </c>
      <c r="C1063" s="1">
        <f>IFERROR(__xludf.DUMMYFUNCTION("""COMPUTED_VALUE"""),230.9)</f>
        <v>230.9</v>
      </c>
      <c r="D1063" s="1">
        <f>IFERROR(__xludf.DUMMYFUNCTION("""COMPUTED_VALUE"""),228.26)</f>
        <v>228.26</v>
      </c>
      <c r="E1063" s="1">
        <f>IFERROR(__xludf.DUMMYFUNCTION("""COMPUTED_VALUE"""),230.49)</f>
        <v>230.49</v>
      </c>
      <c r="F1063" s="1">
        <f>IFERROR(__xludf.DUMMYFUNCTION("""COMPUTED_VALUE"""),3.1259513E7)</f>
        <v>31259513</v>
      </c>
    </row>
    <row r="1064">
      <c r="A1064" s="2">
        <f>IFERROR(__xludf.DUMMYFUNCTION("""COMPUTED_VALUE"""),45897.66666666667)</f>
        <v>45897.66667</v>
      </c>
      <c r="B1064" s="1">
        <f>IFERROR(__xludf.DUMMYFUNCTION("""COMPUTED_VALUE"""),230.82)</f>
        <v>230.82</v>
      </c>
      <c r="C1064" s="1">
        <f>IFERROR(__xludf.DUMMYFUNCTION("""COMPUTED_VALUE"""),233.41)</f>
        <v>233.41</v>
      </c>
      <c r="D1064" s="1">
        <f>IFERROR(__xludf.DUMMYFUNCTION("""COMPUTED_VALUE"""),229.34)</f>
        <v>229.34</v>
      </c>
      <c r="E1064" s="1">
        <f>IFERROR(__xludf.DUMMYFUNCTION("""COMPUTED_VALUE"""),232.56)</f>
        <v>232.56</v>
      </c>
      <c r="F1064" s="1">
        <f>IFERROR(__xludf.DUMMYFUNCTION("""COMPUTED_VALUE"""),3.80747E7)</f>
        <v>38074700</v>
      </c>
    </row>
    <row r="1065">
      <c r="A1065" s="2">
        <f>IFERROR(__xludf.DUMMYFUNCTION("""COMPUTED_VALUE"""),45898.66666666667)</f>
        <v>45898.66667</v>
      </c>
      <c r="B1065" s="1">
        <f>IFERROR(__xludf.DUMMYFUNCTION("""COMPUTED_VALUE"""),232.51)</f>
        <v>232.51</v>
      </c>
      <c r="C1065" s="1">
        <f>IFERROR(__xludf.DUMMYFUNCTION("""COMPUTED_VALUE"""),233.38)</f>
        <v>233.38</v>
      </c>
      <c r="D1065" s="1">
        <f>IFERROR(__xludf.DUMMYFUNCTION("""COMPUTED_VALUE"""),231.37)</f>
        <v>231.37</v>
      </c>
      <c r="E1065" s="1">
        <f>IFERROR(__xludf.DUMMYFUNCTION("""COMPUTED_VALUE"""),232.14)</f>
        <v>232.14</v>
      </c>
      <c r="F1065" s="1">
        <f>IFERROR(__xludf.DUMMYFUNCTION("""COMPUTED_VALUE"""),3.9418437E7)</f>
        <v>39418437</v>
      </c>
    </row>
    <row r="1066">
      <c r="A1066" s="2">
        <f>IFERROR(__xludf.DUMMYFUNCTION("""COMPUTED_VALUE"""),45902.66666666667)</f>
        <v>45902.66667</v>
      </c>
      <c r="B1066" s="1">
        <f>IFERROR(__xludf.DUMMYFUNCTION("""COMPUTED_VALUE"""),229.25)</f>
        <v>229.25</v>
      </c>
      <c r="C1066" s="1">
        <f>IFERROR(__xludf.DUMMYFUNCTION("""COMPUTED_VALUE"""),230.85)</f>
        <v>230.85</v>
      </c>
      <c r="D1066" s="1">
        <f>IFERROR(__xludf.DUMMYFUNCTION("""COMPUTED_VALUE"""),226.97)</f>
        <v>226.97</v>
      </c>
      <c r="E1066" s="1">
        <f>IFERROR(__xludf.DUMMYFUNCTION("""COMPUTED_VALUE"""),229.72)</f>
        <v>229.72</v>
      </c>
      <c r="F1066" s="1">
        <f>IFERROR(__xludf.DUMMYFUNCTION("""COMPUTED_VALUE"""),4.4075638E7)</f>
        <v>44075638</v>
      </c>
    </row>
    <row r="1067">
      <c r="A1067" s="2">
        <f>IFERROR(__xludf.DUMMYFUNCTION("""COMPUTED_VALUE"""),45903.66666666667)</f>
        <v>45903.66667</v>
      </c>
      <c r="B1067" s="1">
        <f>IFERROR(__xludf.DUMMYFUNCTION("""COMPUTED_VALUE"""),237.21)</f>
        <v>237.21</v>
      </c>
      <c r="C1067" s="1">
        <f>IFERROR(__xludf.DUMMYFUNCTION("""COMPUTED_VALUE"""),238.85)</f>
        <v>238.85</v>
      </c>
      <c r="D1067" s="1">
        <f>IFERROR(__xludf.DUMMYFUNCTION("""COMPUTED_VALUE"""),234.36)</f>
        <v>234.36</v>
      </c>
      <c r="E1067" s="1">
        <f>IFERROR(__xludf.DUMMYFUNCTION("""COMPUTED_VALUE"""),238.47)</f>
        <v>238.47</v>
      </c>
      <c r="F1067" s="1">
        <f>IFERROR(__xludf.DUMMYFUNCTION("""COMPUTED_VALUE"""),6.6427835E7)</f>
        <v>66427835</v>
      </c>
    </row>
    <row r="1068">
      <c r="A1068" s="2">
        <f>IFERROR(__xludf.DUMMYFUNCTION("""COMPUTED_VALUE"""),45904.66666666667)</f>
        <v>45904.66667</v>
      </c>
      <c r="B1068" s="1">
        <f>IFERROR(__xludf.DUMMYFUNCTION("""COMPUTED_VALUE"""),238.45)</f>
        <v>238.45</v>
      </c>
      <c r="C1068" s="1">
        <f>IFERROR(__xludf.DUMMYFUNCTION("""COMPUTED_VALUE"""),239.9)</f>
        <v>239.9</v>
      </c>
      <c r="D1068" s="1">
        <f>IFERROR(__xludf.DUMMYFUNCTION("""COMPUTED_VALUE"""),236.74)</f>
        <v>236.74</v>
      </c>
      <c r="E1068" s="1">
        <f>IFERROR(__xludf.DUMMYFUNCTION("""COMPUTED_VALUE"""),239.78)</f>
        <v>239.78</v>
      </c>
      <c r="F1068" s="1">
        <f>IFERROR(__xludf.DUMMYFUNCTION("""COMPUTED_VALUE"""),4.7549429E7)</f>
        <v>47549429</v>
      </c>
    </row>
    <row r="1069">
      <c r="A1069" s="2">
        <f>IFERROR(__xludf.DUMMYFUNCTION("""COMPUTED_VALUE"""),45905.66666666667)</f>
        <v>45905.66667</v>
      </c>
      <c r="B1069" s="1">
        <f>IFERROR(__xludf.DUMMYFUNCTION("""COMPUTED_VALUE"""),240.0)</f>
        <v>240</v>
      </c>
      <c r="C1069" s="1">
        <f>IFERROR(__xludf.DUMMYFUNCTION("""COMPUTED_VALUE"""),241.32)</f>
        <v>241.32</v>
      </c>
      <c r="D1069" s="1">
        <f>IFERROR(__xludf.DUMMYFUNCTION("""COMPUTED_VALUE"""),238.49)</f>
        <v>238.49</v>
      </c>
      <c r="E1069" s="1">
        <f>IFERROR(__xludf.DUMMYFUNCTION("""COMPUTED_VALUE"""),239.69)</f>
        <v>239.69</v>
      </c>
      <c r="F1069" s="1">
        <f>IFERROR(__xludf.DUMMYFUNCTION("""COMPUTED_VALUE"""),5.4870397E7)</f>
        <v>54870397</v>
      </c>
    </row>
    <row r="1070">
      <c r="A1070" s="2">
        <f>IFERROR(__xludf.DUMMYFUNCTION("""COMPUTED_VALUE"""),45908.66666666667)</f>
        <v>45908.66667</v>
      </c>
      <c r="B1070" s="1">
        <f>IFERROR(__xludf.DUMMYFUNCTION("""COMPUTED_VALUE"""),239.3)</f>
        <v>239.3</v>
      </c>
      <c r="C1070" s="1">
        <f>IFERROR(__xludf.DUMMYFUNCTION("""COMPUTED_VALUE"""),240.15)</f>
        <v>240.15</v>
      </c>
      <c r="D1070" s="1">
        <f>IFERROR(__xludf.DUMMYFUNCTION("""COMPUTED_VALUE"""),236.34)</f>
        <v>236.34</v>
      </c>
      <c r="E1070" s="1">
        <f>IFERROR(__xludf.DUMMYFUNCTION("""COMPUTED_VALUE"""),237.88)</f>
        <v>237.88</v>
      </c>
      <c r="F1070" s="1">
        <f>IFERROR(__xludf.DUMMYFUNCTION("""COMPUTED_VALUE"""),4.8999495E7)</f>
        <v>48999495</v>
      </c>
    </row>
    <row r="1071">
      <c r="A1071" s="2">
        <f>IFERROR(__xludf.DUMMYFUNCTION("""COMPUTED_VALUE"""),45909.66666666667)</f>
        <v>45909.66667</v>
      </c>
      <c r="B1071" s="1">
        <f>IFERROR(__xludf.DUMMYFUNCTION("""COMPUTED_VALUE"""),237.0)</f>
        <v>237</v>
      </c>
      <c r="C1071" s="1">
        <f>IFERROR(__xludf.DUMMYFUNCTION("""COMPUTED_VALUE"""),238.78)</f>
        <v>238.78</v>
      </c>
      <c r="D1071" s="1">
        <f>IFERROR(__xludf.DUMMYFUNCTION("""COMPUTED_VALUE"""),233.36)</f>
        <v>233.36</v>
      </c>
      <c r="E1071" s="1">
        <f>IFERROR(__xludf.DUMMYFUNCTION("""COMPUTED_VALUE"""),234.35)</f>
        <v>234.35</v>
      </c>
      <c r="F1071" s="1">
        <f>IFERROR(__xludf.DUMMYFUNCTION("""COMPUTED_VALUE"""),6.6313918E7)</f>
        <v>66313918</v>
      </c>
    </row>
    <row r="1072">
      <c r="A1072" s="2">
        <f>IFERROR(__xludf.DUMMYFUNCTION("""COMPUTED_VALUE"""),45910.66666666667)</f>
        <v>45910.66667</v>
      </c>
      <c r="B1072" s="1">
        <f>IFERROR(__xludf.DUMMYFUNCTION("""COMPUTED_VALUE"""),232.19)</f>
        <v>232.19</v>
      </c>
      <c r="C1072" s="1">
        <f>IFERROR(__xludf.DUMMYFUNCTION("""COMPUTED_VALUE"""),232.42)</f>
        <v>232.42</v>
      </c>
      <c r="D1072" s="1">
        <f>IFERROR(__xludf.DUMMYFUNCTION("""COMPUTED_VALUE"""),225.95)</f>
        <v>225.95</v>
      </c>
      <c r="E1072" s="1">
        <f>IFERROR(__xludf.DUMMYFUNCTION("""COMPUTED_VALUE"""),226.79)</f>
        <v>226.79</v>
      </c>
      <c r="F1072" s="1">
        <f>IFERROR(__xludf.DUMMYFUNCTION("""COMPUTED_VALUE"""),8.344081E7)</f>
        <v>83440810</v>
      </c>
    </row>
    <row r="1073">
      <c r="A1073" s="2">
        <f>IFERROR(__xludf.DUMMYFUNCTION("""COMPUTED_VALUE"""),45911.66666666667)</f>
        <v>45911.66667</v>
      </c>
      <c r="B1073" s="1">
        <f>IFERROR(__xludf.DUMMYFUNCTION("""COMPUTED_VALUE"""),226.88)</f>
        <v>226.88</v>
      </c>
      <c r="C1073" s="1">
        <f>IFERROR(__xludf.DUMMYFUNCTION("""COMPUTED_VALUE"""),230.45)</f>
        <v>230.45</v>
      </c>
      <c r="D1073" s="1">
        <f>IFERROR(__xludf.DUMMYFUNCTION("""COMPUTED_VALUE"""),226.65)</f>
        <v>226.65</v>
      </c>
      <c r="E1073" s="1">
        <f>IFERROR(__xludf.DUMMYFUNCTION("""COMPUTED_VALUE"""),230.03)</f>
        <v>230.03</v>
      </c>
      <c r="F1073" s="1">
        <f>IFERROR(__xludf.DUMMYFUNCTION("""COMPUTED_VALUE"""),5.0208578E7)</f>
        <v>50208578</v>
      </c>
    </row>
    <row r="1074">
      <c r="A1074" s="2">
        <f>IFERROR(__xludf.DUMMYFUNCTION("""COMPUTED_VALUE"""),45912.66666666667)</f>
        <v>45912.66667</v>
      </c>
      <c r="B1074" s="1">
        <f>IFERROR(__xludf.DUMMYFUNCTION("""COMPUTED_VALUE"""),229.22)</f>
        <v>229.22</v>
      </c>
      <c r="C1074" s="1">
        <f>IFERROR(__xludf.DUMMYFUNCTION("""COMPUTED_VALUE"""),234.51)</f>
        <v>234.51</v>
      </c>
      <c r="D1074" s="1">
        <f>IFERROR(__xludf.DUMMYFUNCTION("""COMPUTED_VALUE"""),229.02)</f>
        <v>229.02</v>
      </c>
      <c r="E1074" s="1">
        <f>IFERROR(__xludf.DUMMYFUNCTION("""COMPUTED_VALUE"""),234.07)</f>
        <v>234.07</v>
      </c>
      <c r="F1074" s="1">
        <f>IFERROR(__xludf.DUMMYFUNCTION("""COMPUTED_VALUE"""),5.5824216E7)</f>
        <v>55824216</v>
      </c>
    </row>
    <row r="1075">
      <c r="A1075" s="2">
        <f>IFERROR(__xludf.DUMMYFUNCTION("""COMPUTED_VALUE"""),45915.66666666667)</f>
        <v>45915.66667</v>
      </c>
      <c r="B1075" s="1">
        <f>IFERROR(__xludf.DUMMYFUNCTION("""COMPUTED_VALUE"""),237.0)</f>
        <v>237</v>
      </c>
      <c r="C1075" s="1">
        <f>IFERROR(__xludf.DUMMYFUNCTION("""COMPUTED_VALUE"""),238.19)</f>
        <v>238.19</v>
      </c>
      <c r="D1075" s="1">
        <f>IFERROR(__xludf.DUMMYFUNCTION("""COMPUTED_VALUE"""),235.03)</f>
        <v>235.03</v>
      </c>
      <c r="E1075" s="1">
        <f>IFERROR(__xludf.DUMMYFUNCTION("""COMPUTED_VALUE"""),236.7)</f>
        <v>236.7</v>
      </c>
      <c r="F1075" s="1">
        <f>IFERROR(__xludf.DUMMYFUNCTION("""COMPUTED_VALUE"""),4.2699524E7)</f>
        <v>42699524</v>
      </c>
    </row>
    <row r="1076">
      <c r="A1076" s="2">
        <f>IFERROR(__xludf.DUMMYFUNCTION("""COMPUTED_VALUE"""),45916.66666666667)</f>
        <v>45916.66667</v>
      </c>
      <c r="B1076" s="1">
        <f>IFERROR(__xludf.DUMMYFUNCTION("""COMPUTED_VALUE"""),237.18)</f>
        <v>237.18</v>
      </c>
      <c r="C1076" s="1">
        <f>IFERROR(__xludf.DUMMYFUNCTION("""COMPUTED_VALUE"""),241.22)</f>
        <v>241.22</v>
      </c>
      <c r="D1076" s="1">
        <f>IFERROR(__xludf.DUMMYFUNCTION("""COMPUTED_VALUE"""),236.32)</f>
        <v>236.32</v>
      </c>
      <c r="E1076" s="1">
        <f>IFERROR(__xludf.DUMMYFUNCTION("""COMPUTED_VALUE"""),238.15)</f>
        <v>238.15</v>
      </c>
      <c r="F1076" s="1">
        <f>IFERROR(__xludf.DUMMYFUNCTION("""COMPUTED_VALUE"""),6.3421099E7)</f>
        <v>63421099</v>
      </c>
    </row>
    <row r="1077">
      <c r="A1077" s="2">
        <f>IFERROR(__xludf.DUMMYFUNCTION("""COMPUTED_VALUE"""),45917.66666666667)</f>
        <v>45917.66667</v>
      </c>
      <c r="B1077" s="1">
        <f>IFERROR(__xludf.DUMMYFUNCTION("""COMPUTED_VALUE"""),238.97)</f>
        <v>238.97</v>
      </c>
      <c r="C1077" s="1">
        <f>IFERROR(__xludf.DUMMYFUNCTION("""COMPUTED_VALUE"""),240.1)</f>
        <v>240.1</v>
      </c>
      <c r="D1077" s="1">
        <f>IFERROR(__xludf.DUMMYFUNCTION("""COMPUTED_VALUE"""),237.73)</f>
        <v>237.73</v>
      </c>
      <c r="E1077" s="1">
        <f>IFERROR(__xludf.DUMMYFUNCTION("""COMPUTED_VALUE"""),238.99)</f>
        <v>238.99</v>
      </c>
      <c r="F1077" s="1">
        <f>IFERROR(__xludf.DUMMYFUNCTION("""COMPUTED_VALUE"""),4.6508017E7)</f>
        <v>46508017</v>
      </c>
    </row>
    <row r="1078">
      <c r="A1078" s="2">
        <f>IFERROR(__xludf.DUMMYFUNCTION("""COMPUTED_VALUE"""),45918.66666666667)</f>
        <v>45918.66667</v>
      </c>
      <c r="B1078" s="1">
        <f>IFERROR(__xludf.DUMMYFUNCTION("""COMPUTED_VALUE"""),239.97)</f>
        <v>239.97</v>
      </c>
      <c r="C1078" s="1">
        <f>IFERROR(__xludf.DUMMYFUNCTION("""COMPUTED_VALUE"""),241.2)</f>
        <v>241.2</v>
      </c>
      <c r="D1078" s="1">
        <f>IFERROR(__xludf.DUMMYFUNCTION("""COMPUTED_VALUE"""),236.65)</f>
        <v>236.65</v>
      </c>
      <c r="E1078" s="1">
        <f>IFERROR(__xludf.DUMMYFUNCTION("""COMPUTED_VALUE"""),237.88)</f>
        <v>237.88</v>
      </c>
      <c r="F1078" s="1">
        <f>IFERROR(__xludf.DUMMYFUNCTION("""COMPUTED_VALUE"""),4.4249576E7)</f>
        <v>44249576</v>
      </c>
    </row>
    <row r="1079">
      <c r="A1079" s="2">
        <f>IFERROR(__xludf.DUMMYFUNCTION("""COMPUTED_VALUE"""),45919.66666666667)</f>
        <v>45919.66667</v>
      </c>
      <c r="B1079" s="1">
        <f>IFERROR(__xludf.DUMMYFUNCTION("""COMPUTED_VALUE"""),241.23)</f>
        <v>241.23</v>
      </c>
      <c r="C1079" s="1">
        <f>IFERROR(__xludf.DUMMYFUNCTION("""COMPUTED_VALUE"""),246.3)</f>
        <v>246.3</v>
      </c>
      <c r="D1079" s="1">
        <f>IFERROR(__xludf.DUMMYFUNCTION("""COMPUTED_VALUE"""),240.21)</f>
        <v>240.21</v>
      </c>
      <c r="E1079" s="1">
        <f>IFERROR(__xludf.DUMMYFUNCTION("""COMPUTED_VALUE"""),245.5)</f>
        <v>245.5</v>
      </c>
      <c r="F1079" s="1">
        <f>IFERROR(__xludf.DUMMYFUNCTION("""COMPUTED_VALUE"""),1.63741314E8)</f>
        <v>163741314</v>
      </c>
    </row>
    <row r="1080">
      <c r="A1080" s="2">
        <f>IFERROR(__xludf.DUMMYFUNCTION("""COMPUTED_VALUE"""),45922.66666666667)</f>
        <v>45922.66667</v>
      </c>
      <c r="B1080" s="1">
        <f>IFERROR(__xludf.DUMMYFUNCTION("""COMPUTED_VALUE"""),248.3)</f>
        <v>248.3</v>
      </c>
      <c r="C1080" s="1">
        <f>IFERROR(__xludf.DUMMYFUNCTION("""COMPUTED_VALUE"""),256.64)</f>
        <v>256.64</v>
      </c>
      <c r="D1080" s="1">
        <f>IFERROR(__xludf.DUMMYFUNCTION("""COMPUTED_VALUE"""),248.12)</f>
        <v>248.12</v>
      </c>
      <c r="E1080" s="1">
        <f>IFERROR(__xludf.DUMMYFUNCTION("""COMPUTED_VALUE"""),256.08)</f>
        <v>256.08</v>
      </c>
      <c r="F1080" s="1">
        <f>IFERROR(__xludf.DUMMYFUNCTION("""COMPUTED_VALUE"""),1.05517416E8)</f>
        <v>105517416</v>
      </c>
    </row>
    <row r="1081">
      <c r="A1081" s="2">
        <f>IFERROR(__xludf.DUMMYFUNCTION("""COMPUTED_VALUE"""),45923.66666666667)</f>
        <v>45923.66667</v>
      </c>
      <c r="B1081" s="1">
        <f>IFERROR(__xludf.DUMMYFUNCTION("""COMPUTED_VALUE"""),255.88)</f>
        <v>255.88</v>
      </c>
      <c r="C1081" s="1">
        <f>IFERROR(__xludf.DUMMYFUNCTION("""COMPUTED_VALUE"""),257.34)</f>
        <v>257.34</v>
      </c>
      <c r="D1081" s="1">
        <f>IFERROR(__xludf.DUMMYFUNCTION("""COMPUTED_VALUE"""),253.58)</f>
        <v>253.58</v>
      </c>
      <c r="E1081" s="1">
        <f>IFERROR(__xludf.DUMMYFUNCTION("""COMPUTED_VALUE"""),254.43)</f>
        <v>254.43</v>
      </c>
      <c r="F1081" s="1">
        <f>IFERROR(__xludf.DUMMYFUNCTION("""COMPUTED_VALUE"""),6.0275187E7)</f>
        <v>60275187</v>
      </c>
    </row>
    <row r="1082">
      <c r="A1082" s="2">
        <f>IFERROR(__xludf.DUMMYFUNCTION("""COMPUTED_VALUE"""),45924.66666666667)</f>
        <v>45924.66667</v>
      </c>
      <c r="B1082" s="1">
        <f>IFERROR(__xludf.DUMMYFUNCTION("""COMPUTED_VALUE"""),255.22)</f>
        <v>255.22</v>
      </c>
      <c r="C1082" s="1">
        <f>IFERROR(__xludf.DUMMYFUNCTION("""COMPUTED_VALUE"""),255.74)</f>
        <v>255.74</v>
      </c>
      <c r="D1082" s="1">
        <f>IFERROR(__xludf.DUMMYFUNCTION("""COMPUTED_VALUE"""),251.04)</f>
        <v>251.04</v>
      </c>
      <c r="E1082" s="1">
        <f>IFERROR(__xludf.DUMMYFUNCTION("""COMPUTED_VALUE"""),252.31)</f>
        <v>252.31</v>
      </c>
      <c r="F1082" s="1">
        <f>IFERROR(__xludf.DUMMYFUNCTION("""COMPUTED_VALUE"""),4.230371E7)</f>
        <v>42303710</v>
      </c>
    </row>
    <row r="1083">
      <c r="A1083" s="2">
        <f>IFERROR(__xludf.DUMMYFUNCTION("""COMPUTED_VALUE"""),45925.66666666667)</f>
        <v>45925.66667</v>
      </c>
      <c r="B1083" s="1">
        <f>IFERROR(__xludf.DUMMYFUNCTION("""COMPUTED_VALUE"""),253.21)</f>
        <v>253.21</v>
      </c>
      <c r="C1083" s="1">
        <f>IFERROR(__xludf.DUMMYFUNCTION("""COMPUTED_VALUE"""),257.17)</f>
        <v>257.17</v>
      </c>
      <c r="D1083" s="1">
        <f>IFERROR(__xludf.DUMMYFUNCTION("""COMPUTED_VALUE"""),251.71)</f>
        <v>251.71</v>
      </c>
      <c r="E1083" s="1">
        <f>IFERROR(__xludf.DUMMYFUNCTION("""COMPUTED_VALUE"""),256.87)</f>
        <v>256.87</v>
      </c>
      <c r="F1083" s="1">
        <f>IFERROR(__xludf.DUMMYFUNCTION("""COMPUTED_VALUE"""),5.5202075E7)</f>
        <v>55202075</v>
      </c>
    </row>
    <row r="1084">
      <c r="A1084" s="2">
        <f>IFERROR(__xludf.DUMMYFUNCTION("""COMPUTED_VALUE"""),45926.66666666667)</f>
        <v>45926.66667</v>
      </c>
      <c r="B1084" s="1">
        <f>IFERROR(__xludf.DUMMYFUNCTION("""COMPUTED_VALUE"""),254.1)</f>
        <v>254.1</v>
      </c>
      <c r="C1084" s="1">
        <f>IFERROR(__xludf.DUMMYFUNCTION("""COMPUTED_VALUE"""),257.6)</f>
        <v>257.6</v>
      </c>
      <c r="D1084" s="1">
        <f>IFERROR(__xludf.DUMMYFUNCTION("""COMPUTED_VALUE"""),253.78)</f>
        <v>253.78</v>
      </c>
      <c r="E1084" s="1">
        <f>IFERROR(__xludf.DUMMYFUNCTION("""COMPUTED_VALUE"""),255.46)</f>
        <v>255.46</v>
      </c>
      <c r="F1084" s="1">
        <f>IFERROR(__xludf.DUMMYFUNCTION("""COMPUTED_VALUE"""),4.6076258E7)</f>
        <v>46076258</v>
      </c>
    </row>
    <row r="1085">
      <c r="A1085" s="2">
        <f>IFERROR(__xludf.DUMMYFUNCTION("""COMPUTED_VALUE"""),45929.66666666667)</f>
        <v>45929.66667</v>
      </c>
      <c r="B1085" s="1">
        <f>IFERROR(__xludf.DUMMYFUNCTION("""COMPUTED_VALUE"""),254.56)</f>
        <v>254.56</v>
      </c>
      <c r="C1085" s="1">
        <f>IFERROR(__xludf.DUMMYFUNCTION("""COMPUTED_VALUE"""),255.0)</f>
        <v>255</v>
      </c>
      <c r="D1085" s="1">
        <f>IFERROR(__xludf.DUMMYFUNCTION("""COMPUTED_VALUE"""),253.01)</f>
        <v>253.01</v>
      </c>
      <c r="E1085" s="1">
        <f>IFERROR(__xludf.DUMMYFUNCTION("""COMPUTED_VALUE"""),254.43)</f>
        <v>254.43</v>
      </c>
      <c r="F1085" s="1">
        <f>IFERROR(__xludf.DUMMYFUNCTION("""COMPUTED_VALUE"""),4.0127687E7)</f>
        <v>40127687</v>
      </c>
    </row>
    <row r="1086">
      <c r="A1086" s="2">
        <f>IFERROR(__xludf.DUMMYFUNCTION("""COMPUTED_VALUE"""),45930.66666666667)</f>
        <v>45930.66667</v>
      </c>
      <c r="B1086" s="1">
        <f>IFERROR(__xludf.DUMMYFUNCTION("""COMPUTED_VALUE"""),254.86)</f>
        <v>254.86</v>
      </c>
      <c r="C1086" s="1">
        <f>IFERROR(__xludf.DUMMYFUNCTION("""COMPUTED_VALUE"""),255.92)</f>
        <v>255.92</v>
      </c>
      <c r="D1086" s="1">
        <f>IFERROR(__xludf.DUMMYFUNCTION("""COMPUTED_VALUE"""),253.11)</f>
        <v>253.11</v>
      </c>
      <c r="E1086" s="1">
        <f>IFERROR(__xludf.DUMMYFUNCTION("""COMPUTED_VALUE"""),254.63)</f>
        <v>254.63</v>
      </c>
      <c r="F1086" s="1">
        <f>IFERROR(__xludf.DUMMYFUNCTION("""COMPUTED_VALUE"""),3.7704259E7)</f>
        <v>37704259</v>
      </c>
    </row>
    <row r="1087">
      <c r="A1087" s="2">
        <f>IFERROR(__xludf.DUMMYFUNCTION("""COMPUTED_VALUE"""),45931.66666666667)</f>
        <v>45931.66667</v>
      </c>
      <c r="B1087" s="1">
        <f>IFERROR(__xludf.DUMMYFUNCTION("""COMPUTED_VALUE"""),255.04)</f>
        <v>255.04</v>
      </c>
      <c r="C1087" s="1">
        <f>IFERROR(__xludf.DUMMYFUNCTION("""COMPUTED_VALUE"""),258.79)</f>
        <v>258.79</v>
      </c>
      <c r="D1087" s="1">
        <f>IFERROR(__xludf.DUMMYFUNCTION("""COMPUTED_VALUE"""),254.93)</f>
        <v>254.93</v>
      </c>
      <c r="E1087" s="1">
        <f>IFERROR(__xludf.DUMMYFUNCTION("""COMPUTED_VALUE"""),255.45)</f>
        <v>255.45</v>
      </c>
      <c r="F1087" s="1">
        <f>IFERROR(__xludf.DUMMYFUNCTION("""COMPUTED_VALUE"""),4.871394E7)</f>
        <v>48713940</v>
      </c>
    </row>
    <row r="1088">
      <c r="A1088" s="2">
        <f>IFERROR(__xludf.DUMMYFUNCTION("""COMPUTED_VALUE"""),45932.66666666667)</f>
        <v>45932.66667</v>
      </c>
      <c r="B1088" s="1">
        <f>IFERROR(__xludf.DUMMYFUNCTION("""COMPUTED_VALUE"""),256.58)</f>
        <v>256.58</v>
      </c>
      <c r="C1088" s="1">
        <f>IFERROR(__xludf.DUMMYFUNCTION("""COMPUTED_VALUE"""),258.18)</f>
        <v>258.18</v>
      </c>
      <c r="D1088" s="1">
        <f>IFERROR(__xludf.DUMMYFUNCTION("""COMPUTED_VALUE"""),254.15)</f>
        <v>254.15</v>
      </c>
      <c r="E1088" s="1">
        <f>IFERROR(__xludf.DUMMYFUNCTION("""COMPUTED_VALUE"""),257.13)</f>
        <v>257.13</v>
      </c>
      <c r="F1088" s="1">
        <f>IFERROR(__xludf.DUMMYFUNCTION("""COMPUTED_VALUE"""),4.2630239E7)</f>
        <v>42630239</v>
      </c>
    </row>
    <row r="1089">
      <c r="A1089" s="2">
        <f>IFERROR(__xludf.DUMMYFUNCTION("""COMPUTED_VALUE"""),45933.66666666667)</f>
        <v>45933.66667</v>
      </c>
      <c r="B1089" s="1">
        <f>IFERROR(__xludf.DUMMYFUNCTION("""COMPUTED_VALUE"""),254.67)</f>
        <v>254.67</v>
      </c>
      <c r="C1089" s="1">
        <f>IFERROR(__xludf.DUMMYFUNCTION("""COMPUTED_VALUE"""),259.24)</f>
        <v>259.24</v>
      </c>
      <c r="D1089" s="1">
        <f>IFERROR(__xludf.DUMMYFUNCTION("""COMPUTED_VALUE"""),253.95)</f>
        <v>253.95</v>
      </c>
      <c r="E1089" s="1">
        <f>IFERROR(__xludf.DUMMYFUNCTION("""COMPUTED_VALUE"""),258.02)</f>
        <v>258.02</v>
      </c>
      <c r="F1089" s="1">
        <f>IFERROR(__xludf.DUMMYFUNCTION("""COMPUTED_VALUE"""),4.9155614E7)</f>
        <v>49155614</v>
      </c>
    </row>
    <row r="1090">
      <c r="A1090" s="2">
        <f>IFERROR(__xludf.DUMMYFUNCTION("""COMPUTED_VALUE"""),45936.66666666667)</f>
        <v>45936.66667</v>
      </c>
      <c r="B1090" s="1">
        <f>IFERROR(__xludf.DUMMYFUNCTION("""COMPUTED_VALUE"""),257.99)</f>
        <v>257.99</v>
      </c>
      <c r="C1090" s="1">
        <f>IFERROR(__xludf.DUMMYFUNCTION("""COMPUTED_VALUE"""),259.07)</f>
        <v>259.07</v>
      </c>
      <c r="D1090" s="1">
        <f>IFERROR(__xludf.DUMMYFUNCTION("""COMPUTED_VALUE"""),255.05)</f>
        <v>255.05</v>
      </c>
      <c r="E1090" s="1">
        <f>IFERROR(__xludf.DUMMYFUNCTION("""COMPUTED_VALUE"""),256.69)</f>
        <v>256.69</v>
      </c>
      <c r="F1090" s="1">
        <f>IFERROR(__xludf.DUMMYFUNCTION("""COMPUTED_VALUE"""),4.4664118E7)</f>
        <v>44664118</v>
      </c>
    </row>
    <row r="1091">
      <c r="A1091" s="2">
        <f>IFERROR(__xludf.DUMMYFUNCTION("""COMPUTED_VALUE"""),45937.66666666667)</f>
        <v>45937.66667</v>
      </c>
      <c r="B1091" s="1">
        <f>IFERROR(__xludf.DUMMYFUNCTION("""COMPUTED_VALUE"""),256.81)</f>
        <v>256.81</v>
      </c>
      <c r="C1091" s="1">
        <f>IFERROR(__xludf.DUMMYFUNCTION("""COMPUTED_VALUE"""),257.4)</f>
        <v>257.4</v>
      </c>
      <c r="D1091" s="1">
        <f>IFERROR(__xludf.DUMMYFUNCTION("""COMPUTED_VALUE"""),255.43)</f>
        <v>255.43</v>
      </c>
      <c r="E1091" s="1">
        <f>IFERROR(__xludf.DUMMYFUNCTION("""COMPUTED_VALUE"""),256.48)</f>
        <v>256.48</v>
      </c>
      <c r="F1091" s="1">
        <f>IFERROR(__xludf.DUMMYFUNCTION("""COMPUTED_VALUE"""),3.1955776E7)</f>
        <v>31955776</v>
      </c>
    </row>
    <row r="1092">
      <c r="A1092" s="2">
        <f>IFERROR(__xludf.DUMMYFUNCTION("""COMPUTED_VALUE"""),45938.66666666667)</f>
        <v>45938.66667</v>
      </c>
      <c r="B1092" s="1">
        <f>IFERROR(__xludf.DUMMYFUNCTION("""COMPUTED_VALUE"""),256.52)</f>
        <v>256.52</v>
      </c>
      <c r="C1092" s="1">
        <f>IFERROR(__xludf.DUMMYFUNCTION("""COMPUTED_VALUE"""),258.52)</f>
        <v>258.52</v>
      </c>
      <c r="D1092" s="1">
        <f>IFERROR(__xludf.DUMMYFUNCTION("""COMPUTED_VALUE"""),256.11)</f>
        <v>256.11</v>
      </c>
      <c r="E1092" s="1">
        <f>IFERROR(__xludf.DUMMYFUNCTION("""COMPUTED_VALUE"""),258.06)</f>
        <v>258.06</v>
      </c>
      <c r="F1092" s="1">
        <f>IFERROR(__xludf.DUMMYFUNCTION("""COMPUTED_VALUE"""),3.6496895E7)</f>
        <v>36496895</v>
      </c>
    </row>
    <row r="1093">
      <c r="A1093" s="2">
        <f>IFERROR(__xludf.DUMMYFUNCTION("""COMPUTED_VALUE"""),45939.66666666667)</f>
        <v>45939.66667</v>
      </c>
      <c r="B1093" s="1">
        <f>IFERROR(__xludf.DUMMYFUNCTION("""COMPUTED_VALUE"""),257.81)</f>
        <v>257.81</v>
      </c>
      <c r="C1093" s="1">
        <f>IFERROR(__xludf.DUMMYFUNCTION("""COMPUTED_VALUE"""),258.0)</f>
        <v>258</v>
      </c>
      <c r="D1093" s="1">
        <f>IFERROR(__xludf.DUMMYFUNCTION("""COMPUTED_VALUE"""),253.14)</f>
        <v>253.14</v>
      </c>
      <c r="E1093" s="1">
        <f>IFERROR(__xludf.DUMMYFUNCTION("""COMPUTED_VALUE"""),254.04)</f>
        <v>254.04</v>
      </c>
      <c r="F1093" s="1">
        <f>IFERROR(__xludf.DUMMYFUNCTION("""COMPUTED_VALUE"""),3.8322012E7)</f>
        <v>38322012</v>
      </c>
    </row>
    <row r="1094">
      <c r="A1094" s="2">
        <f>IFERROR(__xludf.DUMMYFUNCTION("""COMPUTED_VALUE"""),45940.66666666667)</f>
        <v>45940.66667</v>
      </c>
      <c r="B1094" s="1">
        <f>IFERROR(__xludf.DUMMYFUNCTION("""COMPUTED_VALUE"""),254.94)</f>
        <v>254.94</v>
      </c>
      <c r="C1094" s="1">
        <f>IFERROR(__xludf.DUMMYFUNCTION("""COMPUTED_VALUE"""),256.38)</f>
        <v>256.38</v>
      </c>
      <c r="D1094" s="1">
        <f>IFERROR(__xludf.DUMMYFUNCTION("""COMPUTED_VALUE"""),244.0)</f>
        <v>244</v>
      </c>
      <c r="E1094" s="1">
        <f>IFERROR(__xludf.DUMMYFUNCTION("""COMPUTED_VALUE"""),245.27)</f>
        <v>245.27</v>
      </c>
      <c r="F1094" s="1">
        <f>IFERROR(__xludf.DUMMYFUNCTION("""COMPUTED_VALUE"""),6.1999098E7)</f>
        <v>61999098</v>
      </c>
    </row>
    <row r="1095">
      <c r="A1095" s="2">
        <f>IFERROR(__xludf.DUMMYFUNCTION("""COMPUTED_VALUE"""),45943.66666666667)</f>
        <v>45943.66667</v>
      </c>
      <c r="B1095" s="1">
        <f>IFERROR(__xludf.DUMMYFUNCTION("""COMPUTED_VALUE"""),249.38)</f>
        <v>249.38</v>
      </c>
      <c r="C1095" s="1">
        <f>IFERROR(__xludf.DUMMYFUNCTION("""COMPUTED_VALUE"""),249.69)</f>
        <v>249.69</v>
      </c>
      <c r="D1095" s="1">
        <f>IFERROR(__xludf.DUMMYFUNCTION("""COMPUTED_VALUE"""),245.56)</f>
        <v>245.56</v>
      </c>
      <c r="E1095" s="1">
        <f>IFERROR(__xludf.DUMMYFUNCTION("""COMPUTED_VALUE"""),247.66)</f>
        <v>247.66</v>
      </c>
      <c r="F1095" s="1">
        <f>IFERROR(__xludf.DUMMYFUNCTION("""COMPUTED_VALUE"""),3.8142942E7)</f>
        <v>38142942</v>
      </c>
    </row>
    <row r="1096">
      <c r="A1096" s="2">
        <f>IFERROR(__xludf.DUMMYFUNCTION("""COMPUTED_VALUE"""),45944.66666666667)</f>
        <v>45944.66667</v>
      </c>
      <c r="B1096" s="1">
        <f>IFERROR(__xludf.DUMMYFUNCTION("""COMPUTED_VALUE"""),246.6)</f>
        <v>246.6</v>
      </c>
      <c r="C1096" s="1">
        <f>IFERROR(__xludf.DUMMYFUNCTION("""COMPUTED_VALUE"""),248.85)</f>
        <v>248.85</v>
      </c>
      <c r="D1096" s="1">
        <f>IFERROR(__xludf.DUMMYFUNCTION("""COMPUTED_VALUE"""),244.7)</f>
        <v>244.7</v>
      </c>
      <c r="E1096" s="1">
        <f>IFERROR(__xludf.DUMMYFUNCTION("""COMPUTED_VALUE"""),247.77)</f>
        <v>247.77</v>
      </c>
      <c r="F1096" s="1">
        <f>IFERROR(__xludf.DUMMYFUNCTION("""COMPUTED_VALUE"""),3.5477986E7)</f>
        <v>35477986</v>
      </c>
    </row>
    <row r="1097">
      <c r="A1097" s="2">
        <f>IFERROR(__xludf.DUMMYFUNCTION("""COMPUTED_VALUE"""),45945.66666666667)</f>
        <v>45945.66667</v>
      </c>
      <c r="B1097" s="1">
        <f>IFERROR(__xludf.DUMMYFUNCTION("""COMPUTED_VALUE"""),249.49)</f>
        <v>249.49</v>
      </c>
      <c r="C1097" s="1">
        <f>IFERROR(__xludf.DUMMYFUNCTION("""COMPUTED_VALUE"""),251.82)</f>
        <v>251.82</v>
      </c>
      <c r="D1097" s="1">
        <f>IFERROR(__xludf.DUMMYFUNCTION("""COMPUTED_VALUE"""),247.47)</f>
        <v>247.47</v>
      </c>
      <c r="E1097" s="1">
        <f>IFERROR(__xludf.DUMMYFUNCTION("""COMPUTED_VALUE"""),249.34)</f>
        <v>249.34</v>
      </c>
      <c r="F1097" s="1">
        <f>IFERROR(__xludf.DUMMYFUNCTION("""COMPUTED_VALUE"""),3.3893611E7)</f>
        <v>33893611</v>
      </c>
    </row>
    <row r="1098">
      <c r="A1098" s="2">
        <f>IFERROR(__xludf.DUMMYFUNCTION("""COMPUTED_VALUE"""),45946.66666666667)</f>
        <v>45946.66667</v>
      </c>
      <c r="B1098" s="1">
        <f>IFERROR(__xludf.DUMMYFUNCTION("""COMPUTED_VALUE"""),248.25)</f>
        <v>248.25</v>
      </c>
      <c r="C1098" s="1">
        <f>IFERROR(__xludf.DUMMYFUNCTION("""COMPUTED_VALUE"""),249.04)</f>
        <v>249.04</v>
      </c>
      <c r="D1098" s="1">
        <f>IFERROR(__xludf.DUMMYFUNCTION("""COMPUTED_VALUE"""),245.13)</f>
        <v>245.13</v>
      </c>
      <c r="E1098" s="1">
        <f>IFERROR(__xludf.DUMMYFUNCTION("""COMPUTED_VALUE"""),247.45)</f>
        <v>247.45</v>
      </c>
      <c r="F1098" s="1">
        <f>IFERROR(__xludf.DUMMYFUNCTION("""COMPUTED_VALUE"""),3.9776974E7)</f>
        <v>39776974</v>
      </c>
    </row>
    <row r="1099">
      <c r="A1099" s="2">
        <f>IFERROR(__xludf.DUMMYFUNCTION("""COMPUTED_VALUE"""),45947.66666666667)</f>
        <v>45947.66667</v>
      </c>
      <c r="B1099" s="1">
        <f>IFERROR(__xludf.DUMMYFUNCTION("""COMPUTED_VALUE"""),248.02)</f>
        <v>248.02</v>
      </c>
      <c r="C1099" s="1">
        <f>IFERROR(__xludf.DUMMYFUNCTION("""COMPUTED_VALUE"""),253.38)</f>
        <v>253.38</v>
      </c>
      <c r="D1099" s="1">
        <f>IFERROR(__xludf.DUMMYFUNCTION("""COMPUTED_VALUE"""),247.27)</f>
        <v>247.27</v>
      </c>
      <c r="E1099" s="1">
        <f>IFERROR(__xludf.DUMMYFUNCTION("""COMPUTED_VALUE"""),252.29)</f>
        <v>252.29</v>
      </c>
      <c r="F1099" s="1">
        <f>IFERROR(__xludf.DUMMYFUNCTION("""COMPUTED_VALUE"""),4.9146961E7)</f>
        <v>49146961</v>
      </c>
    </row>
    <row r="1100">
      <c r="A1100" s="2">
        <f>IFERROR(__xludf.DUMMYFUNCTION("""COMPUTED_VALUE"""),45950.66666666667)</f>
        <v>45950.66667</v>
      </c>
      <c r="B1100" s="1">
        <f>IFERROR(__xludf.DUMMYFUNCTION("""COMPUTED_VALUE"""),255.89)</f>
        <v>255.89</v>
      </c>
      <c r="C1100" s="1">
        <f>IFERROR(__xludf.DUMMYFUNCTION("""COMPUTED_VALUE"""),264.38)</f>
        <v>264.38</v>
      </c>
      <c r="D1100" s="1">
        <f>IFERROR(__xludf.DUMMYFUNCTION("""COMPUTED_VALUE"""),255.63)</f>
        <v>255.63</v>
      </c>
      <c r="E1100" s="1">
        <f>IFERROR(__xludf.DUMMYFUNCTION("""COMPUTED_VALUE"""),262.24)</f>
        <v>262.24</v>
      </c>
      <c r="F1100" s="1">
        <f>IFERROR(__xludf.DUMMYFUNCTION("""COMPUTED_VALUE"""),9.0483029E7)</f>
        <v>90483029</v>
      </c>
    </row>
    <row r="1101">
      <c r="A1101" s="2">
        <f>IFERROR(__xludf.DUMMYFUNCTION("""COMPUTED_VALUE"""),45951.66666666667)</f>
        <v>45951.66667</v>
      </c>
      <c r="B1101" s="1">
        <f>IFERROR(__xludf.DUMMYFUNCTION("""COMPUTED_VALUE"""),261.88)</f>
        <v>261.88</v>
      </c>
      <c r="C1101" s="1">
        <f>IFERROR(__xludf.DUMMYFUNCTION("""COMPUTED_VALUE"""),265.29)</f>
        <v>265.29</v>
      </c>
      <c r="D1101" s="1">
        <f>IFERROR(__xludf.DUMMYFUNCTION("""COMPUTED_VALUE"""),261.83)</f>
        <v>261.83</v>
      </c>
      <c r="E1101" s="1">
        <f>IFERROR(__xludf.DUMMYFUNCTION("""COMPUTED_VALUE"""),262.77)</f>
        <v>262.77</v>
      </c>
      <c r="F1101" s="1">
        <f>IFERROR(__xludf.DUMMYFUNCTION("""COMPUTED_VALUE"""),4.6695948E7)</f>
        <v>46695948</v>
      </c>
    </row>
    <row r="1102">
      <c r="A1102" s="2">
        <f>IFERROR(__xludf.DUMMYFUNCTION("""COMPUTED_VALUE"""),45952.66666666667)</f>
        <v>45952.66667</v>
      </c>
      <c r="B1102" s="1">
        <f>IFERROR(__xludf.DUMMYFUNCTION("""COMPUTED_VALUE"""),262.65)</f>
        <v>262.65</v>
      </c>
      <c r="C1102" s="1">
        <f>IFERROR(__xludf.DUMMYFUNCTION("""COMPUTED_VALUE"""),262.85)</f>
        <v>262.85</v>
      </c>
      <c r="D1102" s="1">
        <f>IFERROR(__xludf.DUMMYFUNCTION("""COMPUTED_VALUE"""),255.43)</f>
        <v>255.43</v>
      </c>
      <c r="E1102" s="1">
        <f>IFERROR(__xludf.DUMMYFUNCTION("""COMPUTED_VALUE"""),258.45)</f>
        <v>258.45</v>
      </c>
      <c r="F1102" s="1">
        <f>IFERROR(__xludf.DUMMYFUNCTION("""COMPUTED_VALUE"""),4.5015254E7)</f>
        <v>45015254</v>
      </c>
    </row>
    <row r="1103">
      <c r="A1103" s="2">
        <f>IFERROR(__xludf.DUMMYFUNCTION("""COMPUTED_VALUE"""),45953.66666666667)</f>
        <v>45953.66667</v>
      </c>
      <c r="B1103" s="1">
        <f>IFERROR(__xludf.DUMMYFUNCTION("""COMPUTED_VALUE"""),259.94)</f>
        <v>259.94</v>
      </c>
      <c r="C1103" s="1">
        <f>IFERROR(__xludf.DUMMYFUNCTION("""COMPUTED_VALUE"""),260.62)</f>
        <v>260.62</v>
      </c>
      <c r="D1103" s="1">
        <f>IFERROR(__xludf.DUMMYFUNCTION("""COMPUTED_VALUE"""),258.01)</f>
        <v>258.01</v>
      </c>
      <c r="E1103" s="1">
        <f>IFERROR(__xludf.DUMMYFUNCTION("""COMPUTED_VALUE"""),259.58)</f>
        <v>259.58</v>
      </c>
      <c r="F1103" s="1">
        <f>IFERROR(__xludf.DUMMYFUNCTION("""COMPUTED_VALUE"""),3.2754941E7)</f>
        <v>32754941</v>
      </c>
    </row>
    <row r="1104">
      <c r="A1104" s="2">
        <f>IFERROR(__xludf.DUMMYFUNCTION("""COMPUTED_VALUE"""),45954.66666666667)</f>
        <v>45954.66667</v>
      </c>
      <c r="B1104" s="1">
        <f>IFERROR(__xludf.DUMMYFUNCTION("""COMPUTED_VALUE"""),261.19)</f>
        <v>261.19</v>
      </c>
      <c r="C1104" s="1">
        <f>IFERROR(__xludf.DUMMYFUNCTION("""COMPUTED_VALUE"""),264.13)</f>
        <v>264.13</v>
      </c>
      <c r="D1104" s="1">
        <f>IFERROR(__xludf.DUMMYFUNCTION("""COMPUTED_VALUE"""),259.18)</f>
        <v>259.18</v>
      </c>
      <c r="E1104" s="1">
        <f>IFERROR(__xludf.DUMMYFUNCTION("""COMPUTED_VALUE"""),262.82)</f>
        <v>262.82</v>
      </c>
      <c r="F1104" s="1">
        <f>IFERROR(__xludf.DUMMYFUNCTION("""COMPUTED_VALUE"""),3.8253717E7)</f>
        <v>38253717</v>
      </c>
    </row>
    <row r="1105">
      <c r="A1105" s="2">
        <f>IFERROR(__xludf.DUMMYFUNCTION("""COMPUTED_VALUE"""),45957.66666666667)</f>
        <v>45957.66667</v>
      </c>
      <c r="B1105" s="1">
        <f>IFERROR(__xludf.DUMMYFUNCTION("""COMPUTED_VALUE"""),264.88)</f>
        <v>264.88</v>
      </c>
      <c r="C1105" s="1">
        <f>IFERROR(__xludf.DUMMYFUNCTION("""COMPUTED_VALUE"""),269.12)</f>
        <v>269.12</v>
      </c>
      <c r="D1105" s="1">
        <f>IFERROR(__xludf.DUMMYFUNCTION("""COMPUTED_VALUE"""),264.65)</f>
        <v>264.65</v>
      </c>
      <c r="E1105" s="1">
        <f>IFERROR(__xludf.DUMMYFUNCTION("""COMPUTED_VALUE"""),268.81)</f>
        <v>268.81</v>
      </c>
      <c r="F1105" s="1">
        <f>IFERROR(__xludf.DUMMYFUNCTION("""COMPUTED_VALUE"""),4.4888152E7)</f>
        <v>44888152</v>
      </c>
    </row>
    <row r="1106">
      <c r="A1106" s="2">
        <f>IFERROR(__xludf.DUMMYFUNCTION("""COMPUTED_VALUE"""),45958.66666666667)</f>
        <v>45958.66667</v>
      </c>
      <c r="B1106" s="1">
        <f>IFERROR(__xludf.DUMMYFUNCTION("""COMPUTED_VALUE"""),268.99)</f>
        <v>268.99</v>
      </c>
      <c r="C1106" s="1">
        <f>IFERROR(__xludf.DUMMYFUNCTION("""COMPUTED_VALUE"""),269.89)</f>
        <v>269.89</v>
      </c>
      <c r="D1106" s="1">
        <f>IFERROR(__xludf.DUMMYFUNCTION("""COMPUTED_VALUE"""),268.15)</f>
        <v>268.15</v>
      </c>
      <c r="E1106" s="1">
        <f>IFERROR(__xludf.DUMMYFUNCTION("""COMPUTED_VALUE"""),269.0)</f>
        <v>269</v>
      </c>
      <c r="F1106" s="1">
        <f>IFERROR(__xludf.DUMMYFUNCTION("""COMPUTED_VALUE"""),4.1534759E7)</f>
        <v>41534759</v>
      </c>
    </row>
    <row r="1107">
      <c r="A1107" s="2">
        <f>IFERROR(__xludf.DUMMYFUNCTION("""COMPUTED_VALUE"""),45959.66666666667)</f>
        <v>45959.66667</v>
      </c>
      <c r="B1107" s="1">
        <f>IFERROR(__xludf.DUMMYFUNCTION("""COMPUTED_VALUE"""),269.27)</f>
        <v>269.27</v>
      </c>
      <c r="C1107" s="1">
        <f>IFERROR(__xludf.DUMMYFUNCTION("""COMPUTED_VALUE"""),271.41)</f>
        <v>271.41</v>
      </c>
      <c r="D1107" s="1">
        <f>IFERROR(__xludf.DUMMYFUNCTION("""COMPUTED_VALUE"""),267.11)</f>
        <v>267.11</v>
      </c>
      <c r="E1107" s="1">
        <f>IFERROR(__xludf.DUMMYFUNCTION("""COMPUTED_VALUE"""),269.7)</f>
        <v>269.7</v>
      </c>
      <c r="F1107" s="1">
        <f>IFERROR(__xludf.DUMMYFUNCTION("""COMPUTED_VALUE"""),5.1086742E7)</f>
        <v>51086742</v>
      </c>
    </row>
    <row r="1108">
      <c r="A1108" s="2">
        <f>IFERROR(__xludf.DUMMYFUNCTION("""COMPUTED_VALUE"""),45960.66666666667)</f>
        <v>45960.66667</v>
      </c>
      <c r="B1108" s="1">
        <f>IFERROR(__xludf.DUMMYFUNCTION("""COMPUTED_VALUE"""),271.99)</f>
        <v>271.99</v>
      </c>
      <c r="C1108" s="1">
        <f>IFERROR(__xludf.DUMMYFUNCTION("""COMPUTED_VALUE"""),274.14)</f>
        <v>274.14</v>
      </c>
      <c r="D1108" s="1">
        <f>IFERROR(__xludf.DUMMYFUNCTION("""COMPUTED_VALUE"""),268.48)</f>
        <v>268.48</v>
      </c>
      <c r="E1108" s="1">
        <f>IFERROR(__xludf.DUMMYFUNCTION("""COMPUTED_VALUE"""),271.4)</f>
        <v>271.4</v>
      </c>
      <c r="F1108" s="1">
        <f>IFERROR(__xludf.DUMMYFUNCTION("""COMPUTED_VALUE"""),6.9886534E7)</f>
        <v>69886534</v>
      </c>
    </row>
    <row r="1109">
      <c r="A1109" s="2">
        <f>IFERROR(__xludf.DUMMYFUNCTION("""COMPUTED_VALUE"""),45961.66666666667)</f>
        <v>45961.66667</v>
      </c>
      <c r="B1109" s="1">
        <f>IFERROR(__xludf.DUMMYFUNCTION("""COMPUTED_VALUE"""),276.99)</f>
        <v>276.99</v>
      </c>
      <c r="C1109" s="1">
        <f>IFERROR(__xludf.DUMMYFUNCTION("""COMPUTED_VALUE"""),277.32)</f>
        <v>277.32</v>
      </c>
      <c r="D1109" s="1">
        <f>IFERROR(__xludf.DUMMYFUNCTION("""COMPUTED_VALUE"""),269.16)</f>
        <v>269.16</v>
      </c>
      <c r="E1109" s="1">
        <f>IFERROR(__xludf.DUMMYFUNCTION("""COMPUTED_VALUE"""),270.37)</f>
        <v>270.37</v>
      </c>
      <c r="F1109" s="1">
        <f>IFERROR(__xludf.DUMMYFUNCTION("""COMPUTED_VALUE"""),8.6167123E7)</f>
        <v>86167123</v>
      </c>
    </row>
    <row r="1110">
      <c r="A1110" s="2">
        <f>IFERROR(__xludf.DUMMYFUNCTION("""COMPUTED_VALUE"""),45964.66666666667)</f>
        <v>45964.66667</v>
      </c>
      <c r="B1110" s="1">
        <f>IFERROR(__xludf.DUMMYFUNCTION("""COMPUTED_VALUE"""),270.42)</f>
        <v>270.42</v>
      </c>
      <c r="C1110" s="1">
        <f>IFERROR(__xludf.DUMMYFUNCTION("""COMPUTED_VALUE"""),270.85)</f>
        <v>270.85</v>
      </c>
      <c r="D1110" s="1">
        <f>IFERROR(__xludf.DUMMYFUNCTION("""COMPUTED_VALUE"""),266.25)</f>
        <v>266.25</v>
      </c>
      <c r="E1110" s="1">
        <f>IFERROR(__xludf.DUMMYFUNCTION("""COMPUTED_VALUE"""),269.05)</f>
        <v>269.05</v>
      </c>
      <c r="F1110" s="1">
        <f>IFERROR(__xludf.DUMMYFUNCTION("""COMPUTED_VALUE"""),5.0194583E7)</f>
        <v>50194583</v>
      </c>
    </row>
    <row r="1111">
      <c r="A1111" s="2">
        <f>IFERROR(__xludf.DUMMYFUNCTION("""COMPUTED_VALUE"""),45965.66666666667)</f>
        <v>45965.66667</v>
      </c>
      <c r="B1111" s="1">
        <f>IFERROR(__xludf.DUMMYFUNCTION("""COMPUTED_VALUE"""),268.33)</f>
        <v>268.33</v>
      </c>
      <c r="C1111" s="1">
        <f>IFERROR(__xludf.DUMMYFUNCTION("""COMPUTED_VALUE"""),271.49)</f>
        <v>271.49</v>
      </c>
      <c r="D1111" s="1">
        <f>IFERROR(__xludf.DUMMYFUNCTION("""COMPUTED_VALUE"""),267.62)</f>
        <v>267.62</v>
      </c>
      <c r="E1111" s="1">
        <f>IFERROR(__xludf.DUMMYFUNCTION("""COMPUTED_VALUE"""),270.04)</f>
        <v>270.04</v>
      </c>
      <c r="F1111" s="1">
        <f>IFERROR(__xludf.DUMMYFUNCTION("""COMPUTED_VALUE"""),4.9274846E7)</f>
        <v>49274846</v>
      </c>
    </row>
    <row r="1112">
      <c r="A1112" s="2">
        <f>IFERROR(__xludf.DUMMYFUNCTION("""COMPUTED_VALUE"""),45966.66666666667)</f>
        <v>45966.66667</v>
      </c>
      <c r="B1112" s="1">
        <f>IFERROR(__xludf.DUMMYFUNCTION("""COMPUTED_VALUE"""),268.61)</f>
        <v>268.61</v>
      </c>
      <c r="C1112" s="1">
        <f>IFERROR(__xludf.DUMMYFUNCTION("""COMPUTED_VALUE"""),271.7)</f>
        <v>271.7</v>
      </c>
      <c r="D1112" s="1">
        <f>IFERROR(__xludf.DUMMYFUNCTION("""COMPUTED_VALUE"""),266.93)</f>
        <v>266.93</v>
      </c>
      <c r="E1112" s="1">
        <f>IFERROR(__xludf.DUMMYFUNCTION("""COMPUTED_VALUE"""),270.14)</f>
        <v>270.14</v>
      </c>
      <c r="F1112" s="1">
        <f>IFERROR(__xludf.DUMMYFUNCTION("""COMPUTED_VALUE"""),4.3683072E7)</f>
        <v>43683072</v>
      </c>
    </row>
    <row r="1113">
      <c r="A1113" s="2">
        <f>IFERROR(__xludf.DUMMYFUNCTION("""COMPUTED_VALUE"""),45967.66666666667)</f>
        <v>45967.66667</v>
      </c>
      <c r="B1113" s="1">
        <f>IFERROR(__xludf.DUMMYFUNCTION("""COMPUTED_VALUE"""),267.89)</f>
        <v>267.89</v>
      </c>
      <c r="C1113" s="1">
        <f>IFERROR(__xludf.DUMMYFUNCTION("""COMPUTED_VALUE"""),273.4)</f>
        <v>273.4</v>
      </c>
      <c r="D1113" s="1">
        <f>IFERROR(__xludf.DUMMYFUNCTION("""COMPUTED_VALUE"""),267.89)</f>
        <v>267.89</v>
      </c>
      <c r="E1113" s="1">
        <f>IFERROR(__xludf.DUMMYFUNCTION("""COMPUTED_VALUE"""),269.77)</f>
        <v>269.77</v>
      </c>
      <c r="F1113" s="1">
        <f>IFERROR(__xludf.DUMMYFUNCTION("""COMPUTED_VALUE"""),5.1204045E7)</f>
        <v>51204045</v>
      </c>
    </row>
    <row r="1114">
      <c r="A1114" s="2">
        <f>IFERROR(__xludf.DUMMYFUNCTION("""COMPUTED_VALUE"""),45968.66666666667)</f>
        <v>45968.66667</v>
      </c>
      <c r="B1114" s="1">
        <f>IFERROR(__xludf.DUMMYFUNCTION("""COMPUTED_VALUE"""),269.8)</f>
        <v>269.8</v>
      </c>
      <c r="C1114" s="1">
        <f>IFERROR(__xludf.DUMMYFUNCTION("""COMPUTED_VALUE"""),272.29)</f>
        <v>272.29</v>
      </c>
      <c r="D1114" s="1">
        <f>IFERROR(__xludf.DUMMYFUNCTION("""COMPUTED_VALUE"""),266.77)</f>
        <v>266.77</v>
      </c>
      <c r="E1114" s="1">
        <f>IFERROR(__xludf.DUMMYFUNCTION("""COMPUTED_VALUE"""),268.47)</f>
        <v>268.47</v>
      </c>
      <c r="F1114" s="1">
        <f>IFERROR(__xludf.DUMMYFUNCTION("""COMPUTED_VALUE"""),4.8227365E7)</f>
        <v>48227365</v>
      </c>
    </row>
    <row r="1115">
      <c r="A1115" s="2">
        <f>IFERROR(__xludf.DUMMYFUNCTION("""COMPUTED_VALUE"""),45971.66666666667)</f>
        <v>45971.66667</v>
      </c>
      <c r="B1115" s="1">
        <f>IFERROR(__xludf.DUMMYFUNCTION("""COMPUTED_VALUE"""),268.96)</f>
        <v>268.96</v>
      </c>
      <c r="C1115" s="1">
        <f>IFERROR(__xludf.DUMMYFUNCTION("""COMPUTED_VALUE"""),273.73)</f>
        <v>273.73</v>
      </c>
      <c r="D1115" s="1">
        <f>IFERROR(__xludf.DUMMYFUNCTION("""COMPUTED_VALUE"""),267.46)</f>
        <v>267.46</v>
      </c>
      <c r="E1115" s="1">
        <f>IFERROR(__xludf.DUMMYFUNCTION("""COMPUTED_VALUE"""),269.43)</f>
        <v>269.43</v>
      </c>
      <c r="F1115" s="1">
        <f>IFERROR(__xludf.DUMMYFUNCTION("""COMPUTED_VALUE"""),4.1312412E7)</f>
        <v>41312412</v>
      </c>
    </row>
    <row r="1116">
      <c r="A1116" s="2">
        <f>IFERROR(__xludf.DUMMYFUNCTION("""COMPUTED_VALUE"""),45972.66666666667)</f>
        <v>45972.66667</v>
      </c>
      <c r="B1116" s="1">
        <f>IFERROR(__xludf.DUMMYFUNCTION("""COMPUTED_VALUE"""),269.81)</f>
        <v>269.81</v>
      </c>
      <c r="C1116" s="1">
        <f>IFERROR(__xludf.DUMMYFUNCTION("""COMPUTED_VALUE"""),275.91)</f>
        <v>275.91</v>
      </c>
      <c r="D1116" s="1">
        <f>IFERROR(__xludf.DUMMYFUNCTION("""COMPUTED_VALUE"""),269.8)</f>
        <v>269.8</v>
      </c>
      <c r="E1116" s="1">
        <f>IFERROR(__xludf.DUMMYFUNCTION("""COMPUTED_VALUE"""),275.25)</f>
        <v>275.25</v>
      </c>
      <c r="F1116" s="1">
        <f>IFERROR(__xludf.DUMMYFUNCTION("""COMPUTED_VALUE"""),4.6208318E7)</f>
        <v>46208318</v>
      </c>
    </row>
    <row r="1117">
      <c r="A1117" s="2">
        <f>IFERROR(__xludf.DUMMYFUNCTION("""COMPUTED_VALUE"""),45973.66666666667)</f>
        <v>45973.66667</v>
      </c>
      <c r="B1117" s="1">
        <f>IFERROR(__xludf.DUMMYFUNCTION("""COMPUTED_VALUE"""),275.0)</f>
        <v>275</v>
      </c>
      <c r="C1117" s="1">
        <f>IFERROR(__xludf.DUMMYFUNCTION("""COMPUTED_VALUE"""),275.73)</f>
        <v>275.73</v>
      </c>
      <c r="D1117" s="1">
        <f>IFERROR(__xludf.DUMMYFUNCTION("""COMPUTED_VALUE"""),271.7)</f>
        <v>271.7</v>
      </c>
      <c r="E1117" s="1">
        <f>IFERROR(__xludf.DUMMYFUNCTION("""COMPUTED_VALUE"""),273.47)</f>
        <v>273.47</v>
      </c>
      <c r="F1117" s="1">
        <f>IFERROR(__xludf.DUMMYFUNCTION("""COMPUTED_VALUE"""),4.8397982E7)</f>
        <v>48397982</v>
      </c>
    </row>
    <row r="1118">
      <c r="A1118" s="2">
        <f>IFERROR(__xludf.DUMMYFUNCTION("""COMPUTED_VALUE"""),45974.66666666667)</f>
        <v>45974.66667</v>
      </c>
      <c r="B1118" s="1">
        <f>IFERROR(__xludf.DUMMYFUNCTION("""COMPUTED_VALUE"""),274.11)</f>
        <v>274.11</v>
      </c>
      <c r="C1118" s="1">
        <f>IFERROR(__xludf.DUMMYFUNCTION("""COMPUTED_VALUE"""),276.7)</f>
        <v>276.7</v>
      </c>
      <c r="D1118" s="1">
        <f>IFERROR(__xludf.DUMMYFUNCTION("""COMPUTED_VALUE"""),272.09)</f>
        <v>272.09</v>
      </c>
      <c r="E1118" s="1">
        <f>IFERROR(__xludf.DUMMYFUNCTION("""COMPUTED_VALUE"""),272.95)</f>
        <v>272.95</v>
      </c>
      <c r="F1118" s="1">
        <f>IFERROR(__xludf.DUMMYFUNCTION("""COMPUTED_VALUE"""),4.9602794E7)</f>
        <v>49602794</v>
      </c>
    </row>
    <row r="1119">
      <c r="A1119" s="2">
        <f>IFERROR(__xludf.DUMMYFUNCTION("""COMPUTED_VALUE"""),45975.66666666667)</f>
        <v>45975.66667</v>
      </c>
      <c r="B1119" s="1">
        <f>IFERROR(__xludf.DUMMYFUNCTION("""COMPUTED_VALUE"""),271.05)</f>
        <v>271.05</v>
      </c>
      <c r="C1119" s="1">
        <f>IFERROR(__xludf.DUMMYFUNCTION("""COMPUTED_VALUE"""),275.96)</f>
        <v>275.96</v>
      </c>
      <c r="D1119" s="1">
        <f>IFERROR(__xludf.DUMMYFUNCTION("""COMPUTED_VALUE"""),269.6)</f>
        <v>269.6</v>
      </c>
      <c r="E1119" s="1">
        <f>IFERROR(__xludf.DUMMYFUNCTION("""COMPUTED_VALUE"""),272.41)</f>
        <v>272.41</v>
      </c>
      <c r="F1119" s="1">
        <f>IFERROR(__xludf.DUMMYFUNCTION("""COMPUTED_VALUE"""),4.7431331E7)</f>
        <v>47431331</v>
      </c>
    </row>
    <row r="1120">
      <c r="A1120" s="2">
        <f>IFERROR(__xludf.DUMMYFUNCTION("""COMPUTED_VALUE"""),45978.66666666667)</f>
        <v>45978.66667</v>
      </c>
      <c r="B1120" s="1">
        <f>IFERROR(__xludf.DUMMYFUNCTION("""COMPUTED_VALUE"""),268.82)</f>
        <v>268.82</v>
      </c>
      <c r="C1120" s="1">
        <f>IFERROR(__xludf.DUMMYFUNCTION("""COMPUTED_VALUE"""),270.49)</f>
        <v>270.49</v>
      </c>
      <c r="D1120" s="1">
        <f>IFERROR(__xludf.DUMMYFUNCTION("""COMPUTED_VALUE"""),265.73)</f>
        <v>265.73</v>
      </c>
      <c r="E1120" s="1">
        <f>IFERROR(__xludf.DUMMYFUNCTION("""COMPUTED_VALUE"""),267.46)</f>
        <v>267.46</v>
      </c>
      <c r="F1120" s="1">
        <f>IFERROR(__xludf.DUMMYFUNCTION("""COMPUTED_VALUE"""),4.501826E7)</f>
        <v>45018260</v>
      </c>
    </row>
    <row r="1121">
      <c r="A1121" s="2">
        <f>IFERROR(__xludf.DUMMYFUNCTION("""COMPUTED_VALUE"""),45979.66666666667)</f>
        <v>45979.66667</v>
      </c>
      <c r="B1121" s="1">
        <f>IFERROR(__xludf.DUMMYFUNCTION("""COMPUTED_VALUE"""),269.99)</f>
        <v>269.99</v>
      </c>
      <c r="C1121" s="1">
        <f>IFERROR(__xludf.DUMMYFUNCTION("""COMPUTED_VALUE"""),270.71)</f>
        <v>270.71</v>
      </c>
      <c r="D1121" s="1">
        <f>IFERROR(__xludf.DUMMYFUNCTION("""COMPUTED_VALUE"""),265.32)</f>
        <v>265.32</v>
      </c>
      <c r="E1121" s="1">
        <f>IFERROR(__xludf.DUMMYFUNCTION("""COMPUTED_VALUE"""),267.44)</f>
        <v>267.44</v>
      </c>
      <c r="F1121" s="1">
        <f>IFERROR(__xludf.DUMMYFUNCTION("""COMPUTED_VALUE"""),4.5677278E7)</f>
        <v>45677278</v>
      </c>
    </row>
    <row r="1122">
      <c r="A1122" s="2">
        <f>IFERROR(__xludf.DUMMYFUNCTION("""COMPUTED_VALUE"""),45980.66666666667)</f>
        <v>45980.66667</v>
      </c>
      <c r="B1122" s="1">
        <f>IFERROR(__xludf.DUMMYFUNCTION("""COMPUTED_VALUE"""),265.52)</f>
        <v>265.52</v>
      </c>
      <c r="C1122" s="1">
        <f>IFERROR(__xludf.DUMMYFUNCTION("""COMPUTED_VALUE"""),272.21)</f>
        <v>272.21</v>
      </c>
      <c r="D1122" s="1">
        <f>IFERROR(__xludf.DUMMYFUNCTION("""COMPUTED_VALUE"""),265.5)</f>
        <v>265.5</v>
      </c>
      <c r="E1122" s="1">
        <f>IFERROR(__xludf.DUMMYFUNCTION("""COMPUTED_VALUE"""),268.56)</f>
        <v>268.56</v>
      </c>
      <c r="F1122" s="1">
        <f>IFERROR(__xludf.DUMMYFUNCTION("""COMPUTED_VALUE"""),4.0424492E7)</f>
        <v>40424492</v>
      </c>
    </row>
    <row r="1123">
      <c r="A1123" s="2">
        <f>IFERROR(__xludf.DUMMYFUNCTION("""COMPUTED_VALUE"""),45981.66666666667)</f>
        <v>45981.66667</v>
      </c>
      <c r="B1123" s="1">
        <f>IFERROR(__xludf.DUMMYFUNCTION("""COMPUTED_VALUE"""),270.83)</f>
        <v>270.83</v>
      </c>
      <c r="C1123" s="1">
        <f>IFERROR(__xludf.DUMMYFUNCTION("""COMPUTED_VALUE"""),275.43)</f>
        <v>275.43</v>
      </c>
      <c r="D1123" s="1">
        <f>IFERROR(__xludf.DUMMYFUNCTION("""COMPUTED_VALUE"""),265.92)</f>
        <v>265.92</v>
      </c>
      <c r="E1123" s="1">
        <f>IFERROR(__xludf.DUMMYFUNCTION("""COMPUTED_VALUE"""),266.25)</f>
        <v>266.25</v>
      </c>
      <c r="F1123" s="1">
        <f>IFERROR(__xludf.DUMMYFUNCTION("""COMPUTED_VALUE"""),4.5823568E7)</f>
        <v>45823568</v>
      </c>
    </row>
    <row r="1124">
      <c r="A1124" s="2">
        <f>IFERROR(__xludf.DUMMYFUNCTION("""COMPUTED_VALUE"""),45982.66666666667)</f>
        <v>45982.66667</v>
      </c>
      <c r="B1124" s="1">
        <f>IFERROR(__xludf.DUMMYFUNCTION("""COMPUTED_VALUE"""),265.95)</f>
        <v>265.95</v>
      </c>
      <c r="C1124" s="1">
        <f>IFERROR(__xludf.DUMMYFUNCTION("""COMPUTED_VALUE"""),273.33)</f>
        <v>273.33</v>
      </c>
      <c r="D1124" s="1">
        <f>IFERROR(__xludf.DUMMYFUNCTION("""COMPUTED_VALUE"""),265.67)</f>
        <v>265.67</v>
      </c>
      <c r="E1124" s="1">
        <f>IFERROR(__xludf.DUMMYFUNCTION("""COMPUTED_VALUE"""),271.49)</f>
        <v>271.49</v>
      </c>
      <c r="F1124" s="1">
        <f>IFERROR(__xludf.DUMMYFUNCTION("""COMPUTED_VALUE"""),5.9030832E7)</f>
        <v>59030832</v>
      </c>
    </row>
    <row r="1125">
      <c r="A1125" s="2">
        <f>IFERROR(__xludf.DUMMYFUNCTION("""COMPUTED_VALUE"""),45985.66666666667)</f>
        <v>45985.66667</v>
      </c>
      <c r="B1125" s="1">
        <f>IFERROR(__xludf.DUMMYFUNCTION("""COMPUTED_VALUE"""),270.9)</f>
        <v>270.9</v>
      </c>
      <c r="C1125" s="1">
        <f>IFERROR(__xludf.DUMMYFUNCTION("""COMPUTED_VALUE"""),277.0)</f>
        <v>277</v>
      </c>
      <c r="D1125" s="1">
        <f>IFERROR(__xludf.DUMMYFUNCTION("""COMPUTED_VALUE"""),270.9)</f>
        <v>270.9</v>
      </c>
      <c r="E1125" s="1">
        <f>IFERROR(__xludf.DUMMYFUNCTION("""COMPUTED_VALUE"""),275.92)</f>
        <v>275.92</v>
      </c>
      <c r="F1125" s="1">
        <f>IFERROR(__xludf.DUMMYFUNCTION("""COMPUTED_VALUE"""),6.5585796E7)</f>
        <v>65585796</v>
      </c>
    </row>
    <row r="1126">
      <c r="A1126" s="2">
        <f>IFERROR(__xludf.DUMMYFUNCTION("""COMPUTED_VALUE"""),45986.66666666667)</f>
        <v>45986.66667</v>
      </c>
      <c r="B1126" s="1">
        <f>IFERROR(__xludf.DUMMYFUNCTION("""COMPUTED_VALUE"""),275.27)</f>
        <v>275.27</v>
      </c>
      <c r="C1126" s="1">
        <f>IFERROR(__xludf.DUMMYFUNCTION("""COMPUTED_VALUE"""),280.38)</f>
        <v>280.38</v>
      </c>
      <c r="D1126" s="1">
        <f>IFERROR(__xludf.DUMMYFUNCTION("""COMPUTED_VALUE"""),275.25)</f>
        <v>275.25</v>
      </c>
      <c r="E1126" s="1">
        <f>IFERROR(__xludf.DUMMYFUNCTION("""COMPUTED_VALUE"""),276.97)</f>
        <v>276.97</v>
      </c>
      <c r="F1126" s="1">
        <f>IFERROR(__xludf.DUMMYFUNCTION("""COMPUTED_VALUE"""),4.691422E7)</f>
        <v>46914220</v>
      </c>
    </row>
    <row r="1127">
      <c r="A1127" s="2">
        <f>IFERROR(__xludf.DUMMYFUNCTION("""COMPUTED_VALUE"""),45987.66666666667)</f>
        <v>45987.66667</v>
      </c>
      <c r="B1127" s="1">
        <f>IFERROR(__xludf.DUMMYFUNCTION("""COMPUTED_VALUE"""),276.96)</f>
        <v>276.96</v>
      </c>
      <c r="C1127" s="1">
        <f>IFERROR(__xludf.DUMMYFUNCTION("""COMPUTED_VALUE"""),279.53)</f>
        <v>279.53</v>
      </c>
      <c r="D1127" s="1">
        <f>IFERROR(__xludf.DUMMYFUNCTION("""COMPUTED_VALUE"""),276.63)</f>
        <v>276.63</v>
      </c>
      <c r="E1127" s="1">
        <f>IFERROR(__xludf.DUMMYFUNCTION("""COMPUTED_VALUE"""),277.55)</f>
        <v>277.55</v>
      </c>
      <c r="F1127" s="1">
        <f>IFERROR(__xludf.DUMMYFUNCTION("""COMPUTED_VALUE"""),3.3431423E7)</f>
        <v>33431423</v>
      </c>
    </row>
    <row r="1128">
      <c r="A1128" s="2">
        <f>IFERROR(__xludf.DUMMYFUNCTION("""COMPUTED_VALUE"""),45989.54513888889)</f>
        <v>45989.54514</v>
      </c>
      <c r="B1128" s="1">
        <f>IFERROR(__xludf.DUMMYFUNCTION("""COMPUTED_VALUE"""),277.26)</f>
        <v>277.26</v>
      </c>
      <c r="C1128" s="1">
        <f>IFERROR(__xludf.DUMMYFUNCTION("""COMPUTED_VALUE"""),279.0)</f>
        <v>279</v>
      </c>
      <c r="D1128" s="1">
        <f>IFERROR(__xludf.DUMMYFUNCTION("""COMPUTED_VALUE"""),275.99)</f>
        <v>275.99</v>
      </c>
      <c r="E1128" s="1">
        <f>IFERROR(__xludf.DUMMYFUNCTION("""COMPUTED_VALUE"""),278.85)</f>
        <v>278.85</v>
      </c>
      <c r="F1128" s="1">
        <f>IFERROR(__xludf.DUMMYFUNCTION("""COMPUTED_VALUE"""),2.013562E7)</f>
        <v>20135620</v>
      </c>
    </row>
    <row r="1129">
      <c r="A1129" s="2">
        <f>IFERROR(__xludf.DUMMYFUNCTION("""COMPUTED_VALUE"""),45992.66666666667)</f>
        <v>45992.66667</v>
      </c>
      <c r="B1129" s="1">
        <f>IFERROR(__xludf.DUMMYFUNCTION("""COMPUTED_VALUE"""),278.01)</f>
        <v>278.01</v>
      </c>
      <c r="C1129" s="1">
        <f>IFERROR(__xludf.DUMMYFUNCTION("""COMPUTED_VALUE"""),283.42)</f>
        <v>283.42</v>
      </c>
      <c r="D1129" s="1">
        <f>IFERROR(__xludf.DUMMYFUNCTION("""COMPUTED_VALUE"""),276.14)</f>
        <v>276.14</v>
      </c>
      <c r="E1129" s="1">
        <f>IFERROR(__xludf.DUMMYFUNCTION("""COMPUTED_VALUE"""),283.1)</f>
        <v>283.1</v>
      </c>
      <c r="F1129" s="1">
        <f>IFERROR(__xludf.DUMMYFUNCTION("""COMPUTED_VALUE"""),4.6587722E7)</f>
        <v>46587722</v>
      </c>
    </row>
    <row r="1130">
      <c r="A1130" s="2">
        <f>IFERROR(__xludf.DUMMYFUNCTION("""COMPUTED_VALUE"""),45993.66666666667)</f>
        <v>45993.66667</v>
      </c>
      <c r="B1130" s="1">
        <f>IFERROR(__xludf.DUMMYFUNCTION("""COMPUTED_VALUE"""),283.0)</f>
        <v>283</v>
      </c>
      <c r="C1130" s="1">
        <f>IFERROR(__xludf.DUMMYFUNCTION("""COMPUTED_VALUE"""),287.4)</f>
        <v>287.4</v>
      </c>
      <c r="D1130" s="1">
        <f>IFERROR(__xludf.DUMMYFUNCTION("""COMPUTED_VALUE"""),282.63)</f>
        <v>282.63</v>
      </c>
      <c r="E1130" s="1">
        <f>IFERROR(__xludf.DUMMYFUNCTION("""COMPUTED_VALUE"""),286.19)</f>
        <v>286.19</v>
      </c>
      <c r="F1130" s="1">
        <f>IFERROR(__xludf.DUMMYFUNCTION("""COMPUTED_VALUE"""),5.3669532E7)</f>
        <v>53669532</v>
      </c>
    </row>
    <row r="1131">
      <c r="A1131" s="2">
        <f>IFERROR(__xludf.DUMMYFUNCTION("""COMPUTED_VALUE"""),45994.66666666667)</f>
        <v>45994.66667</v>
      </c>
      <c r="B1131" s="1">
        <f>IFERROR(__xludf.DUMMYFUNCTION("""COMPUTED_VALUE"""),286.2)</f>
        <v>286.2</v>
      </c>
      <c r="C1131" s="1">
        <f>IFERROR(__xludf.DUMMYFUNCTION("""COMPUTED_VALUE"""),288.62)</f>
        <v>288.62</v>
      </c>
      <c r="D1131" s="1">
        <f>IFERROR(__xludf.DUMMYFUNCTION("""COMPUTED_VALUE"""),283.3)</f>
        <v>283.3</v>
      </c>
      <c r="E1131" s="1">
        <f>IFERROR(__xludf.DUMMYFUNCTION("""COMPUTED_VALUE"""),284.15)</f>
        <v>284.15</v>
      </c>
      <c r="F1131" s="1">
        <f>IFERROR(__xludf.DUMMYFUNCTION("""COMPUTED_VALUE"""),4.3538687E7)</f>
        <v>43538687</v>
      </c>
    </row>
    <row r="1132">
      <c r="A1132" s="2">
        <f>IFERROR(__xludf.DUMMYFUNCTION("""COMPUTED_VALUE"""),45995.66666666667)</f>
        <v>45995.66667</v>
      </c>
      <c r="B1132" s="1">
        <f>IFERROR(__xludf.DUMMYFUNCTION("""COMPUTED_VALUE"""),284.1)</f>
        <v>284.1</v>
      </c>
      <c r="C1132" s="1">
        <f>IFERROR(__xludf.DUMMYFUNCTION("""COMPUTED_VALUE"""),284.73)</f>
        <v>284.73</v>
      </c>
      <c r="D1132" s="1">
        <f>IFERROR(__xludf.DUMMYFUNCTION("""COMPUTED_VALUE"""),278.59)</f>
        <v>278.59</v>
      </c>
      <c r="E1132" s="1">
        <f>IFERROR(__xludf.DUMMYFUNCTION("""COMPUTED_VALUE"""),280.7)</f>
        <v>280.7</v>
      </c>
      <c r="F1132" s="1">
        <f>IFERROR(__xludf.DUMMYFUNCTION("""COMPUTED_VALUE"""),4.3989056E7)</f>
        <v>43989056</v>
      </c>
    </row>
    <row r="1133">
      <c r="A1133" s="2">
        <f>IFERROR(__xludf.DUMMYFUNCTION("""COMPUTED_VALUE"""),45996.66666666667)</f>
        <v>45996.66667</v>
      </c>
      <c r="B1133" s="1">
        <f>IFERROR(__xludf.DUMMYFUNCTION("""COMPUTED_VALUE"""),280.54)</f>
        <v>280.54</v>
      </c>
      <c r="C1133" s="1">
        <f>IFERROR(__xludf.DUMMYFUNCTION("""COMPUTED_VALUE"""),281.14)</f>
        <v>281.14</v>
      </c>
      <c r="D1133" s="1">
        <f>IFERROR(__xludf.DUMMYFUNCTION("""COMPUTED_VALUE"""),278.05)</f>
        <v>278.05</v>
      </c>
      <c r="E1133" s="1">
        <f>IFERROR(__xludf.DUMMYFUNCTION("""COMPUTED_VALUE"""),278.78)</f>
        <v>278.78</v>
      </c>
      <c r="F1133" s="1">
        <f>IFERROR(__xludf.DUMMYFUNCTION("""COMPUTED_VALUE"""),4.7265845E7)</f>
        <v>47265845</v>
      </c>
    </row>
    <row r="1134">
      <c r="A1134" s="2">
        <f>IFERROR(__xludf.DUMMYFUNCTION("""COMPUTED_VALUE"""),45999.66666666667)</f>
        <v>45999.66667</v>
      </c>
      <c r="B1134" s="1">
        <f>IFERROR(__xludf.DUMMYFUNCTION("""COMPUTED_VALUE"""),278.13)</f>
        <v>278.13</v>
      </c>
      <c r="C1134" s="1">
        <f>IFERROR(__xludf.DUMMYFUNCTION("""COMPUTED_VALUE"""),279.67)</f>
        <v>279.67</v>
      </c>
      <c r="D1134" s="1">
        <f>IFERROR(__xludf.DUMMYFUNCTION("""COMPUTED_VALUE"""),276.15)</f>
        <v>276.15</v>
      </c>
      <c r="E1134" s="1">
        <f>IFERROR(__xludf.DUMMYFUNCTION("""COMPUTED_VALUE"""),277.89)</f>
        <v>277.89</v>
      </c>
      <c r="F1134" s="1">
        <f>IFERROR(__xludf.DUMMYFUNCTION("""COMPUTED_VALUE"""),3.8211832E7)</f>
        <v>38211832</v>
      </c>
    </row>
    <row r="1135">
      <c r="A1135" s="2">
        <f>IFERROR(__xludf.DUMMYFUNCTION("""COMPUTED_VALUE"""),46000.66666666667)</f>
        <v>46000.66667</v>
      </c>
      <c r="B1135" s="1">
        <f>IFERROR(__xludf.DUMMYFUNCTION("""COMPUTED_VALUE"""),278.16)</f>
        <v>278.16</v>
      </c>
      <c r="C1135" s="1">
        <f>IFERROR(__xludf.DUMMYFUNCTION("""COMPUTED_VALUE"""),280.03)</f>
        <v>280.03</v>
      </c>
      <c r="D1135" s="1">
        <f>IFERROR(__xludf.DUMMYFUNCTION("""COMPUTED_VALUE"""),276.92)</f>
        <v>276.92</v>
      </c>
      <c r="E1135" s="1">
        <f>IFERROR(__xludf.DUMMYFUNCTION("""COMPUTED_VALUE"""),277.18)</f>
        <v>277.18</v>
      </c>
      <c r="F1135" s="1">
        <f>IFERROR(__xludf.DUMMYFUNCTION("""COMPUTED_VALUE"""),3.2193256E7)</f>
        <v>32193256</v>
      </c>
    </row>
    <row r="1136">
      <c r="A1136" s="2">
        <f>IFERROR(__xludf.DUMMYFUNCTION("""COMPUTED_VALUE"""),46001.66666666667)</f>
        <v>46001.66667</v>
      </c>
      <c r="B1136" s="1">
        <f>IFERROR(__xludf.DUMMYFUNCTION("""COMPUTED_VALUE"""),277.75)</f>
        <v>277.75</v>
      </c>
      <c r="C1136" s="1">
        <f>IFERROR(__xludf.DUMMYFUNCTION("""COMPUTED_VALUE"""),279.75)</f>
        <v>279.75</v>
      </c>
      <c r="D1136" s="1">
        <f>IFERROR(__xludf.DUMMYFUNCTION("""COMPUTED_VALUE"""),276.44)</f>
        <v>276.44</v>
      </c>
      <c r="E1136" s="1">
        <f>IFERROR(__xludf.DUMMYFUNCTION("""COMPUTED_VALUE"""),278.78)</f>
        <v>278.78</v>
      </c>
      <c r="F1136" s="1">
        <f>IFERROR(__xludf.DUMMYFUNCTION("""COMPUTED_VALUE"""),3.3038318E7)</f>
        <v>33038318</v>
      </c>
    </row>
    <row r="1137">
      <c r="A1137" s="2">
        <f>IFERROR(__xludf.DUMMYFUNCTION("""COMPUTED_VALUE"""),46002.66666666667)</f>
        <v>46002.66667</v>
      </c>
      <c r="B1137" s="1">
        <f>IFERROR(__xludf.DUMMYFUNCTION("""COMPUTED_VALUE"""),279.1)</f>
        <v>279.1</v>
      </c>
      <c r="C1137" s="1">
        <f>IFERROR(__xludf.DUMMYFUNCTION("""COMPUTED_VALUE"""),279.59)</f>
        <v>279.59</v>
      </c>
      <c r="D1137" s="1">
        <f>IFERROR(__xludf.DUMMYFUNCTION("""COMPUTED_VALUE"""),273.81)</f>
        <v>273.81</v>
      </c>
      <c r="E1137" s="1">
        <f>IFERROR(__xludf.DUMMYFUNCTION("""COMPUTED_VALUE"""),278.03)</f>
        <v>278.03</v>
      </c>
      <c r="F1137" s="1">
        <f>IFERROR(__xludf.DUMMYFUNCTION("""COMPUTED_VALUE"""),3.3247986E7)</f>
        <v>33247986</v>
      </c>
    </row>
    <row r="1138">
      <c r="A1138" s="2">
        <f>IFERROR(__xludf.DUMMYFUNCTION("""COMPUTED_VALUE"""),46003.66666666667)</f>
        <v>46003.66667</v>
      </c>
      <c r="B1138" s="1">
        <f>IFERROR(__xludf.DUMMYFUNCTION("""COMPUTED_VALUE"""),277.9)</f>
        <v>277.9</v>
      </c>
      <c r="C1138" s="1">
        <f>IFERROR(__xludf.DUMMYFUNCTION("""COMPUTED_VALUE"""),279.22)</f>
        <v>279.22</v>
      </c>
      <c r="D1138" s="1">
        <f>IFERROR(__xludf.DUMMYFUNCTION("""COMPUTED_VALUE"""),276.82)</f>
        <v>276.82</v>
      </c>
      <c r="E1138" s="1">
        <f>IFERROR(__xludf.DUMMYFUNCTION("""COMPUTED_VALUE"""),278.28)</f>
        <v>278.28</v>
      </c>
      <c r="F1138" s="1">
        <f>IFERROR(__xludf.DUMMYFUNCTION("""COMPUTED_VALUE"""),3.9532887E7)</f>
        <v>39532887</v>
      </c>
    </row>
    <row r="1139">
      <c r="A1139" s="2">
        <f>IFERROR(__xludf.DUMMYFUNCTION("""COMPUTED_VALUE"""),46006.66666666667)</f>
        <v>46006.66667</v>
      </c>
      <c r="B1139" s="1">
        <f>IFERROR(__xludf.DUMMYFUNCTION("""COMPUTED_VALUE"""),280.15)</f>
        <v>280.15</v>
      </c>
      <c r="C1139" s="1">
        <f>IFERROR(__xludf.DUMMYFUNCTION("""COMPUTED_VALUE"""),280.15)</f>
        <v>280.15</v>
      </c>
      <c r="D1139" s="1">
        <f>IFERROR(__xludf.DUMMYFUNCTION("""COMPUTED_VALUE"""),272.84)</f>
        <v>272.84</v>
      </c>
      <c r="E1139" s="1">
        <f>IFERROR(__xludf.DUMMYFUNCTION("""COMPUTED_VALUE"""),274.11)</f>
        <v>274.11</v>
      </c>
      <c r="F1139" s="1">
        <f>IFERROR(__xludf.DUMMYFUNCTION("""COMPUTED_VALUE"""),5.0409078E7)</f>
        <v>50409078</v>
      </c>
    </row>
    <row r="1140">
      <c r="A1140" s="2">
        <f>IFERROR(__xludf.DUMMYFUNCTION("""COMPUTED_VALUE"""),46007.66666666667)</f>
        <v>46007.66667</v>
      </c>
      <c r="B1140" s="1">
        <f>IFERROR(__xludf.DUMMYFUNCTION("""COMPUTED_VALUE"""),272.82)</f>
        <v>272.82</v>
      </c>
      <c r="C1140" s="1">
        <f>IFERROR(__xludf.DUMMYFUNCTION("""COMPUTED_VALUE"""),275.5)</f>
        <v>275.5</v>
      </c>
      <c r="D1140" s="1">
        <f>IFERROR(__xludf.DUMMYFUNCTION("""COMPUTED_VALUE"""),271.79)</f>
        <v>271.79</v>
      </c>
      <c r="E1140" s="1">
        <f>IFERROR(__xludf.DUMMYFUNCTION("""COMPUTED_VALUE"""),274.61)</f>
        <v>274.61</v>
      </c>
      <c r="F1140" s="1">
        <f>IFERROR(__xludf.DUMMYFUNCTION("""COMPUTED_VALUE"""),3.7648628E7)</f>
        <v>37648628</v>
      </c>
    </row>
    <row r="1141">
      <c r="A1141" s="2">
        <f>IFERROR(__xludf.DUMMYFUNCTION("""COMPUTED_VALUE"""),46008.66666666667)</f>
        <v>46008.66667</v>
      </c>
      <c r="B1141" s="1">
        <f>IFERROR(__xludf.DUMMYFUNCTION("""COMPUTED_VALUE"""),275.01)</f>
        <v>275.01</v>
      </c>
      <c r="C1141" s="1">
        <f>IFERROR(__xludf.DUMMYFUNCTION("""COMPUTED_VALUE"""),276.16)</f>
        <v>276.16</v>
      </c>
      <c r="D1141" s="1">
        <f>IFERROR(__xludf.DUMMYFUNCTION("""COMPUTED_VALUE"""),271.64)</f>
        <v>271.64</v>
      </c>
      <c r="E1141" s="1">
        <f>IFERROR(__xludf.DUMMYFUNCTION("""COMPUTED_VALUE"""),271.84)</f>
        <v>271.84</v>
      </c>
      <c r="F1141" s="1">
        <f>IFERROR(__xludf.DUMMYFUNCTION("""COMPUTED_VALUE"""),5.0138743E7)</f>
        <v>50138743</v>
      </c>
    </row>
    <row r="1142">
      <c r="A1142" s="2">
        <f>IFERROR(__xludf.DUMMYFUNCTION("""COMPUTED_VALUE"""),46009.66666666667)</f>
        <v>46009.66667</v>
      </c>
      <c r="B1142" s="1">
        <f>IFERROR(__xludf.DUMMYFUNCTION("""COMPUTED_VALUE"""),273.61)</f>
        <v>273.61</v>
      </c>
      <c r="C1142" s="1">
        <f>IFERROR(__xludf.DUMMYFUNCTION("""COMPUTED_VALUE"""),273.63)</f>
        <v>273.63</v>
      </c>
      <c r="D1142" s="1">
        <f>IFERROR(__xludf.DUMMYFUNCTION("""COMPUTED_VALUE"""),266.95)</f>
        <v>266.95</v>
      </c>
      <c r="E1142" s="1">
        <f>IFERROR(__xludf.DUMMYFUNCTION("""COMPUTED_VALUE"""),272.19)</f>
        <v>272.19</v>
      </c>
      <c r="F1142" s="1">
        <f>IFERROR(__xludf.DUMMYFUNCTION("""COMPUTED_VALUE"""),5.1630721E7)</f>
        <v>51630721</v>
      </c>
    </row>
    <row r="1143">
      <c r="A1143" s="2">
        <f>IFERROR(__xludf.DUMMYFUNCTION("""COMPUTED_VALUE"""),46010.66666666667)</f>
        <v>46010.66667</v>
      </c>
      <c r="B1143" s="1">
        <f>IFERROR(__xludf.DUMMYFUNCTION("""COMPUTED_VALUE"""),272.15)</f>
        <v>272.15</v>
      </c>
      <c r="C1143" s="1">
        <f>IFERROR(__xludf.DUMMYFUNCTION("""COMPUTED_VALUE"""),274.6)</f>
        <v>274.6</v>
      </c>
      <c r="D1143" s="1">
        <f>IFERROR(__xludf.DUMMYFUNCTION("""COMPUTED_VALUE"""),269.9)</f>
        <v>269.9</v>
      </c>
      <c r="E1143" s="1">
        <f>IFERROR(__xludf.DUMMYFUNCTION("""COMPUTED_VALUE"""),273.67)</f>
        <v>273.67</v>
      </c>
      <c r="F1143" s="1">
        <f>IFERROR(__xludf.DUMMYFUNCTION("""COMPUTED_VALUE"""),1.44632048E8)</f>
        <v>144632048</v>
      </c>
    </row>
    <row r="1144">
      <c r="A1144" s="2">
        <f>IFERROR(__xludf.DUMMYFUNCTION("""COMPUTED_VALUE"""),46013.66666666667)</f>
        <v>46013.66667</v>
      </c>
      <c r="B1144" s="1">
        <f>IFERROR(__xludf.DUMMYFUNCTION("""COMPUTED_VALUE"""),272.86)</f>
        <v>272.86</v>
      </c>
      <c r="C1144" s="1">
        <f>IFERROR(__xludf.DUMMYFUNCTION("""COMPUTED_VALUE"""),273.88)</f>
        <v>273.88</v>
      </c>
      <c r="D1144" s="1">
        <f>IFERROR(__xludf.DUMMYFUNCTION("""COMPUTED_VALUE"""),270.51)</f>
        <v>270.51</v>
      </c>
      <c r="E1144" s="1">
        <f>IFERROR(__xludf.DUMMYFUNCTION("""COMPUTED_VALUE"""),270.97)</f>
        <v>270.97</v>
      </c>
      <c r="F1144" s="1">
        <f>IFERROR(__xludf.DUMMYFUNCTION("""COMPUTED_VALUE"""),3.6571827E7)</f>
        <v>36571827</v>
      </c>
    </row>
    <row r="1145">
      <c r="A1145" s="2">
        <f>IFERROR(__xludf.DUMMYFUNCTION("""COMPUTED_VALUE"""),46014.66666666667)</f>
        <v>46014.66667</v>
      </c>
      <c r="B1145" s="1">
        <f>IFERROR(__xludf.DUMMYFUNCTION("""COMPUTED_VALUE"""),270.84)</f>
        <v>270.84</v>
      </c>
      <c r="C1145" s="1">
        <f>IFERROR(__xludf.DUMMYFUNCTION("""COMPUTED_VALUE"""),272.5)</f>
        <v>272.5</v>
      </c>
      <c r="D1145" s="1">
        <f>IFERROR(__xludf.DUMMYFUNCTION("""COMPUTED_VALUE"""),269.56)</f>
        <v>269.56</v>
      </c>
      <c r="E1145" s="1">
        <f>IFERROR(__xludf.DUMMYFUNCTION("""COMPUTED_VALUE"""),272.36)</f>
        <v>272.36</v>
      </c>
      <c r="F1145" s="1">
        <f>IFERROR(__xludf.DUMMYFUNCTION("""COMPUTED_VALUE"""),2.9641999E7)</f>
        <v>29641999</v>
      </c>
    </row>
    <row r="1146">
      <c r="A1146" s="2">
        <f>IFERROR(__xludf.DUMMYFUNCTION("""COMPUTED_VALUE"""),46015.54513888889)</f>
        <v>46015.54514</v>
      </c>
      <c r="B1146" s="1">
        <f>IFERROR(__xludf.DUMMYFUNCTION("""COMPUTED_VALUE"""),272.34)</f>
        <v>272.34</v>
      </c>
      <c r="C1146" s="1">
        <f>IFERROR(__xludf.DUMMYFUNCTION("""COMPUTED_VALUE"""),275.43)</f>
        <v>275.43</v>
      </c>
      <c r="D1146" s="1">
        <f>IFERROR(__xludf.DUMMYFUNCTION("""COMPUTED_VALUE"""),272.2)</f>
        <v>272.2</v>
      </c>
      <c r="E1146" s="1">
        <f>IFERROR(__xludf.DUMMYFUNCTION("""COMPUTED_VALUE"""),273.81)</f>
        <v>273.81</v>
      </c>
      <c r="F1146" s="1">
        <f>IFERROR(__xludf.DUMMYFUNCTION("""COMPUTED_VALUE"""),1.7910574E7)</f>
        <v>17910574</v>
      </c>
    </row>
    <row r="1147">
      <c r="A1147" s="2">
        <f>IFERROR(__xludf.DUMMYFUNCTION("""COMPUTED_VALUE"""),46017.66666666667)</f>
        <v>46017.66667</v>
      </c>
      <c r="B1147" s="1">
        <f>IFERROR(__xludf.DUMMYFUNCTION("""COMPUTED_VALUE"""),274.16)</f>
        <v>274.16</v>
      </c>
      <c r="C1147" s="1">
        <f>IFERROR(__xludf.DUMMYFUNCTION("""COMPUTED_VALUE"""),275.37)</f>
        <v>275.37</v>
      </c>
      <c r="D1147" s="1">
        <f>IFERROR(__xludf.DUMMYFUNCTION("""COMPUTED_VALUE"""),272.86)</f>
        <v>272.86</v>
      </c>
      <c r="E1147" s="1">
        <f>IFERROR(__xludf.DUMMYFUNCTION("""COMPUTED_VALUE"""),273.4)</f>
        <v>273.4</v>
      </c>
      <c r="F1147" s="1">
        <f>IFERROR(__xludf.DUMMYFUNCTION("""COMPUTED_VALUE"""),2.1521802E7)</f>
        <v>21521802</v>
      </c>
    </row>
    <row r="1148">
      <c r="A1148" s="2">
        <f>IFERROR(__xludf.DUMMYFUNCTION("""COMPUTED_VALUE"""),46020.66666666667)</f>
        <v>46020.66667</v>
      </c>
      <c r="B1148" s="1">
        <f>IFERROR(__xludf.DUMMYFUNCTION("""COMPUTED_VALUE"""),272.69)</f>
        <v>272.69</v>
      </c>
      <c r="C1148" s="1">
        <f>IFERROR(__xludf.DUMMYFUNCTION("""COMPUTED_VALUE"""),274.36)</f>
        <v>274.36</v>
      </c>
      <c r="D1148" s="1">
        <f>IFERROR(__xludf.DUMMYFUNCTION("""COMPUTED_VALUE"""),272.35)</f>
        <v>272.35</v>
      </c>
      <c r="E1148" s="1">
        <f>IFERROR(__xludf.DUMMYFUNCTION("""COMPUTED_VALUE"""),273.76)</f>
        <v>273.76</v>
      </c>
      <c r="F1148" s="1">
        <f>IFERROR(__xludf.DUMMYFUNCTION("""COMPUTED_VALUE"""),2.3715213E7)</f>
        <v>23715213</v>
      </c>
    </row>
    <row r="1149">
      <c r="A1149" s="2">
        <f>IFERROR(__xludf.DUMMYFUNCTION("""COMPUTED_VALUE"""),46021.66666666667)</f>
        <v>46021.66667</v>
      </c>
      <c r="B1149" s="1">
        <f>IFERROR(__xludf.DUMMYFUNCTION("""COMPUTED_VALUE"""),272.81)</f>
        <v>272.81</v>
      </c>
      <c r="C1149" s="1">
        <f>IFERROR(__xludf.DUMMYFUNCTION("""COMPUTED_VALUE"""),274.08)</f>
        <v>274.08</v>
      </c>
      <c r="D1149" s="1">
        <f>IFERROR(__xludf.DUMMYFUNCTION("""COMPUTED_VALUE"""),272.28)</f>
        <v>272.28</v>
      </c>
      <c r="E1149" s="1">
        <f>IFERROR(__xludf.DUMMYFUNCTION("""COMPUTED_VALUE"""),273.08)</f>
        <v>273.08</v>
      </c>
      <c r="F1149" s="1">
        <f>IFERROR(__xludf.DUMMYFUNCTION("""COMPUTED_VALUE"""),2.2139617E7)</f>
        <v>22139617</v>
      </c>
    </row>
    <row r="1150">
      <c r="A1150" s="2">
        <f>IFERROR(__xludf.DUMMYFUNCTION("""COMPUTED_VALUE"""),46022.66666666667)</f>
        <v>46022.66667</v>
      </c>
      <c r="B1150" s="1">
        <f>IFERROR(__xludf.DUMMYFUNCTION("""COMPUTED_VALUE"""),273.06)</f>
        <v>273.06</v>
      </c>
      <c r="C1150" s="1">
        <f>IFERROR(__xludf.DUMMYFUNCTION("""COMPUTED_VALUE"""),273.68)</f>
        <v>273.68</v>
      </c>
      <c r="D1150" s="1">
        <f>IFERROR(__xludf.DUMMYFUNCTION("""COMPUTED_VALUE"""),271.75)</f>
        <v>271.75</v>
      </c>
      <c r="E1150" s="1">
        <f>IFERROR(__xludf.DUMMYFUNCTION("""COMPUTED_VALUE"""),271.86)</f>
        <v>271.86</v>
      </c>
      <c r="F1150" s="1">
        <f>IFERROR(__xludf.DUMMYFUNCTION("""COMPUTED_VALUE"""),2.7293639E7)</f>
        <v>27293639</v>
      </c>
    </row>
    <row r="1151">
      <c r="A1151" s="2">
        <f>IFERROR(__xludf.DUMMYFUNCTION("""COMPUTED_VALUE"""),46024.66666666667)</f>
        <v>46024.66667</v>
      </c>
      <c r="B1151" s="1">
        <f>IFERROR(__xludf.DUMMYFUNCTION("""COMPUTED_VALUE"""),272.26)</f>
        <v>272.26</v>
      </c>
      <c r="C1151" s="1">
        <f>IFERROR(__xludf.DUMMYFUNCTION("""COMPUTED_VALUE"""),277.84)</f>
        <v>277.84</v>
      </c>
      <c r="D1151" s="1">
        <f>IFERROR(__xludf.DUMMYFUNCTION("""COMPUTED_VALUE"""),269.0)</f>
        <v>269</v>
      </c>
      <c r="E1151" s="1">
        <f>IFERROR(__xludf.DUMMYFUNCTION("""COMPUTED_VALUE"""),271.01)</f>
        <v>271.01</v>
      </c>
      <c r="F1151" s="1">
        <f>IFERROR(__xludf.DUMMYFUNCTION("""COMPUTED_VALUE"""),3.7838054E7)</f>
        <v>37838054</v>
      </c>
    </row>
    <row r="1152">
      <c r="A1152" s="2">
        <f>IFERROR(__xludf.DUMMYFUNCTION("""COMPUTED_VALUE"""),46027.66666666667)</f>
        <v>46027.66667</v>
      </c>
      <c r="B1152" s="1">
        <f>IFERROR(__xludf.DUMMYFUNCTION("""COMPUTED_VALUE"""),270.64)</f>
        <v>270.64</v>
      </c>
      <c r="C1152" s="1">
        <f>IFERROR(__xludf.DUMMYFUNCTION("""COMPUTED_VALUE"""),271.51)</f>
        <v>271.51</v>
      </c>
      <c r="D1152" s="1">
        <f>IFERROR(__xludf.DUMMYFUNCTION("""COMPUTED_VALUE"""),266.14)</f>
        <v>266.14</v>
      </c>
      <c r="E1152" s="1">
        <f>IFERROR(__xludf.DUMMYFUNCTION("""COMPUTED_VALUE"""),267.26)</f>
        <v>267.26</v>
      </c>
      <c r="F1152" s="1">
        <f>IFERROR(__xludf.DUMMYFUNCTION("""COMPUTED_VALUE"""),4.564719E7)</f>
        <v>45647190</v>
      </c>
    </row>
    <row r="1153">
      <c r="A1153" s="2">
        <f>IFERROR(__xludf.DUMMYFUNCTION("""COMPUTED_VALUE"""),46028.66666666667)</f>
        <v>46028.66667</v>
      </c>
      <c r="B1153" s="1">
        <f>IFERROR(__xludf.DUMMYFUNCTION("""COMPUTED_VALUE"""),267.0)</f>
        <v>267</v>
      </c>
      <c r="C1153" s="1">
        <f>IFERROR(__xludf.DUMMYFUNCTION("""COMPUTED_VALUE"""),267.55)</f>
        <v>267.55</v>
      </c>
      <c r="D1153" s="1">
        <f>IFERROR(__xludf.DUMMYFUNCTION("""COMPUTED_VALUE"""),262.12)</f>
        <v>262.12</v>
      </c>
      <c r="E1153" s="1">
        <f>IFERROR(__xludf.DUMMYFUNCTION("""COMPUTED_VALUE"""),262.36)</f>
        <v>262.36</v>
      </c>
      <c r="F1153" s="1">
        <f>IFERROR(__xludf.DUMMYFUNCTION("""COMPUTED_VALUE"""),5.235209E7)</f>
        <v>52352090</v>
      </c>
    </row>
    <row r="1154">
      <c r="A1154" s="2">
        <f>IFERROR(__xludf.DUMMYFUNCTION("""COMPUTED_VALUE"""),46029.66666666667)</f>
        <v>46029.66667</v>
      </c>
      <c r="B1154" s="1">
        <f>IFERROR(__xludf.DUMMYFUNCTION("""COMPUTED_VALUE"""),263.2)</f>
        <v>263.2</v>
      </c>
      <c r="C1154" s="1">
        <f>IFERROR(__xludf.DUMMYFUNCTION("""COMPUTED_VALUE"""),263.68)</f>
        <v>263.68</v>
      </c>
      <c r="D1154" s="1">
        <f>IFERROR(__xludf.DUMMYFUNCTION("""COMPUTED_VALUE"""),259.81)</f>
        <v>259.81</v>
      </c>
      <c r="E1154" s="1">
        <f>IFERROR(__xludf.DUMMYFUNCTION("""COMPUTED_VALUE"""),260.33)</f>
        <v>260.33</v>
      </c>
      <c r="F1154" s="1">
        <f>IFERROR(__xludf.DUMMYFUNCTION("""COMPUTED_VALUE"""),4.8309804E7)</f>
        <v>48309804</v>
      </c>
    </row>
    <row r="1155">
      <c r="A1155" s="2">
        <f>IFERROR(__xludf.DUMMYFUNCTION("""COMPUTED_VALUE"""),46030.66666666667)</f>
        <v>46030.66667</v>
      </c>
      <c r="B1155" s="1">
        <f>IFERROR(__xludf.DUMMYFUNCTION("""COMPUTED_VALUE"""),257.02)</f>
        <v>257.02</v>
      </c>
      <c r="C1155" s="1">
        <f>IFERROR(__xludf.DUMMYFUNCTION("""COMPUTED_VALUE"""),259.29)</f>
        <v>259.29</v>
      </c>
      <c r="D1155" s="1">
        <f>IFERROR(__xludf.DUMMYFUNCTION("""COMPUTED_VALUE"""),255.7)</f>
        <v>255.7</v>
      </c>
      <c r="E1155" s="1">
        <f>IFERROR(__xludf.DUMMYFUNCTION("""COMPUTED_VALUE"""),259.04)</f>
        <v>259.04</v>
      </c>
      <c r="F1155" s="1">
        <f>IFERROR(__xludf.DUMMYFUNCTION("""COMPUTED_VALUE"""),5.0419337E7)</f>
        <v>50419337</v>
      </c>
    </row>
    <row r="1156">
      <c r="A1156" s="2">
        <f>IFERROR(__xludf.DUMMYFUNCTION("""COMPUTED_VALUE"""),46031.66666666667)</f>
        <v>46031.66667</v>
      </c>
      <c r="B1156" s="1">
        <f>IFERROR(__xludf.DUMMYFUNCTION("""COMPUTED_VALUE"""),259.08)</f>
        <v>259.08</v>
      </c>
      <c r="C1156" s="1">
        <f>IFERROR(__xludf.DUMMYFUNCTION("""COMPUTED_VALUE"""),260.21)</f>
        <v>260.21</v>
      </c>
      <c r="D1156" s="1">
        <f>IFERROR(__xludf.DUMMYFUNCTION("""COMPUTED_VALUE"""),256.22)</f>
        <v>256.22</v>
      </c>
      <c r="E1156" s="1">
        <f>IFERROR(__xludf.DUMMYFUNCTION("""COMPUTED_VALUE"""),259.37)</f>
        <v>259.37</v>
      </c>
      <c r="F1156" s="1">
        <f>IFERROR(__xludf.DUMMYFUNCTION("""COMPUTED_VALUE"""),3.9996967E7)</f>
        <v>39996967</v>
      </c>
    </row>
    <row r="1157">
      <c r="A1157" s="2">
        <f>IFERROR(__xludf.DUMMYFUNCTION("""COMPUTED_VALUE"""),46034.66666666667)</f>
        <v>46034.66667</v>
      </c>
      <c r="B1157" s="1">
        <f>IFERROR(__xludf.DUMMYFUNCTION("""COMPUTED_VALUE"""),259.16)</f>
        <v>259.16</v>
      </c>
      <c r="C1157" s="1">
        <f>IFERROR(__xludf.DUMMYFUNCTION("""COMPUTED_VALUE"""),261.3)</f>
        <v>261.3</v>
      </c>
      <c r="D1157" s="1">
        <f>IFERROR(__xludf.DUMMYFUNCTION("""COMPUTED_VALUE"""),256.8)</f>
        <v>256.8</v>
      </c>
      <c r="E1157" s="1">
        <f>IFERROR(__xludf.DUMMYFUNCTION("""COMPUTED_VALUE"""),260.25)</f>
        <v>260.25</v>
      </c>
      <c r="F1157" s="1">
        <f>IFERROR(__xludf.DUMMYFUNCTION("""COMPUTED_VALUE"""),4.5263767E7)</f>
        <v>45263767</v>
      </c>
    </row>
    <row r="1158">
      <c r="A1158" s="2">
        <f>IFERROR(__xludf.DUMMYFUNCTION("""COMPUTED_VALUE"""),46035.66666666667)</f>
        <v>46035.66667</v>
      </c>
      <c r="B1158" s="1">
        <f>IFERROR(__xludf.DUMMYFUNCTION("""COMPUTED_VALUE"""),258.72)</f>
        <v>258.72</v>
      </c>
      <c r="C1158" s="1">
        <f>IFERROR(__xludf.DUMMYFUNCTION("""COMPUTED_VALUE"""),261.81)</f>
        <v>261.81</v>
      </c>
      <c r="D1158" s="1">
        <f>IFERROR(__xludf.DUMMYFUNCTION("""COMPUTED_VALUE"""),258.39)</f>
        <v>258.39</v>
      </c>
      <c r="E1158" s="1">
        <f>IFERROR(__xludf.DUMMYFUNCTION("""COMPUTED_VALUE"""),261.05)</f>
        <v>261.05</v>
      </c>
      <c r="F1158" s="1">
        <f>IFERROR(__xludf.DUMMYFUNCTION("""COMPUTED_VALUE"""),4.5730847E7)</f>
        <v>45730847</v>
      </c>
    </row>
    <row r="1159">
      <c r="A1159" s="2">
        <f>IFERROR(__xludf.DUMMYFUNCTION("""COMPUTED_VALUE"""),46036.66666666667)</f>
        <v>46036.66667</v>
      </c>
      <c r="B1159" s="1">
        <f>IFERROR(__xludf.DUMMYFUNCTION("""COMPUTED_VALUE"""),259.49)</f>
        <v>259.49</v>
      </c>
      <c r="C1159" s="1">
        <f>IFERROR(__xludf.DUMMYFUNCTION("""COMPUTED_VALUE"""),261.82)</f>
        <v>261.82</v>
      </c>
      <c r="D1159" s="1">
        <f>IFERROR(__xludf.DUMMYFUNCTION("""COMPUTED_VALUE"""),256.71)</f>
        <v>256.71</v>
      </c>
      <c r="E1159" s="1">
        <f>IFERROR(__xludf.DUMMYFUNCTION("""COMPUTED_VALUE"""),259.96)</f>
        <v>259.96</v>
      </c>
      <c r="F1159" s="1">
        <f>IFERROR(__xludf.DUMMYFUNCTION("""COMPUTED_VALUE"""),4.0019421E7)</f>
        <v>40019421</v>
      </c>
    </row>
    <row r="1160">
      <c r="A1160" s="2">
        <f>IFERROR(__xludf.DUMMYFUNCTION("""COMPUTED_VALUE"""),46037.66666666667)</f>
        <v>46037.66667</v>
      </c>
      <c r="B1160" s="1">
        <f>IFERROR(__xludf.DUMMYFUNCTION("""COMPUTED_VALUE"""),260.65)</f>
        <v>260.65</v>
      </c>
      <c r="C1160" s="1">
        <f>IFERROR(__xludf.DUMMYFUNCTION("""COMPUTED_VALUE"""),261.04)</f>
        <v>261.04</v>
      </c>
      <c r="D1160" s="1">
        <f>IFERROR(__xludf.DUMMYFUNCTION("""COMPUTED_VALUE"""),257.05)</f>
        <v>257.05</v>
      </c>
      <c r="E1160" s="1">
        <f>IFERROR(__xludf.DUMMYFUNCTION("""COMPUTED_VALUE"""),258.21)</f>
        <v>258.21</v>
      </c>
      <c r="F1160" s="1">
        <f>IFERROR(__xludf.DUMMYFUNCTION("""COMPUTED_VALUE"""),3.9388564E7)</f>
        <v>39388564</v>
      </c>
    </row>
    <row r="1161">
      <c r="A1161" s="2">
        <f>IFERROR(__xludf.DUMMYFUNCTION("""COMPUTED_VALUE"""),46038.66666666667)</f>
        <v>46038.66667</v>
      </c>
      <c r="B1161" s="1">
        <f>IFERROR(__xludf.DUMMYFUNCTION("""COMPUTED_VALUE"""),257.9)</f>
        <v>257.9</v>
      </c>
      <c r="C1161" s="1">
        <f>IFERROR(__xludf.DUMMYFUNCTION("""COMPUTED_VALUE"""),258.9)</f>
        <v>258.9</v>
      </c>
      <c r="D1161" s="1">
        <f>IFERROR(__xludf.DUMMYFUNCTION("""COMPUTED_VALUE"""),254.93)</f>
        <v>254.93</v>
      </c>
      <c r="E1161" s="1">
        <f>IFERROR(__xludf.DUMMYFUNCTION("""COMPUTED_VALUE"""),255.53)</f>
        <v>255.53</v>
      </c>
      <c r="F1161" s="1">
        <f>IFERROR(__xludf.DUMMYFUNCTION("""COMPUTED_VALUE"""),7.2142773E7)</f>
        <v>72142773</v>
      </c>
    </row>
    <row r="1162">
      <c r="A1162" s="2">
        <f>IFERROR(__xludf.DUMMYFUNCTION("""COMPUTED_VALUE"""),46042.66666666667)</f>
        <v>46042.66667</v>
      </c>
      <c r="B1162" s="1">
        <f>IFERROR(__xludf.DUMMYFUNCTION("""COMPUTED_VALUE"""),252.73)</f>
        <v>252.73</v>
      </c>
      <c r="C1162" s="1">
        <f>IFERROR(__xludf.DUMMYFUNCTION("""COMPUTED_VALUE"""),254.79)</f>
        <v>254.79</v>
      </c>
      <c r="D1162" s="1">
        <f>IFERROR(__xludf.DUMMYFUNCTION("""COMPUTED_VALUE"""),243.42)</f>
        <v>243.42</v>
      </c>
      <c r="E1162" s="1">
        <f>IFERROR(__xludf.DUMMYFUNCTION("""COMPUTED_VALUE"""),246.7)</f>
        <v>246.7</v>
      </c>
      <c r="F1162" s="1">
        <f>IFERROR(__xludf.DUMMYFUNCTION("""COMPUTED_VALUE"""),8.0267517E7)</f>
        <v>80267517</v>
      </c>
    </row>
    <row r="1163">
      <c r="A1163" s="2">
        <f>IFERROR(__xludf.DUMMYFUNCTION("""COMPUTED_VALUE"""),46043.66666666667)</f>
        <v>46043.66667</v>
      </c>
      <c r="B1163" s="1">
        <f>IFERROR(__xludf.DUMMYFUNCTION("""COMPUTED_VALUE"""),248.7)</f>
        <v>248.7</v>
      </c>
      <c r="C1163" s="1">
        <f>IFERROR(__xludf.DUMMYFUNCTION("""COMPUTED_VALUE"""),251.56)</f>
        <v>251.56</v>
      </c>
      <c r="D1163" s="1">
        <f>IFERROR(__xludf.DUMMYFUNCTION("""COMPUTED_VALUE"""),245.18)</f>
        <v>245.18</v>
      </c>
      <c r="E1163" s="1">
        <f>IFERROR(__xludf.DUMMYFUNCTION("""COMPUTED_VALUE"""),247.65)</f>
        <v>247.65</v>
      </c>
      <c r="F1163" s="1">
        <f>IFERROR(__xludf.DUMMYFUNCTION("""COMPUTED_VALUE"""),5.4641725E7)</f>
        <v>54641725</v>
      </c>
    </row>
    <row r="1164">
      <c r="A1164" s="2">
        <f>IFERROR(__xludf.DUMMYFUNCTION("""COMPUTED_VALUE"""),46044.66666666667)</f>
        <v>46044.66667</v>
      </c>
      <c r="B1164" s="1">
        <f>IFERROR(__xludf.DUMMYFUNCTION("""COMPUTED_VALUE"""),249.2)</f>
        <v>249.2</v>
      </c>
      <c r="C1164" s="1">
        <f>IFERROR(__xludf.DUMMYFUNCTION("""COMPUTED_VALUE"""),251.0)</f>
        <v>251</v>
      </c>
      <c r="D1164" s="1">
        <f>IFERROR(__xludf.DUMMYFUNCTION("""COMPUTED_VALUE"""),248.15)</f>
        <v>248.15</v>
      </c>
      <c r="E1164" s="1">
        <f>IFERROR(__xludf.DUMMYFUNCTION("""COMPUTED_VALUE"""),248.35)</f>
        <v>248.35</v>
      </c>
      <c r="F1164" s="1">
        <f>IFERROR(__xludf.DUMMYFUNCTION("""COMPUTED_VALUE"""),3.970834E7)</f>
        <v>39708340</v>
      </c>
    </row>
    <row r="1165">
      <c r="A1165" s="2">
        <f>IFERROR(__xludf.DUMMYFUNCTION("""COMPUTED_VALUE"""),46045.66666666667)</f>
        <v>46045.66667</v>
      </c>
      <c r="B1165" s="1">
        <f>IFERROR(__xludf.DUMMYFUNCTION("""COMPUTED_VALUE"""),247.32)</f>
        <v>247.32</v>
      </c>
      <c r="C1165" s="1">
        <f>IFERROR(__xludf.DUMMYFUNCTION("""COMPUTED_VALUE"""),249.41)</f>
        <v>249.41</v>
      </c>
      <c r="D1165" s="1">
        <f>IFERROR(__xludf.DUMMYFUNCTION("""COMPUTED_VALUE"""),244.68)</f>
        <v>244.68</v>
      </c>
      <c r="E1165" s="1">
        <f>IFERROR(__xludf.DUMMYFUNCTION("""COMPUTED_VALUE"""),248.04)</f>
        <v>248.04</v>
      </c>
      <c r="F1165" s="1">
        <f>IFERROR(__xludf.DUMMYFUNCTION("""COMPUTED_VALUE"""),4.1688982E7)</f>
        <v>41688982</v>
      </c>
    </row>
    <row r="1166">
      <c r="A1166" s="2">
        <f>IFERROR(__xludf.DUMMYFUNCTION("""COMPUTED_VALUE"""),46048.66666666667)</f>
        <v>46048.66667</v>
      </c>
      <c r="B1166" s="1">
        <f>IFERROR(__xludf.DUMMYFUNCTION("""COMPUTED_VALUE"""),251.48)</f>
        <v>251.48</v>
      </c>
      <c r="C1166" s="1">
        <f>IFERROR(__xludf.DUMMYFUNCTION("""COMPUTED_VALUE"""),256.56)</f>
        <v>256.56</v>
      </c>
      <c r="D1166" s="1">
        <f>IFERROR(__xludf.DUMMYFUNCTION("""COMPUTED_VALUE"""),249.8)</f>
        <v>249.8</v>
      </c>
      <c r="E1166" s="1">
        <f>IFERROR(__xludf.DUMMYFUNCTION("""COMPUTED_VALUE"""),255.41)</f>
        <v>255.41</v>
      </c>
      <c r="F1166" s="1">
        <f>IFERROR(__xludf.DUMMYFUNCTION("""COMPUTED_VALUE"""),5.5969234E7)</f>
        <v>55969234</v>
      </c>
    </row>
    <row r="1167">
      <c r="A1167" s="2">
        <f>IFERROR(__xludf.DUMMYFUNCTION("""COMPUTED_VALUE"""),46049.66666666667)</f>
        <v>46049.66667</v>
      </c>
      <c r="B1167" s="1">
        <f>IFERROR(__xludf.DUMMYFUNCTION("""COMPUTED_VALUE"""),259.17)</f>
        <v>259.17</v>
      </c>
      <c r="C1167" s="1">
        <f>IFERROR(__xludf.DUMMYFUNCTION("""COMPUTED_VALUE"""),261.95)</f>
        <v>261.95</v>
      </c>
      <c r="D1167" s="1">
        <f>IFERROR(__xludf.DUMMYFUNCTION("""COMPUTED_VALUE"""),258.21)</f>
        <v>258.21</v>
      </c>
      <c r="E1167" s="1">
        <f>IFERROR(__xludf.DUMMYFUNCTION("""COMPUTED_VALUE"""),258.27)</f>
        <v>258.27</v>
      </c>
      <c r="F1167" s="1">
        <f>IFERROR(__xludf.DUMMYFUNCTION("""COMPUTED_VALUE"""),4.9648271E7)</f>
        <v>49648271</v>
      </c>
    </row>
    <row r="1168">
      <c r="A1168" s="2">
        <f>IFERROR(__xludf.DUMMYFUNCTION("""COMPUTED_VALUE"""),46050.66666666667)</f>
        <v>46050.66667</v>
      </c>
      <c r="B1168" s="1">
        <f>IFERROR(__xludf.DUMMYFUNCTION("""COMPUTED_VALUE"""),257.65)</f>
        <v>257.65</v>
      </c>
      <c r="C1168" s="1">
        <f>IFERROR(__xludf.DUMMYFUNCTION("""COMPUTED_VALUE"""),258.86)</f>
        <v>258.86</v>
      </c>
      <c r="D1168" s="1">
        <f>IFERROR(__xludf.DUMMYFUNCTION("""COMPUTED_VALUE"""),254.51)</f>
        <v>254.51</v>
      </c>
      <c r="E1168" s="1">
        <f>IFERROR(__xludf.DUMMYFUNCTION("""COMPUTED_VALUE"""),256.44)</f>
        <v>256.44</v>
      </c>
      <c r="F1168" s="1">
        <f>IFERROR(__xludf.DUMMYFUNCTION("""COMPUTED_VALUE"""),4.1287971E7)</f>
        <v>41287971</v>
      </c>
    </row>
    <row r="1169">
      <c r="A1169" s="2">
        <f>IFERROR(__xludf.DUMMYFUNCTION("""COMPUTED_VALUE"""),46051.66666666667)</f>
        <v>46051.66667</v>
      </c>
      <c r="B1169" s="1">
        <f>IFERROR(__xludf.DUMMYFUNCTION("""COMPUTED_VALUE"""),258.0)</f>
        <v>258</v>
      </c>
      <c r="C1169" s="1">
        <f>IFERROR(__xludf.DUMMYFUNCTION("""COMPUTED_VALUE"""),259.65)</f>
        <v>259.65</v>
      </c>
      <c r="D1169" s="1">
        <f>IFERROR(__xludf.DUMMYFUNCTION("""COMPUTED_VALUE"""),254.41)</f>
        <v>254.41</v>
      </c>
      <c r="E1169" s="1">
        <f>IFERROR(__xludf.DUMMYFUNCTION("""COMPUTED_VALUE"""),258.28)</f>
        <v>258.28</v>
      </c>
      <c r="F1169" s="1">
        <f>IFERROR(__xludf.DUMMYFUNCTION("""COMPUTED_VALUE"""),6.7253009E7)</f>
        <v>67253009</v>
      </c>
    </row>
    <row r="1170">
      <c r="A1170" s="2">
        <f>IFERROR(__xludf.DUMMYFUNCTION("""COMPUTED_VALUE"""),46052.66666666667)</f>
        <v>46052.66667</v>
      </c>
      <c r="B1170" s="1">
        <f>IFERROR(__xludf.DUMMYFUNCTION("""COMPUTED_VALUE"""),255.17)</f>
        <v>255.17</v>
      </c>
      <c r="C1170" s="1">
        <f>IFERROR(__xludf.DUMMYFUNCTION("""COMPUTED_VALUE"""),261.9)</f>
        <v>261.9</v>
      </c>
      <c r="D1170" s="1">
        <f>IFERROR(__xludf.DUMMYFUNCTION("""COMPUTED_VALUE"""),252.18)</f>
        <v>252.18</v>
      </c>
      <c r="E1170" s="1">
        <f>IFERROR(__xludf.DUMMYFUNCTION("""COMPUTED_VALUE"""),259.48)</f>
        <v>259.48</v>
      </c>
      <c r="F1170" s="1">
        <f>IFERROR(__xludf.DUMMYFUNCTION("""COMPUTED_VALUE"""),9.2443408E7)</f>
        <v>92443408</v>
      </c>
    </row>
    <row r="1171">
      <c r="A1171" s="2">
        <f>IFERROR(__xludf.DUMMYFUNCTION("""COMPUTED_VALUE"""),46055.66666666667)</f>
        <v>46055.66667</v>
      </c>
      <c r="B1171" s="1">
        <f>IFERROR(__xludf.DUMMYFUNCTION("""COMPUTED_VALUE"""),260.03)</f>
        <v>260.03</v>
      </c>
      <c r="C1171" s="1">
        <f>IFERROR(__xludf.DUMMYFUNCTION("""COMPUTED_VALUE"""),270.49)</f>
        <v>270.49</v>
      </c>
      <c r="D1171" s="1">
        <f>IFERROR(__xludf.DUMMYFUNCTION("""COMPUTED_VALUE"""),259.21)</f>
        <v>259.21</v>
      </c>
      <c r="E1171" s="1">
        <f>IFERROR(__xludf.DUMMYFUNCTION("""COMPUTED_VALUE"""),270.01)</f>
        <v>270.01</v>
      </c>
      <c r="F1171" s="1">
        <f>IFERROR(__xludf.DUMMYFUNCTION("""COMPUTED_VALUE"""),7.3913425E7)</f>
        <v>73913425</v>
      </c>
    </row>
    <row r="1172">
      <c r="A1172" s="2">
        <f>IFERROR(__xludf.DUMMYFUNCTION("""COMPUTED_VALUE"""),46056.66666666667)</f>
        <v>46056.66667</v>
      </c>
      <c r="B1172" s="1">
        <f>IFERROR(__xludf.DUMMYFUNCTION("""COMPUTED_VALUE"""),269.2)</f>
        <v>269.2</v>
      </c>
      <c r="C1172" s="1">
        <f>IFERROR(__xludf.DUMMYFUNCTION("""COMPUTED_VALUE"""),271.88)</f>
        <v>271.88</v>
      </c>
      <c r="D1172" s="1">
        <f>IFERROR(__xludf.DUMMYFUNCTION("""COMPUTED_VALUE"""),267.61)</f>
        <v>267.61</v>
      </c>
      <c r="E1172" s="1">
        <f>IFERROR(__xludf.DUMMYFUNCTION("""COMPUTED_VALUE"""),269.48)</f>
        <v>269.48</v>
      </c>
      <c r="F1172" s="1">
        <f>IFERROR(__xludf.DUMMYFUNCTION("""COMPUTED_VALUE"""),6.4394655E7)</f>
        <v>64394655</v>
      </c>
    </row>
    <row r="1173">
      <c r="A1173" s="2">
        <f>IFERROR(__xludf.DUMMYFUNCTION("""COMPUTED_VALUE"""),46057.66666666667)</f>
        <v>46057.66667</v>
      </c>
      <c r="B1173" s="1">
        <f>IFERROR(__xludf.DUMMYFUNCTION("""COMPUTED_VALUE"""),272.29)</f>
        <v>272.29</v>
      </c>
      <c r="C1173" s="1">
        <f>IFERROR(__xludf.DUMMYFUNCTION("""COMPUTED_VALUE"""),278.95)</f>
        <v>278.95</v>
      </c>
      <c r="D1173" s="1">
        <f>IFERROR(__xludf.DUMMYFUNCTION("""COMPUTED_VALUE"""),272.29)</f>
        <v>272.29</v>
      </c>
      <c r="E1173" s="1">
        <f>IFERROR(__xludf.DUMMYFUNCTION("""COMPUTED_VALUE"""),276.49)</f>
        <v>276.49</v>
      </c>
      <c r="F1173" s="1">
        <f>IFERROR(__xludf.DUMMYFUNCTION("""COMPUTED_VALUE"""),9.054571E7)</f>
        <v>90545710</v>
      </c>
    </row>
    <row r="1174">
      <c r="A1174" s="2">
        <f>IFERROR(__xludf.DUMMYFUNCTION("""COMPUTED_VALUE"""),46058.66666666667)</f>
        <v>46058.66667</v>
      </c>
      <c r="B1174" s="1">
        <f>IFERROR(__xludf.DUMMYFUNCTION("""COMPUTED_VALUE"""),278.13)</f>
        <v>278.13</v>
      </c>
      <c r="C1174" s="1">
        <f>IFERROR(__xludf.DUMMYFUNCTION("""COMPUTED_VALUE"""),279.5)</f>
        <v>279.5</v>
      </c>
      <c r="D1174" s="1">
        <f>IFERROR(__xludf.DUMMYFUNCTION("""COMPUTED_VALUE"""),273.23)</f>
        <v>273.23</v>
      </c>
      <c r="E1174" s="1">
        <f>IFERROR(__xludf.DUMMYFUNCTION("""COMPUTED_VALUE"""),275.91)</f>
        <v>275.91</v>
      </c>
      <c r="F1174" s="1">
        <f>IFERROR(__xludf.DUMMYFUNCTION("""COMPUTED_VALUE"""),5.2977441E7)</f>
        <v>52977441</v>
      </c>
    </row>
    <row r="1175">
      <c r="A1175" s="2">
        <f>IFERROR(__xludf.DUMMYFUNCTION("""COMPUTED_VALUE"""),46059.66666666667)</f>
        <v>46059.66667</v>
      </c>
      <c r="B1175" s="1">
        <f>IFERROR(__xludf.DUMMYFUNCTION("""COMPUTED_VALUE"""),277.12)</f>
        <v>277.12</v>
      </c>
      <c r="C1175" s="1">
        <f>IFERROR(__xludf.DUMMYFUNCTION("""COMPUTED_VALUE"""),280.9)</f>
        <v>280.9</v>
      </c>
      <c r="D1175" s="1">
        <f>IFERROR(__xludf.DUMMYFUNCTION("""COMPUTED_VALUE"""),276.93)</f>
        <v>276.93</v>
      </c>
      <c r="E1175" s="1">
        <f>IFERROR(__xludf.DUMMYFUNCTION("""COMPUTED_VALUE"""),278.12)</f>
        <v>278.12</v>
      </c>
      <c r="F1175" s="1">
        <f>IFERROR(__xludf.DUMMYFUNCTION("""COMPUTED_VALUE"""),5.0453414E7)</f>
        <v>50453414</v>
      </c>
    </row>
    <row r="1176">
      <c r="A1176" s="2">
        <f>IFERROR(__xludf.DUMMYFUNCTION("""COMPUTED_VALUE"""),46062.66666666667)</f>
        <v>46062.66667</v>
      </c>
      <c r="B1176" s="1">
        <f>IFERROR(__xludf.DUMMYFUNCTION("""COMPUTED_VALUE"""),277.9)</f>
        <v>277.9</v>
      </c>
      <c r="C1176" s="1">
        <f>IFERROR(__xludf.DUMMYFUNCTION("""COMPUTED_VALUE"""),278.2)</f>
        <v>278.2</v>
      </c>
      <c r="D1176" s="1">
        <f>IFERROR(__xludf.DUMMYFUNCTION("""COMPUTED_VALUE"""),271.7)</f>
        <v>271.7</v>
      </c>
      <c r="E1176" s="1">
        <f>IFERROR(__xludf.DUMMYFUNCTION("""COMPUTED_VALUE"""),274.62)</f>
        <v>274.62</v>
      </c>
      <c r="F1176" s="1">
        <f>IFERROR(__xludf.DUMMYFUNCTION("""COMPUTED_VALUE"""),4.4623396E7)</f>
        <v>44623396</v>
      </c>
    </row>
    <row r="1177">
      <c r="A1177" s="2">
        <f>IFERROR(__xludf.DUMMYFUNCTION("""COMPUTED_VALUE"""),46063.66666666667)</f>
        <v>46063.66667</v>
      </c>
      <c r="B1177" s="1">
        <f>IFERROR(__xludf.DUMMYFUNCTION("""COMPUTED_VALUE"""),274.89)</f>
        <v>274.89</v>
      </c>
      <c r="C1177" s="1">
        <f>IFERROR(__xludf.DUMMYFUNCTION("""COMPUTED_VALUE"""),275.37)</f>
        <v>275.37</v>
      </c>
      <c r="D1177" s="1">
        <f>IFERROR(__xludf.DUMMYFUNCTION("""COMPUTED_VALUE"""),272.94)</f>
        <v>272.94</v>
      </c>
      <c r="E1177" s="1">
        <f>IFERROR(__xludf.DUMMYFUNCTION("""COMPUTED_VALUE"""),273.68)</f>
        <v>273.68</v>
      </c>
      <c r="F1177" s="1">
        <f>IFERROR(__xludf.DUMMYFUNCTION("""COMPUTED_VALUE"""),3.4376898E7)</f>
        <v>34376898</v>
      </c>
    </row>
    <row r="1178">
      <c r="A1178" s="2">
        <f>IFERROR(__xludf.DUMMYFUNCTION("""COMPUTED_VALUE"""),46064.66666666667)</f>
        <v>46064.66667</v>
      </c>
      <c r="B1178" s="1">
        <f>IFERROR(__xludf.DUMMYFUNCTION("""COMPUTED_VALUE"""),274.7)</f>
        <v>274.7</v>
      </c>
      <c r="C1178" s="1">
        <f>IFERROR(__xludf.DUMMYFUNCTION("""COMPUTED_VALUE"""),280.18)</f>
        <v>280.18</v>
      </c>
      <c r="D1178" s="1">
        <f>IFERROR(__xludf.DUMMYFUNCTION("""COMPUTED_VALUE"""),274.45)</f>
        <v>274.45</v>
      </c>
      <c r="E1178" s="1">
        <f>IFERROR(__xludf.DUMMYFUNCTION("""COMPUTED_VALUE"""),275.5)</f>
        <v>275.5</v>
      </c>
      <c r="F1178" s="1">
        <f>IFERROR(__xludf.DUMMYFUNCTION("""COMPUTED_VALUE"""),5.1931283E7)</f>
        <v>51931283</v>
      </c>
    </row>
    <row r="1179">
      <c r="A1179" s="2">
        <f>IFERROR(__xludf.DUMMYFUNCTION("""COMPUTED_VALUE"""),46065.66666666667)</f>
        <v>46065.66667</v>
      </c>
      <c r="B1179" s="1">
        <f>IFERROR(__xludf.DUMMYFUNCTION("""COMPUTED_VALUE"""),275.59)</f>
        <v>275.59</v>
      </c>
      <c r="C1179" s="1">
        <f>IFERROR(__xludf.DUMMYFUNCTION("""COMPUTED_VALUE"""),275.72)</f>
        <v>275.72</v>
      </c>
      <c r="D1179" s="1">
        <f>IFERROR(__xludf.DUMMYFUNCTION("""COMPUTED_VALUE"""),260.18)</f>
        <v>260.18</v>
      </c>
      <c r="E1179" s="1">
        <f>IFERROR(__xludf.DUMMYFUNCTION("""COMPUTED_VALUE"""),261.73)</f>
        <v>261.73</v>
      </c>
      <c r="F1179" s="1">
        <f>IFERROR(__xludf.DUMMYFUNCTION("""COMPUTED_VALUE"""),8.1077229E7)</f>
        <v>81077229</v>
      </c>
    </row>
    <row r="1180">
      <c r="A1180" s="2">
        <f>IFERROR(__xludf.DUMMYFUNCTION("""COMPUTED_VALUE"""),46066.66666666667)</f>
        <v>46066.66667</v>
      </c>
      <c r="B1180" s="1">
        <f>IFERROR(__xludf.DUMMYFUNCTION("""COMPUTED_VALUE"""),262.01)</f>
        <v>262.01</v>
      </c>
      <c r="C1180" s="1">
        <f>IFERROR(__xludf.DUMMYFUNCTION("""COMPUTED_VALUE"""),262.23)</f>
        <v>262.23</v>
      </c>
      <c r="D1180" s="1">
        <f>IFERROR(__xludf.DUMMYFUNCTION("""COMPUTED_VALUE"""),255.45)</f>
        <v>255.45</v>
      </c>
      <c r="E1180" s="1">
        <f>IFERROR(__xludf.DUMMYFUNCTION("""COMPUTED_VALUE"""),255.78)</f>
        <v>255.78</v>
      </c>
      <c r="F1180" s="1">
        <f>IFERROR(__xludf.DUMMYFUNCTION("""COMPUTED_VALUE"""),5.6290673E7)</f>
        <v>56290673</v>
      </c>
    </row>
    <row r="1181">
      <c r="A1181" s="2">
        <f>IFERROR(__xludf.DUMMYFUNCTION("""COMPUTED_VALUE"""),46070.66666666667)</f>
        <v>46070.66667</v>
      </c>
      <c r="B1181" s="1">
        <f>IFERROR(__xludf.DUMMYFUNCTION("""COMPUTED_VALUE"""),258.05)</f>
        <v>258.05</v>
      </c>
      <c r="C1181" s="1">
        <f>IFERROR(__xludf.DUMMYFUNCTION("""COMPUTED_VALUE"""),266.29)</f>
        <v>266.29</v>
      </c>
      <c r="D1181" s="1">
        <f>IFERROR(__xludf.DUMMYFUNCTION("""COMPUTED_VALUE"""),255.54)</f>
        <v>255.54</v>
      </c>
      <c r="E1181" s="1">
        <f>IFERROR(__xludf.DUMMYFUNCTION("""COMPUTED_VALUE"""),263.88)</f>
        <v>263.88</v>
      </c>
      <c r="F1181" s="1">
        <f>IFERROR(__xludf.DUMMYFUNCTION("""COMPUTED_VALUE"""),5.8469094E7)</f>
        <v>58469094</v>
      </c>
    </row>
    <row r="1182">
      <c r="A1182" s="2">
        <f>IFERROR(__xludf.DUMMYFUNCTION("""COMPUTED_VALUE"""),46071.66666666667)</f>
        <v>46071.66667</v>
      </c>
      <c r="B1182" s="1">
        <f>IFERROR(__xludf.DUMMYFUNCTION("""COMPUTED_VALUE"""),263.6)</f>
        <v>263.6</v>
      </c>
      <c r="C1182" s="1">
        <f>IFERROR(__xludf.DUMMYFUNCTION("""COMPUTED_VALUE"""),266.82)</f>
        <v>266.82</v>
      </c>
      <c r="D1182" s="1">
        <f>IFERROR(__xludf.DUMMYFUNCTION("""COMPUTED_VALUE"""),262.45)</f>
        <v>262.45</v>
      </c>
      <c r="E1182" s="1">
        <f>IFERROR(__xludf.DUMMYFUNCTION("""COMPUTED_VALUE"""),264.35)</f>
        <v>264.35</v>
      </c>
      <c r="F1182" s="1">
        <f>IFERROR(__xludf.DUMMYFUNCTION("""COMPUTED_VALUE"""),3.4203337E7)</f>
        <v>34203337</v>
      </c>
    </row>
    <row r="1183">
      <c r="A1183" s="2">
        <f>IFERROR(__xludf.DUMMYFUNCTION("""COMPUTED_VALUE"""),46072.66666666667)</f>
        <v>46072.66667</v>
      </c>
      <c r="B1183" s="1">
        <f>IFERROR(__xludf.DUMMYFUNCTION("""COMPUTED_VALUE"""),262.6)</f>
        <v>262.6</v>
      </c>
      <c r="C1183" s="1">
        <f>IFERROR(__xludf.DUMMYFUNCTION("""COMPUTED_VALUE"""),264.48)</f>
        <v>264.48</v>
      </c>
      <c r="D1183" s="1">
        <f>IFERROR(__xludf.DUMMYFUNCTION("""COMPUTED_VALUE"""),260.05)</f>
        <v>260.05</v>
      </c>
      <c r="E1183" s="1">
        <f>IFERROR(__xludf.DUMMYFUNCTION("""COMPUTED_VALUE"""),260.58)</f>
        <v>260.58</v>
      </c>
      <c r="F1183" s="1">
        <f>IFERROR(__xludf.DUMMYFUNCTION("""COMPUTED_VALUE"""),3.0845294E7)</f>
        <v>30845294</v>
      </c>
    </row>
    <row r="1184">
      <c r="A1184" s="2">
        <f>IFERROR(__xludf.DUMMYFUNCTION("""COMPUTED_VALUE"""),46073.66666666667)</f>
        <v>46073.66667</v>
      </c>
      <c r="B1184" s="1">
        <f>IFERROR(__xludf.DUMMYFUNCTION("""COMPUTED_VALUE"""),258.97)</f>
        <v>258.97</v>
      </c>
      <c r="C1184" s="1">
        <f>IFERROR(__xludf.DUMMYFUNCTION("""COMPUTED_VALUE"""),264.75)</f>
        <v>264.75</v>
      </c>
      <c r="D1184" s="1">
        <f>IFERROR(__xludf.DUMMYFUNCTION("""COMPUTED_VALUE"""),258.16)</f>
        <v>258.16</v>
      </c>
      <c r="E1184" s="1">
        <f>IFERROR(__xludf.DUMMYFUNCTION("""COMPUTED_VALUE"""),264.58)</f>
        <v>264.58</v>
      </c>
      <c r="F1184" s="1">
        <f>IFERROR(__xludf.DUMMYFUNCTION("""COMPUTED_VALUE"""),4.2070499E7)</f>
        <v>42070499</v>
      </c>
    </row>
    <row r="1185">
      <c r="A1185" s="2">
        <f>IFERROR(__xludf.DUMMYFUNCTION("""COMPUTED_VALUE"""),46076.66666666667)</f>
        <v>46076.66667</v>
      </c>
      <c r="B1185" s="1">
        <f>IFERROR(__xludf.DUMMYFUNCTION("""COMPUTED_VALUE"""),263.49)</f>
        <v>263.49</v>
      </c>
      <c r="C1185" s="1">
        <f>IFERROR(__xludf.DUMMYFUNCTION("""COMPUTED_VALUE"""),269.43)</f>
        <v>269.43</v>
      </c>
      <c r="D1185" s="1">
        <f>IFERROR(__xludf.DUMMYFUNCTION("""COMPUTED_VALUE"""),263.38)</f>
        <v>263.38</v>
      </c>
      <c r="E1185" s="1">
        <f>IFERROR(__xludf.DUMMYFUNCTION("""COMPUTED_VALUE"""),266.18)</f>
        <v>266.18</v>
      </c>
      <c r="F1185" s="1">
        <f>IFERROR(__xludf.DUMMYFUNCTION("""COMPUTED_VALUE"""),3.7037423E7)</f>
        <v>37037423</v>
      </c>
    </row>
    <row r="1186">
      <c r="A1186" s="2">
        <f>IFERROR(__xludf.DUMMYFUNCTION("""COMPUTED_VALUE"""),46077.66666666667)</f>
        <v>46077.66667</v>
      </c>
      <c r="B1186" s="1">
        <f>IFERROR(__xludf.DUMMYFUNCTION("""COMPUTED_VALUE"""),267.86)</f>
        <v>267.86</v>
      </c>
      <c r="C1186" s="1">
        <f>IFERROR(__xludf.DUMMYFUNCTION("""COMPUTED_VALUE"""),274.89)</f>
        <v>274.89</v>
      </c>
      <c r="D1186" s="1">
        <f>IFERROR(__xludf.DUMMYFUNCTION("""COMPUTED_VALUE"""),267.71)</f>
        <v>267.71</v>
      </c>
      <c r="E1186" s="1">
        <f>IFERROR(__xludf.DUMMYFUNCTION("""COMPUTED_VALUE"""),272.14)</f>
        <v>272.14</v>
      </c>
      <c r="F1186" s="1">
        <f>IFERROR(__xludf.DUMMYFUNCTION("""COMPUTED_VALUE"""),4.6640212E7)</f>
        <v>46640212</v>
      </c>
    </row>
    <row r="1187">
      <c r="A1187" s="2">
        <f>IFERROR(__xludf.DUMMYFUNCTION("""COMPUTED_VALUE"""),46078.66666666667)</f>
        <v>46078.66667</v>
      </c>
      <c r="B1187" s="1">
        <f>IFERROR(__xludf.DUMMYFUNCTION("""COMPUTED_VALUE"""),271.78)</f>
        <v>271.78</v>
      </c>
      <c r="C1187" s="1">
        <f>IFERROR(__xludf.DUMMYFUNCTION("""COMPUTED_VALUE"""),274.94)</f>
        <v>274.94</v>
      </c>
      <c r="D1187" s="1">
        <f>IFERROR(__xludf.DUMMYFUNCTION("""COMPUTED_VALUE"""),271.05)</f>
        <v>271.05</v>
      </c>
      <c r="E1187" s="1">
        <f>IFERROR(__xludf.DUMMYFUNCTION("""COMPUTED_VALUE"""),274.23)</f>
        <v>274.23</v>
      </c>
      <c r="F1187" s="1">
        <f>IFERROR(__xludf.DUMMYFUNCTION("""COMPUTED_VALUE"""),3.2901326E7)</f>
        <v>32901326</v>
      </c>
    </row>
    <row r="1188">
      <c r="A1188" s="2">
        <f>IFERROR(__xludf.DUMMYFUNCTION("""COMPUTED_VALUE"""),46079.66666666667)</f>
        <v>46079.66667</v>
      </c>
      <c r="B1188" s="1">
        <f>IFERROR(__xludf.DUMMYFUNCTION("""COMPUTED_VALUE"""),274.95)</f>
        <v>274.95</v>
      </c>
      <c r="C1188" s="1">
        <f>IFERROR(__xludf.DUMMYFUNCTION("""COMPUTED_VALUE"""),276.11)</f>
        <v>276.11</v>
      </c>
      <c r="D1188" s="1">
        <f>IFERROR(__xludf.DUMMYFUNCTION("""COMPUTED_VALUE"""),270.8)</f>
        <v>270.8</v>
      </c>
      <c r="E1188" s="1">
        <f>IFERROR(__xludf.DUMMYFUNCTION("""COMPUTED_VALUE"""),272.95)</f>
        <v>272.95</v>
      </c>
      <c r="F1188" s="1">
        <f>IFERROR(__xludf.DUMMYFUNCTION("""COMPUTED_VALUE"""),3.2020158E7)</f>
        <v>32020158</v>
      </c>
    </row>
    <row r="1189">
      <c r="A1189" s="2">
        <f>IFERROR(__xludf.DUMMYFUNCTION("""COMPUTED_VALUE"""),46080.66666666667)</f>
        <v>46080.66667</v>
      </c>
      <c r="B1189" s="1">
        <f>IFERROR(__xludf.DUMMYFUNCTION("""COMPUTED_VALUE"""),272.81)</f>
        <v>272.81</v>
      </c>
      <c r="C1189" s="1">
        <f>IFERROR(__xludf.DUMMYFUNCTION("""COMPUTED_VALUE"""),272.81)</f>
        <v>272.81</v>
      </c>
      <c r="D1189" s="1">
        <f>IFERROR(__xludf.DUMMYFUNCTION("""COMPUTED_VALUE"""),262.89)</f>
        <v>262.89</v>
      </c>
      <c r="E1189" s="1">
        <f>IFERROR(__xludf.DUMMYFUNCTION("""COMPUTED_VALUE"""),264.18)</f>
        <v>264.18</v>
      </c>
      <c r="F1189" s="1">
        <f>IFERROR(__xludf.DUMMYFUNCTION("""COMPUTED_VALUE"""),7.1865217E7)</f>
        <v>71865217</v>
      </c>
    </row>
    <row r="1190">
      <c r="A1190" s="2">
        <f>IFERROR(__xludf.DUMMYFUNCTION("""COMPUTED_VALUE"""),46083.66666666667)</f>
        <v>46083.66667</v>
      </c>
      <c r="B1190" s="1">
        <f>IFERROR(__xludf.DUMMYFUNCTION("""COMPUTED_VALUE"""),262.41)</f>
        <v>262.41</v>
      </c>
      <c r="C1190" s="1">
        <f>IFERROR(__xludf.DUMMYFUNCTION("""COMPUTED_VALUE"""),266.53)</f>
        <v>266.53</v>
      </c>
      <c r="D1190" s="1">
        <f>IFERROR(__xludf.DUMMYFUNCTION("""COMPUTED_VALUE"""),260.2)</f>
        <v>260.2</v>
      </c>
      <c r="E1190" s="1">
        <f>IFERROR(__xludf.DUMMYFUNCTION("""COMPUTED_VALUE"""),264.72)</f>
        <v>264.72</v>
      </c>
      <c r="F1190" s="1">
        <f>IFERROR(__xludf.DUMMYFUNCTION("""COMPUTED_VALUE"""),4.1615354E7)</f>
        <v>41615354</v>
      </c>
    </row>
    <row r="1191">
      <c r="A1191" s="2">
        <f>IFERROR(__xludf.DUMMYFUNCTION("""COMPUTED_VALUE"""),46084.66666666667)</f>
        <v>46084.66667</v>
      </c>
      <c r="B1191" s="1">
        <f>IFERROR(__xludf.DUMMYFUNCTION("""COMPUTED_VALUE"""),263.48)</f>
        <v>263.48</v>
      </c>
      <c r="C1191" s="1">
        <f>IFERROR(__xludf.DUMMYFUNCTION("""COMPUTED_VALUE"""),265.56)</f>
        <v>265.56</v>
      </c>
      <c r="D1191" s="1">
        <f>IFERROR(__xludf.DUMMYFUNCTION("""COMPUTED_VALUE"""),260.13)</f>
        <v>260.13</v>
      </c>
      <c r="E1191" s="1">
        <f>IFERROR(__xludf.DUMMYFUNCTION("""COMPUTED_VALUE"""),263.75)</f>
        <v>263.75</v>
      </c>
      <c r="F1191" s="1">
        <f>IFERROR(__xludf.DUMMYFUNCTION("""COMPUTED_VALUE"""),3.8009511E7)</f>
        <v>38009511</v>
      </c>
    </row>
    <row r="1192">
      <c r="A1192" s="2">
        <f>IFERROR(__xludf.DUMMYFUNCTION("""COMPUTED_VALUE"""),46085.66666666667)</f>
        <v>46085.66667</v>
      </c>
      <c r="B1192" s="1">
        <f>IFERROR(__xludf.DUMMYFUNCTION("""COMPUTED_VALUE"""),264.65)</f>
        <v>264.65</v>
      </c>
      <c r="C1192" s="1">
        <f>IFERROR(__xludf.DUMMYFUNCTION("""COMPUTED_VALUE"""),266.15)</f>
        <v>266.15</v>
      </c>
      <c r="D1192" s="1">
        <f>IFERROR(__xludf.DUMMYFUNCTION("""COMPUTED_VALUE"""),261.42)</f>
        <v>261.42</v>
      </c>
      <c r="E1192" s="1">
        <f>IFERROR(__xludf.DUMMYFUNCTION("""COMPUTED_VALUE"""),262.52)</f>
        <v>262.52</v>
      </c>
      <c r="F1192" s="1">
        <f>IFERROR(__xludf.DUMMYFUNCTION("""COMPUTED_VALUE"""),3.9272558E7)</f>
        <v>39272558</v>
      </c>
    </row>
    <row r="1193">
      <c r="A1193" s="2">
        <f>IFERROR(__xludf.DUMMYFUNCTION("""COMPUTED_VALUE"""),46086.66666666667)</f>
        <v>46086.66667</v>
      </c>
      <c r="B1193" s="1">
        <f>IFERROR(__xludf.DUMMYFUNCTION("""COMPUTED_VALUE"""),260.79)</f>
        <v>260.79</v>
      </c>
      <c r="C1193" s="1">
        <f>IFERROR(__xludf.DUMMYFUNCTION("""COMPUTED_VALUE"""),261.56)</f>
        <v>261.56</v>
      </c>
      <c r="D1193" s="1">
        <f>IFERROR(__xludf.DUMMYFUNCTION("""COMPUTED_VALUE"""),257.25)</f>
        <v>257.25</v>
      </c>
      <c r="E1193" s="1">
        <f>IFERROR(__xludf.DUMMYFUNCTION("""COMPUTED_VALUE"""),260.29)</f>
        <v>260.29</v>
      </c>
      <c r="F1193" s="1">
        <f>IFERROR(__xludf.DUMMYFUNCTION("""COMPUTED_VALUE"""),4.9183362E7)</f>
        <v>49183362</v>
      </c>
    </row>
    <row r="1194">
      <c r="A1194" s="2">
        <f>IFERROR(__xludf.DUMMYFUNCTION("""COMPUTED_VALUE"""),46087.66666666667)</f>
        <v>46087.66667</v>
      </c>
      <c r="B1194" s="1">
        <f>IFERROR(__xludf.DUMMYFUNCTION("""COMPUTED_VALUE"""),258.63)</f>
        <v>258.63</v>
      </c>
      <c r="C1194" s="1">
        <f>IFERROR(__xludf.DUMMYFUNCTION("""COMPUTED_VALUE"""),258.77)</f>
        <v>258.77</v>
      </c>
      <c r="D1194" s="1">
        <f>IFERROR(__xludf.DUMMYFUNCTION("""COMPUTED_VALUE"""),254.37)</f>
        <v>254.37</v>
      </c>
      <c r="E1194" s="1">
        <f>IFERROR(__xludf.DUMMYFUNCTION("""COMPUTED_VALUE"""),257.46)</f>
        <v>257.46</v>
      </c>
      <c r="F1194" s="1">
        <f>IFERROR(__xludf.DUMMYFUNCTION("""COMPUTED_VALUE"""),4.0506869E7)</f>
        <v>40506869</v>
      </c>
    </row>
    <row r="1195">
      <c r="A1195" s="2">
        <f>IFERROR(__xludf.DUMMYFUNCTION("""COMPUTED_VALUE"""),46090.66666666667)</f>
        <v>46090.66667</v>
      </c>
      <c r="B1195" s="1">
        <f>IFERROR(__xludf.DUMMYFUNCTION("""COMPUTED_VALUE"""),255.69)</f>
        <v>255.69</v>
      </c>
      <c r="C1195" s="1">
        <f>IFERROR(__xludf.DUMMYFUNCTION("""COMPUTED_VALUE"""),261.15)</f>
        <v>261.15</v>
      </c>
      <c r="D1195" s="1">
        <f>IFERROR(__xludf.DUMMYFUNCTION("""COMPUTED_VALUE"""),253.68)</f>
        <v>253.68</v>
      </c>
      <c r="E1195" s="1">
        <f>IFERROR(__xludf.DUMMYFUNCTION("""COMPUTED_VALUE"""),259.88)</f>
        <v>259.88</v>
      </c>
      <c r="F1195" s="1">
        <f>IFERROR(__xludf.DUMMYFUNCTION("""COMPUTED_VALUE"""),3.7993948E7)</f>
        <v>37993948</v>
      </c>
    </row>
    <row r="1196">
      <c r="A1196" s="2">
        <f>IFERROR(__xludf.DUMMYFUNCTION("""COMPUTED_VALUE"""),46091.66666666667)</f>
        <v>46091.66667</v>
      </c>
      <c r="B1196" s="1">
        <f>IFERROR(__xludf.DUMMYFUNCTION("""COMPUTED_VALUE"""),257.65)</f>
        <v>257.65</v>
      </c>
      <c r="C1196" s="1">
        <f>IFERROR(__xludf.DUMMYFUNCTION("""COMPUTED_VALUE"""),262.48)</f>
        <v>262.48</v>
      </c>
      <c r="D1196" s="1">
        <f>IFERROR(__xludf.DUMMYFUNCTION("""COMPUTED_VALUE"""),256.95)</f>
        <v>256.95</v>
      </c>
      <c r="E1196" s="1">
        <f>IFERROR(__xludf.DUMMYFUNCTION("""COMPUTED_VALUE"""),260.83)</f>
        <v>260.83</v>
      </c>
      <c r="F1196" s="1">
        <f>IFERROR(__xludf.DUMMYFUNCTION("""COMPUTED_VALUE"""),2.8555212E7)</f>
        <v>28555212</v>
      </c>
    </row>
    <row r="1197">
      <c r="A1197" s="2">
        <f>IFERROR(__xludf.DUMMYFUNCTION("""COMPUTED_VALUE"""),46092.66666666667)</f>
        <v>46092.66667</v>
      </c>
      <c r="B1197" s="1">
        <f>IFERROR(__xludf.DUMMYFUNCTION("""COMPUTED_VALUE"""),261.09)</f>
        <v>261.09</v>
      </c>
      <c r="C1197" s="1">
        <f>IFERROR(__xludf.DUMMYFUNCTION("""COMPUTED_VALUE"""),262.13)</f>
        <v>262.13</v>
      </c>
      <c r="D1197" s="1">
        <f>IFERROR(__xludf.DUMMYFUNCTION("""COMPUTED_VALUE"""),259.55)</f>
        <v>259.55</v>
      </c>
      <c r="E1197" s="1">
        <f>IFERROR(__xludf.DUMMYFUNCTION("""COMPUTED_VALUE"""),260.81)</f>
        <v>260.81</v>
      </c>
      <c r="F1197" s="1">
        <f>IFERROR(__xludf.DUMMYFUNCTION("""COMPUTED_VALUE"""),2.6218927E7)</f>
        <v>26218927</v>
      </c>
    </row>
    <row r="1198">
      <c r="A1198" s="2">
        <f>IFERROR(__xludf.DUMMYFUNCTION("""COMPUTED_VALUE"""),46093.66666666667)</f>
        <v>46093.66667</v>
      </c>
      <c r="B1198" s="1">
        <f>IFERROR(__xludf.DUMMYFUNCTION("""COMPUTED_VALUE"""),258.66)</f>
        <v>258.66</v>
      </c>
      <c r="C1198" s="1">
        <f>IFERROR(__xludf.DUMMYFUNCTION("""COMPUTED_VALUE"""),258.95)</f>
        <v>258.95</v>
      </c>
      <c r="D1198" s="1">
        <f>IFERROR(__xludf.DUMMYFUNCTION("""COMPUTED_VALUE"""),254.18)</f>
        <v>254.18</v>
      </c>
      <c r="E1198" s="1">
        <f>IFERROR(__xludf.DUMMYFUNCTION("""COMPUTED_VALUE"""),255.76)</f>
        <v>255.76</v>
      </c>
      <c r="F1198" s="1">
        <f>IFERROR(__xludf.DUMMYFUNCTION("""COMPUTED_VALUE"""),4.079402E7)</f>
        <v>40794020</v>
      </c>
    </row>
    <row r="1199">
      <c r="A1199" s="2">
        <f>IFERROR(__xludf.DUMMYFUNCTION("""COMPUTED_VALUE"""),46094.66666666667)</f>
        <v>46094.66667</v>
      </c>
      <c r="B1199" s="1">
        <f>IFERROR(__xludf.DUMMYFUNCTION("""COMPUTED_VALUE"""),255.48)</f>
        <v>255.48</v>
      </c>
      <c r="C1199" s="1">
        <f>IFERROR(__xludf.DUMMYFUNCTION("""COMPUTED_VALUE"""),256.33)</f>
        <v>256.33</v>
      </c>
      <c r="D1199" s="1">
        <f>IFERROR(__xludf.DUMMYFUNCTION("""COMPUTED_VALUE"""),249.52)</f>
        <v>249.52</v>
      </c>
      <c r="E1199" s="1">
        <f>IFERROR(__xludf.DUMMYFUNCTION("""COMPUTED_VALUE"""),250.12)</f>
        <v>250.12</v>
      </c>
      <c r="F1199" s="1">
        <f>IFERROR(__xludf.DUMMYFUNCTION("""COMPUTED_VALUE"""),3.6929988E7)</f>
        <v>36929988</v>
      </c>
    </row>
    <row r="1200">
      <c r="A1200" s="2">
        <f>IFERROR(__xludf.DUMMYFUNCTION("""COMPUTED_VALUE"""),46097.66666666667)</f>
        <v>46097.66667</v>
      </c>
      <c r="B1200" s="1">
        <f>IFERROR(__xludf.DUMMYFUNCTION("""COMPUTED_VALUE"""),252.11)</f>
        <v>252.11</v>
      </c>
      <c r="C1200" s="1">
        <f>IFERROR(__xludf.DUMMYFUNCTION("""COMPUTED_VALUE"""),253.89)</f>
        <v>253.89</v>
      </c>
      <c r="D1200" s="1">
        <f>IFERROR(__xludf.DUMMYFUNCTION("""COMPUTED_VALUE"""),249.88)</f>
        <v>249.88</v>
      </c>
      <c r="E1200" s="1">
        <f>IFERROR(__xludf.DUMMYFUNCTION("""COMPUTED_VALUE"""),252.82)</f>
        <v>252.82</v>
      </c>
      <c r="F1200" s="1">
        <f>IFERROR(__xludf.DUMMYFUNCTION("""COMPUTED_VALUE"""),3.207421E7)</f>
        <v>32074210</v>
      </c>
    </row>
    <row r="1201">
      <c r="A1201" s="2">
        <f>IFERROR(__xludf.DUMMYFUNCTION("""COMPUTED_VALUE"""),46098.66666666667)</f>
        <v>46098.66667</v>
      </c>
      <c r="B1201" s="1">
        <f>IFERROR(__xludf.DUMMYFUNCTION("""COMPUTED_VALUE"""),252.96)</f>
        <v>252.96</v>
      </c>
      <c r="C1201" s="1">
        <f>IFERROR(__xludf.DUMMYFUNCTION("""COMPUTED_VALUE"""),255.13)</f>
        <v>255.13</v>
      </c>
      <c r="D1201" s="1">
        <f>IFERROR(__xludf.DUMMYFUNCTION("""COMPUTED_VALUE"""),252.18)</f>
        <v>252.18</v>
      </c>
      <c r="E1201" s="1">
        <f>IFERROR(__xludf.DUMMYFUNCTION("""COMPUTED_VALUE"""),254.23)</f>
        <v>254.23</v>
      </c>
      <c r="F1201" s="1">
        <f>IFERROR(__xludf.DUMMYFUNCTION("""COMPUTED_VALUE"""),3.2361607E7)</f>
        <v>32361607</v>
      </c>
    </row>
    <row r="1202">
      <c r="A1202" s="2">
        <f>IFERROR(__xludf.DUMMYFUNCTION("""COMPUTED_VALUE"""),46099.66666666667)</f>
        <v>46099.66667</v>
      </c>
      <c r="B1202" s="1">
        <f>IFERROR(__xludf.DUMMYFUNCTION("""COMPUTED_VALUE"""),252.63)</f>
        <v>252.63</v>
      </c>
      <c r="C1202" s="1">
        <f>IFERROR(__xludf.DUMMYFUNCTION("""COMPUTED_VALUE"""),254.94)</f>
        <v>254.94</v>
      </c>
      <c r="D1202" s="1">
        <f>IFERROR(__xludf.DUMMYFUNCTION("""COMPUTED_VALUE"""),249.0)</f>
        <v>249</v>
      </c>
      <c r="E1202" s="1">
        <f>IFERROR(__xludf.DUMMYFUNCTION("""COMPUTED_VALUE"""),249.94)</f>
        <v>249.94</v>
      </c>
      <c r="F1202" s="1">
        <f>IFERROR(__xludf.DUMMYFUNCTION("""COMPUTED_VALUE"""),3.5757874E7)</f>
        <v>35757874</v>
      </c>
    </row>
    <row r="1203">
      <c r="A1203" s="2">
        <f>IFERROR(__xludf.DUMMYFUNCTION("""COMPUTED_VALUE"""),46100.66666666667)</f>
        <v>46100.66667</v>
      </c>
      <c r="B1203" s="1">
        <f>IFERROR(__xludf.DUMMYFUNCTION("""COMPUTED_VALUE"""),249.4)</f>
        <v>249.4</v>
      </c>
      <c r="C1203" s="1">
        <f>IFERROR(__xludf.DUMMYFUNCTION("""COMPUTED_VALUE"""),251.83)</f>
        <v>251.83</v>
      </c>
      <c r="D1203" s="1">
        <f>IFERROR(__xludf.DUMMYFUNCTION("""COMPUTED_VALUE"""),247.3)</f>
        <v>247.3</v>
      </c>
      <c r="E1203" s="1">
        <f>IFERROR(__xludf.DUMMYFUNCTION("""COMPUTED_VALUE"""),248.96)</f>
        <v>248.96</v>
      </c>
      <c r="F1203" s="1">
        <f>IFERROR(__xludf.DUMMYFUNCTION("""COMPUTED_VALUE"""),3.4864082E7)</f>
        <v>34864082</v>
      </c>
    </row>
    <row r="1204">
      <c r="A1204" s="2">
        <f>IFERROR(__xludf.DUMMYFUNCTION("""COMPUTED_VALUE"""),46101.66666666667)</f>
        <v>46101.66667</v>
      </c>
      <c r="B1204" s="1">
        <f>IFERROR(__xludf.DUMMYFUNCTION("""COMPUTED_VALUE"""),247.98)</f>
        <v>247.98</v>
      </c>
      <c r="C1204" s="1">
        <f>IFERROR(__xludf.DUMMYFUNCTION("""COMPUTED_VALUE"""),249.2)</f>
        <v>249.2</v>
      </c>
      <c r="D1204" s="1">
        <f>IFERROR(__xludf.DUMMYFUNCTION("""COMPUTED_VALUE"""),246.0)</f>
        <v>246</v>
      </c>
      <c r="E1204" s="1">
        <f>IFERROR(__xludf.DUMMYFUNCTION("""COMPUTED_VALUE"""),247.99)</f>
        <v>247.99</v>
      </c>
      <c r="F1204" s="1">
        <f>IFERROR(__xludf.DUMMYFUNCTION("""COMPUTED_VALUE"""),8.8331081E7)</f>
        <v>88331081</v>
      </c>
    </row>
    <row r="1205">
      <c r="A1205" s="2">
        <f>IFERROR(__xludf.DUMMYFUNCTION("""COMPUTED_VALUE"""),46104.66666666667)</f>
        <v>46104.66667</v>
      </c>
      <c r="B1205" s="1">
        <f>IFERROR(__xludf.DUMMYFUNCTION("""COMPUTED_VALUE"""),253.97)</f>
        <v>253.97</v>
      </c>
      <c r="C1205" s="1">
        <f>IFERROR(__xludf.DUMMYFUNCTION("""COMPUTED_VALUE"""),254.6)</f>
        <v>254.6</v>
      </c>
      <c r="D1205" s="1">
        <f>IFERROR(__xludf.DUMMYFUNCTION("""COMPUTED_VALUE"""),250.28)</f>
        <v>250.28</v>
      </c>
      <c r="E1205" s="1">
        <f>IFERROR(__xludf.DUMMYFUNCTION("""COMPUTED_VALUE"""),251.49)</f>
        <v>251.49</v>
      </c>
      <c r="F1205" s="1">
        <f>IFERROR(__xludf.DUMMYFUNCTION("""COMPUTED_VALUE"""),4.0546109E7)</f>
        <v>40546109</v>
      </c>
    </row>
    <row r="1206">
      <c r="A1206" s="2">
        <f>IFERROR(__xludf.DUMMYFUNCTION("""COMPUTED_VALUE"""),46105.66666666667)</f>
        <v>46105.66667</v>
      </c>
      <c r="B1206" s="1">
        <f>IFERROR(__xludf.DUMMYFUNCTION("""COMPUTED_VALUE"""),250.35)</f>
        <v>250.35</v>
      </c>
      <c r="C1206" s="1">
        <f>IFERROR(__xludf.DUMMYFUNCTION("""COMPUTED_VALUE"""),254.83)</f>
        <v>254.83</v>
      </c>
      <c r="D1206" s="1">
        <f>IFERROR(__xludf.DUMMYFUNCTION("""COMPUTED_VALUE"""),249.55)</f>
        <v>249.55</v>
      </c>
      <c r="E1206" s="1">
        <f>IFERROR(__xludf.DUMMYFUNCTION("""COMPUTED_VALUE"""),251.64)</f>
        <v>251.64</v>
      </c>
      <c r="F1206" s="1">
        <f>IFERROR(__xludf.DUMMYFUNCTION("""COMPUTED_VALUE"""),4.5152289E7)</f>
        <v>45152289</v>
      </c>
    </row>
    <row r="1207">
      <c r="A1207" s="2">
        <f>IFERROR(__xludf.DUMMYFUNCTION("""COMPUTED_VALUE"""),46106.66666666667)</f>
        <v>46106.66667</v>
      </c>
      <c r="B1207" s="1">
        <f>IFERROR(__xludf.DUMMYFUNCTION("""COMPUTED_VALUE"""),254.1)</f>
        <v>254.1</v>
      </c>
      <c r="C1207" s="1">
        <f>IFERROR(__xludf.DUMMYFUNCTION("""COMPUTED_VALUE"""),255.0)</f>
        <v>255</v>
      </c>
      <c r="D1207" s="1">
        <f>IFERROR(__xludf.DUMMYFUNCTION("""COMPUTED_VALUE"""),251.6)</f>
        <v>251.6</v>
      </c>
      <c r="E1207" s="1">
        <f>IFERROR(__xludf.DUMMYFUNCTION("""COMPUTED_VALUE"""),252.62)</f>
        <v>252.62</v>
      </c>
      <c r="F1207" s="1">
        <f>IFERROR(__xludf.DUMMYFUNCTION("""COMPUTED_VALUE"""),2.8476668E7)</f>
        <v>28476668</v>
      </c>
    </row>
    <row r="1208">
      <c r="A1208" s="2">
        <f>IFERROR(__xludf.DUMMYFUNCTION("""COMPUTED_VALUE"""),46107.66666666667)</f>
        <v>46107.66667</v>
      </c>
      <c r="B1208" s="1">
        <f>IFERROR(__xludf.DUMMYFUNCTION("""COMPUTED_VALUE"""),252.12)</f>
        <v>252.12</v>
      </c>
      <c r="C1208" s="1">
        <f>IFERROR(__xludf.DUMMYFUNCTION("""COMPUTED_VALUE"""),257.0)</f>
        <v>257</v>
      </c>
      <c r="D1208" s="1">
        <f>IFERROR(__xludf.DUMMYFUNCTION("""COMPUTED_VALUE"""),250.77)</f>
        <v>250.77</v>
      </c>
      <c r="E1208" s="1">
        <f>IFERROR(__xludf.DUMMYFUNCTION("""COMPUTED_VALUE"""),252.89)</f>
        <v>252.89</v>
      </c>
      <c r="F1208" s="1">
        <f>IFERROR(__xludf.DUMMYFUNCTION("""COMPUTED_VALUE"""),4.179665E7)</f>
        <v>41796650</v>
      </c>
    </row>
    <row r="1209">
      <c r="A1209" s="2">
        <f>IFERROR(__xludf.DUMMYFUNCTION("""COMPUTED_VALUE"""),46108.66666666667)</f>
        <v>46108.66667</v>
      </c>
      <c r="B1209" s="1">
        <f>IFERROR(__xludf.DUMMYFUNCTION("""COMPUTED_VALUE"""),253.9)</f>
        <v>253.9</v>
      </c>
      <c r="C1209" s="1">
        <f>IFERROR(__xludf.DUMMYFUNCTION("""COMPUTED_VALUE"""),255.49)</f>
        <v>255.49</v>
      </c>
      <c r="D1209" s="1">
        <f>IFERROR(__xludf.DUMMYFUNCTION("""COMPUTED_VALUE"""),248.07)</f>
        <v>248.07</v>
      </c>
      <c r="E1209" s="1">
        <f>IFERROR(__xludf.DUMMYFUNCTION("""COMPUTED_VALUE"""),248.8)</f>
        <v>248.8</v>
      </c>
      <c r="F1209" s="1">
        <f>IFERROR(__xludf.DUMMYFUNCTION("""COMPUTED_VALUE"""),4.7899998E7)</f>
        <v>47899998</v>
      </c>
    </row>
    <row r="1210">
      <c r="A1210" s="2">
        <f>IFERROR(__xludf.DUMMYFUNCTION("""COMPUTED_VALUE"""),46111.66666666667)</f>
        <v>46111.66667</v>
      </c>
      <c r="B1210" s="1">
        <f>IFERROR(__xludf.DUMMYFUNCTION("""COMPUTED_VALUE"""),250.07)</f>
        <v>250.07</v>
      </c>
      <c r="C1210" s="1">
        <f>IFERROR(__xludf.DUMMYFUNCTION("""COMPUTED_VALUE"""),250.87)</f>
        <v>250.87</v>
      </c>
      <c r="D1210" s="1">
        <f>IFERROR(__xludf.DUMMYFUNCTION("""COMPUTED_VALUE"""),245.51)</f>
        <v>245.51</v>
      </c>
      <c r="E1210" s="1">
        <f>IFERROR(__xludf.DUMMYFUNCTION("""COMPUTED_VALUE"""),246.63)</f>
        <v>246.63</v>
      </c>
      <c r="F1210" s="1">
        <f>IFERROR(__xludf.DUMMYFUNCTION("""COMPUTED_VALUE"""),3.9446213E7)</f>
        <v>39446213</v>
      </c>
    </row>
    <row r="1211">
      <c r="A1211" s="2">
        <f>IFERROR(__xludf.DUMMYFUNCTION("""COMPUTED_VALUE"""),46112.66666666667)</f>
        <v>46112.66667</v>
      </c>
      <c r="B1211" s="1">
        <f>IFERROR(__xludf.DUMMYFUNCTION("""COMPUTED_VALUE"""),247.91)</f>
        <v>247.91</v>
      </c>
      <c r="C1211" s="1">
        <f>IFERROR(__xludf.DUMMYFUNCTION("""COMPUTED_VALUE"""),255.48)</f>
        <v>255.48</v>
      </c>
      <c r="D1211" s="1">
        <f>IFERROR(__xludf.DUMMYFUNCTION("""COMPUTED_VALUE"""),247.1)</f>
        <v>247.1</v>
      </c>
      <c r="E1211" s="1">
        <f>IFERROR(__xludf.DUMMYFUNCTION("""COMPUTED_VALUE"""),253.79)</f>
        <v>253.79</v>
      </c>
      <c r="F1211" s="1">
        <f>IFERROR(__xludf.DUMMYFUNCTION("""COMPUTED_VALUE"""),4.9598091E7)</f>
        <v>49598091</v>
      </c>
    </row>
    <row r="1212">
      <c r="A1212" s="2">
        <f>IFERROR(__xludf.DUMMYFUNCTION("""COMPUTED_VALUE"""),46113.66666666667)</f>
        <v>46113.66667</v>
      </c>
      <c r="B1212" s="1">
        <f>IFERROR(__xludf.DUMMYFUNCTION("""COMPUTED_VALUE"""),254.08)</f>
        <v>254.08</v>
      </c>
      <c r="C1212" s="1">
        <f>IFERROR(__xludf.DUMMYFUNCTION("""COMPUTED_VALUE"""),256.18)</f>
        <v>256.18</v>
      </c>
      <c r="D1212" s="1">
        <f>IFERROR(__xludf.DUMMYFUNCTION("""COMPUTED_VALUE"""),253.33)</f>
        <v>253.33</v>
      </c>
      <c r="E1212" s="1">
        <f>IFERROR(__xludf.DUMMYFUNCTION("""COMPUTED_VALUE"""),255.63)</f>
        <v>255.63</v>
      </c>
      <c r="F1212" s="1">
        <f>IFERROR(__xludf.DUMMYFUNCTION("""COMPUTED_VALUE"""),4.0059432E7)</f>
        <v>40059432</v>
      </c>
    </row>
    <row r="1213">
      <c r="A1213" s="2">
        <f>IFERROR(__xludf.DUMMYFUNCTION("""COMPUTED_VALUE"""),46114.66666666667)</f>
        <v>46114.66667</v>
      </c>
      <c r="B1213" s="1">
        <f>IFERROR(__xludf.DUMMYFUNCTION("""COMPUTED_VALUE"""),254.2)</f>
        <v>254.2</v>
      </c>
      <c r="C1213" s="1">
        <f>IFERROR(__xludf.DUMMYFUNCTION("""COMPUTED_VALUE"""),256.13)</f>
        <v>256.13</v>
      </c>
      <c r="D1213" s="1">
        <f>IFERROR(__xludf.DUMMYFUNCTION("""COMPUTED_VALUE"""),250.65)</f>
        <v>250.65</v>
      </c>
      <c r="E1213" s="1">
        <f>IFERROR(__xludf.DUMMYFUNCTION("""COMPUTED_VALUE"""),255.92)</f>
        <v>255.92</v>
      </c>
      <c r="F1213" s="1">
        <f>IFERROR(__xludf.DUMMYFUNCTION("""COMPUTED_VALUE"""),3.128937E7)</f>
        <v>31289370</v>
      </c>
    </row>
    <row r="1214">
      <c r="A1214" s="2">
        <f>IFERROR(__xludf.DUMMYFUNCTION("""COMPUTED_VALUE"""),46118.66666666667)</f>
        <v>46118.66667</v>
      </c>
      <c r="B1214" s="1">
        <f>IFERROR(__xludf.DUMMYFUNCTION("""COMPUTED_VALUE"""),256.51)</f>
        <v>256.51</v>
      </c>
      <c r="C1214" s="1">
        <f>IFERROR(__xludf.DUMMYFUNCTION("""COMPUTED_VALUE"""),262.16)</f>
        <v>262.16</v>
      </c>
      <c r="D1214" s="1">
        <f>IFERROR(__xludf.DUMMYFUNCTION("""COMPUTED_VALUE"""),256.46)</f>
        <v>256.46</v>
      </c>
      <c r="E1214" s="1">
        <f>IFERROR(__xludf.DUMMYFUNCTION("""COMPUTED_VALUE"""),258.86)</f>
        <v>258.86</v>
      </c>
      <c r="F1214" s="1">
        <f>IFERROR(__xludf.DUMMYFUNCTION("""COMPUTED_VALUE"""),2.9329911E7)</f>
        <v>29329911</v>
      </c>
    </row>
    <row r="1215">
      <c r="A1215" s="2">
        <f>IFERROR(__xludf.DUMMYFUNCTION("""COMPUTED_VALUE"""),46119.66666666667)</f>
        <v>46119.66667</v>
      </c>
      <c r="B1215" s="1">
        <f>IFERROR(__xludf.DUMMYFUNCTION("""COMPUTED_VALUE"""),256.15)</f>
        <v>256.15</v>
      </c>
      <c r="C1215" s="1">
        <f>IFERROR(__xludf.DUMMYFUNCTION("""COMPUTED_VALUE"""),256.2)</f>
        <v>256.2</v>
      </c>
      <c r="D1215" s="1">
        <f>IFERROR(__xludf.DUMMYFUNCTION("""COMPUTED_VALUE"""),245.7)</f>
        <v>245.7</v>
      </c>
      <c r="E1215" s="1">
        <f>IFERROR(__xludf.DUMMYFUNCTION("""COMPUTED_VALUE"""),253.5)</f>
        <v>253.5</v>
      </c>
      <c r="F1215" s="1">
        <f>IFERROR(__xludf.DUMMYFUNCTION("""COMPUTED_VALUE"""),6.2148009E7)</f>
        <v>62148009</v>
      </c>
    </row>
    <row r="1216">
      <c r="A1216" s="2">
        <f>IFERROR(__xludf.DUMMYFUNCTION("""COMPUTED_VALUE"""),46120.66666666667)</f>
        <v>46120.66667</v>
      </c>
      <c r="B1216" s="1">
        <f>IFERROR(__xludf.DUMMYFUNCTION("""COMPUTED_VALUE"""),258.45)</f>
        <v>258.45</v>
      </c>
      <c r="C1216" s="1">
        <f>IFERROR(__xludf.DUMMYFUNCTION("""COMPUTED_VALUE"""),259.75)</f>
        <v>259.75</v>
      </c>
      <c r="D1216" s="1">
        <f>IFERROR(__xludf.DUMMYFUNCTION("""COMPUTED_VALUE"""),256.53)</f>
        <v>256.53</v>
      </c>
      <c r="E1216" s="1">
        <f>IFERROR(__xludf.DUMMYFUNCTION("""COMPUTED_VALUE"""),258.9)</f>
        <v>258.9</v>
      </c>
      <c r="F1216" s="1">
        <f>IFERROR(__xludf.DUMMYFUNCTION("""COMPUTED_VALUE"""),4.1032773E7)</f>
        <v>41032773</v>
      </c>
    </row>
    <row r="1217">
      <c r="A1217" s="2">
        <f>IFERROR(__xludf.DUMMYFUNCTION("""COMPUTED_VALUE"""),46121.66666666667)</f>
        <v>46121.66667</v>
      </c>
      <c r="B1217" s="1">
        <f>IFERROR(__xludf.DUMMYFUNCTION("""COMPUTED_VALUE"""),259.0)</f>
        <v>259</v>
      </c>
      <c r="C1217" s="1">
        <f>IFERROR(__xludf.DUMMYFUNCTION("""COMPUTED_VALUE"""),261.12)</f>
        <v>261.12</v>
      </c>
      <c r="D1217" s="1">
        <f>IFERROR(__xludf.DUMMYFUNCTION("""COMPUTED_VALUE"""),256.07)</f>
        <v>256.07</v>
      </c>
      <c r="E1217" s="1">
        <f>IFERROR(__xludf.DUMMYFUNCTION("""COMPUTED_VALUE"""),260.49)</f>
        <v>260.49</v>
      </c>
      <c r="F1217" s="1">
        <f>IFERROR(__xludf.DUMMYFUNCTION("""COMPUTED_VALUE"""),2.8121574E7)</f>
        <v>28121574</v>
      </c>
    </row>
    <row r="1218">
      <c r="A1218" s="2">
        <f>IFERROR(__xludf.DUMMYFUNCTION("""COMPUTED_VALUE"""),46122.66666666667)</f>
        <v>46122.66667</v>
      </c>
      <c r="B1218" s="1">
        <f>IFERROR(__xludf.DUMMYFUNCTION("""COMPUTED_VALUE"""),259.98)</f>
        <v>259.98</v>
      </c>
      <c r="C1218" s="1">
        <f>IFERROR(__xludf.DUMMYFUNCTION("""COMPUTED_VALUE"""),262.19)</f>
        <v>262.19</v>
      </c>
      <c r="D1218" s="1">
        <f>IFERROR(__xludf.DUMMYFUNCTION("""COMPUTED_VALUE"""),259.02)</f>
        <v>259.02</v>
      </c>
      <c r="E1218" s="1">
        <f>IFERROR(__xludf.DUMMYFUNCTION("""COMPUTED_VALUE"""),260.48)</f>
        <v>260.48</v>
      </c>
      <c r="F1218" s="1">
        <f>IFERROR(__xludf.DUMMYFUNCTION("""COMPUTED_VALUE"""),3.1291474E7)</f>
        <v>31291474</v>
      </c>
    </row>
    <row r="1219">
      <c r="A1219" s="2">
        <f>IFERROR(__xludf.DUMMYFUNCTION("""COMPUTED_VALUE"""),46125.66666666667)</f>
        <v>46125.66667</v>
      </c>
      <c r="B1219" s="1">
        <f>IFERROR(__xludf.DUMMYFUNCTION("""COMPUTED_VALUE"""),259.73)</f>
        <v>259.73</v>
      </c>
      <c r="C1219" s="1">
        <f>IFERROR(__xludf.DUMMYFUNCTION("""COMPUTED_VALUE"""),260.18)</f>
        <v>260.18</v>
      </c>
      <c r="D1219" s="1">
        <f>IFERROR(__xludf.DUMMYFUNCTION("""COMPUTED_VALUE"""),256.66)</f>
        <v>256.66</v>
      </c>
      <c r="E1219" s="1">
        <f>IFERROR(__xludf.DUMMYFUNCTION("""COMPUTED_VALUE"""),259.2)</f>
        <v>259.2</v>
      </c>
      <c r="F1219" s="1">
        <f>IFERROR(__xludf.DUMMYFUNCTION("""COMPUTED_VALUE"""),3.6234698E7)</f>
        <v>36234698</v>
      </c>
    </row>
    <row r="1220">
      <c r="A1220" s="2">
        <f>IFERROR(__xludf.DUMMYFUNCTION("""COMPUTED_VALUE"""),46126.66666666667)</f>
        <v>46126.66667</v>
      </c>
      <c r="B1220" s="1">
        <f>IFERROR(__xludf.DUMMYFUNCTION("""COMPUTED_VALUE"""),259.25)</f>
        <v>259.25</v>
      </c>
      <c r="C1220" s="1">
        <f>IFERROR(__xludf.DUMMYFUNCTION("""COMPUTED_VALUE"""),261.93)</f>
        <v>261.93</v>
      </c>
      <c r="D1220" s="1">
        <f>IFERROR(__xludf.DUMMYFUNCTION("""COMPUTED_VALUE"""),257.19)</f>
        <v>257.19</v>
      </c>
      <c r="E1220" s="1">
        <f>IFERROR(__xludf.DUMMYFUNCTION("""COMPUTED_VALUE"""),258.83)</f>
        <v>258.83</v>
      </c>
      <c r="F1220" s="1">
        <f>IFERROR(__xludf.DUMMYFUNCTION("""COMPUTED_VALUE"""),4.837071E7)</f>
        <v>48370710</v>
      </c>
    </row>
    <row r="1221">
      <c r="A1221" s="2">
        <f>IFERROR(__xludf.DUMMYFUNCTION("""COMPUTED_VALUE"""),46127.66666666667)</f>
        <v>46127.66667</v>
      </c>
      <c r="B1221" s="1">
        <f>IFERROR(__xludf.DUMMYFUNCTION("""COMPUTED_VALUE"""),258.16)</f>
        <v>258.16</v>
      </c>
      <c r="C1221" s="1">
        <f>IFERROR(__xludf.DUMMYFUNCTION("""COMPUTED_VALUE"""),266.56)</f>
        <v>266.56</v>
      </c>
      <c r="D1221" s="1">
        <f>IFERROR(__xludf.DUMMYFUNCTION("""COMPUTED_VALUE"""),257.81)</f>
        <v>257.81</v>
      </c>
      <c r="E1221" s="1">
        <f>IFERROR(__xludf.DUMMYFUNCTION("""COMPUTED_VALUE"""),266.43)</f>
        <v>266.43</v>
      </c>
      <c r="F1221" s="1">
        <f>IFERROR(__xludf.DUMMYFUNCTION("""COMPUTED_VALUE"""),4.9913511E7)</f>
        <v>49913511</v>
      </c>
    </row>
    <row r="1222">
      <c r="A1222" s="2">
        <f>IFERROR(__xludf.DUMMYFUNCTION("""COMPUTED_VALUE"""),46128.66666666667)</f>
        <v>46128.66667</v>
      </c>
      <c r="B1222" s="1">
        <f>IFERROR(__xludf.DUMMYFUNCTION("""COMPUTED_VALUE"""),266.8)</f>
        <v>266.8</v>
      </c>
      <c r="C1222" s="1">
        <f>IFERROR(__xludf.DUMMYFUNCTION("""COMPUTED_VALUE"""),267.16)</f>
        <v>267.16</v>
      </c>
      <c r="D1222" s="1">
        <f>IFERROR(__xludf.DUMMYFUNCTION("""COMPUTED_VALUE"""),261.27)</f>
        <v>261.27</v>
      </c>
      <c r="E1222" s="1">
        <f>IFERROR(__xludf.DUMMYFUNCTION("""COMPUTED_VALUE"""),263.4)</f>
        <v>263.4</v>
      </c>
      <c r="F1222" s="1">
        <f>IFERROR(__xludf.DUMMYFUNCTION("""COMPUTED_VALUE"""),4.3323112E7)</f>
        <v>43323112</v>
      </c>
    </row>
    <row r="1223">
      <c r="A1223" s="2">
        <f>IFERROR(__xludf.DUMMYFUNCTION("""COMPUTED_VALUE"""),46129.66666666667)</f>
        <v>46129.66667</v>
      </c>
      <c r="B1223" s="1">
        <f>IFERROR(__xludf.DUMMYFUNCTION("""COMPUTED_VALUE"""),266.96)</f>
        <v>266.96</v>
      </c>
      <c r="C1223" s="1">
        <f>IFERROR(__xludf.DUMMYFUNCTION("""COMPUTED_VALUE"""),272.3)</f>
        <v>272.3</v>
      </c>
      <c r="D1223" s="1">
        <f>IFERROR(__xludf.DUMMYFUNCTION("""COMPUTED_VALUE"""),266.72)</f>
        <v>266.72</v>
      </c>
      <c r="E1223" s="1">
        <f>IFERROR(__xludf.DUMMYFUNCTION("""COMPUTED_VALUE"""),270.23)</f>
        <v>270.23</v>
      </c>
      <c r="F1223" s="1">
        <f>IFERROR(__xludf.DUMMYFUNCTION("""COMPUTED_VALUE"""),6.1436228E7)</f>
        <v>61436228</v>
      </c>
    </row>
    <row r="1224">
      <c r="A1224" s="2">
        <f>IFERROR(__xludf.DUMMYFUNCTION("""COMPUTED_VALUE"""),46132.66666666667)</f>
        <v>46132.66667</v>
      </c>
      <c r="B1224" s="1">
        <f>IFERROR(__xludf.DUMMYFUNCTION("""COMPUTED_VALUE"""),270.33)</f>
        <v>270.33</v>
      </c>
      <c r="C1224" s="1">
        <f>IFERROR(__xludf.DUMMYFUNCTION("""COMPUTED_VALUE"""),274.27)</f>
        <v>274.27</v>
      </c>
      <c r="D1224" s="1">
        <f>IFERROR(__xludf.DUMMYFUNCTION("""COMPUTED_VALUE"""),270.29)</f>
        <v>270.29</v>
      </c>
      <c r="E1224" s="1">
        <f>IFERROR(__xludf.DUMMYFUNCTION("""COMPUTED_VALUE"""),273.05)</f>
        <v>273.05</v>
      </c>
      <c r="F1224" s="1">
        <f>IFERROR(__xludf.DUMMYFUNCTION("""COMPUTED_VALUE"""),3.659017E7)</f>
        <v>36590170</v>
      </c>
    </row>
    <row r="1225">
      <c r="A1225" s="2">
        <f>IFERROR(__xludf.DUMMYFUNCTION("""COMPUTED_VALUE"""),46133.66666666667)</f>
        <v>46133.66667</v>
      </c>
      <c r="B1225" s="1">
        <f>IFERROR(__xludf.DUMMYFUNCTION("""COMPUTED_VALUE"""),271.5)</f>
        <v>271.5</v>
      </c>
      <c r="C1225" s="1">
        <f>IFERROR(__xludf.DUMMYFUNCTION("""COMPUTED_VALUE"""),272.8)</f>
        <v>272.8</v>
      </c>
      <c r="D1225" s="1">
        <f>IFERROR(__xludf.DUMMYFUNCTION("""COMPUTED_VALUE"""),265.4)</f>
        <v>265.4</v>
      </c>
      <c r="E1225" s="1">
        <f>IFERROR(__xludf.DUMMYFUNCTION("""COMPUTED_VALUE"""),266.17)</f>
        <v>266.17</v>
      </c>
      <c r="F1225" s="1">
        <f>IFERROR(__xludf.DUMMYFUNCTION("""COMPUTED_VALUE"""),5.0209756E7)</f>
        <v>50209756</v>
      </c>
    </row>
    <row r="1226">
      <c r="A1226" s="2">
        <f>IFERROR(__xludf.DUMMYFUNCTION("""COMPUTED_VALUE"""),46134.66666666667)</f>
        <v>46134.66667</v>
      </c>
      <c r="B1226" s="1">
        <f>IFERROR(__xludf.DUMMYFUNCTION("""COMPUTED_VALUE"""),267.82)</f>
        <v>267.82</v>
      </c>
      <c r="C1226" s="1">
        <f>IFERROR(__xludf.DUMMYFUNCTION("""COMPUTED_VALUE"""),273.74)</f>
        <v>273.74</v>
      </c>
      <c r="D1226" s="1">
        <f>IFERROR(__xludf.DUMMYFUNCTION("""COMPUTED_VALUE"""),266.87)</f>
        <v>266.87</v>
      </c>
      <c r="E1226" s="1">
        <f>IFERROR(__xludf.DUMMYFUNCTION("""COMPUTED_VALUE"""),273.17)</f>
        <v>273.17</v>
      </c>
      <c r="F1226" s="1">
        <f>IFERROR(__xludf.DUMMYFUNCTION("""COMPUTED_VALUE"""),4.3249205E7)</f>
        <v>43249205</v>
      </c>
    </row>
    <row r="1227">
      <c r="A1227" s="2">
        <f>IFERROR(__xludf.DUMMYFUNCTION("""COMPUTED_VALUE"""),46135.66666666667)</f>
        <v>46135.66667</v>
      </c>
      <c r="B1227" s="1">
        <f>IFERROR(__xludf.DUMMYFUNCTION("""COMPUTED_VALUE"""),275.05)</f>
        <v>275.05</v>
      </c>
      <c r="C1227" s="1">
        <f>IFERROR(__xludf.DUMMYFUNCTION("""COMPUTED_VALUE"""),275.77)</f>
        <v>275.77</v>
      </c>
      <c r="D1227" s="1">
        <f>IFERROR(__xludf.DUMMYFUNCTION("""COMPUTED_VALUE"""),271.65)</f>
        <v>271.65</v>
      </c>
      <c r="E1227" s="1">
        <f>IFERROR(__xludf.DUMMYFUNCTION("""COMPUTED_VALUE"""),273.43)</f>
        <v>273.43</v>
      </c>
      <c r="F1227" s="1">
        <f>IFERROR(__xludf.DUMMYFUNCTION("""COMPUTED_VALUE"""),3.3399639E7)</f>
        <v>33399639</v>
      </c>
    </row>
    <row r="1228">
      <c r="A1228" s="2">
        <f>IFERROR(__xludf.DUMMYFUNCTION("""COMPUTED_VALUE"""),46136.66666666667)</f>
        <v>46136.66667</v>
      </c>
      <c r="B1228" s="1">
        <f>IFERROR(__xludf.DUMMYFUNCTION("""COMPUTED_VALUE"""),272.76)</f>
        <v>272.76</v>
      </c>
      <c r="C1228" s="1">
        <f>IFERROR(__xludf.DUMMYFUNCTION("""COMPUTED_VALUE"""),273.06)</f>
        <v>273.06</v>
      </c>
      <c r="D1228" s="1">
        <f>IFERROR(__xludf.DUMMYFUNCTION("""COMPUTED_VALUE"""),269.65)</f>
        <v>269.65</v>
      </c>
      <c r="E1228" s="1">
        <f>IFERROR(__xludf.DUMMYFUNCTION("""COMPUTED_VALUE"""),271.06)</f>
        <v>271.06</v>
      </c>
      <c r="F1228" s="1">
        <f>IFERROR(__xludf.DUMMYFUNCTION("""COMPUTED_VALUE"""),3.815711E7)</f>
        <v>38157110</v>
      </c>
    </row>
    <row r="1229">
      <c r="A1229" s="2">
        <f>IFERROR(__xludf.DUMMYFUNCTION("""COMPUTED_VALUE"""),46139.66666666667)</f>
        <v>46139.66667</v>
      </c>
      <c r="B1229" s="1">
        <f>IFERROR(__xludf.DUMMYFUNCTION("""COMPUTED_VALUE"""),266.09)</f>
        <v>266.09</v>
      </c>
      <c r="C1229" s="1">
        <f>IFERROR(__xludf.DUMMYFUNCTION("""COMPUTED_VALUE"""),268.36)</f>
        <v>268.36</v>
      </c>
      <c r="D1229" s="1">
        <f>IFERROR(__xludf.DUMMYFUNCTION("""COMPUTED_VALUE"""),265.07)</f>
        <v>265.07</v>
      </c>
      <c r="E1229" s="1">
        <f>IFERROR(__xludf.DUMMYFUNCTION("""COMPUTED_VALUE"""),267.61)</f>
        <v>267.61</v>
      </c>
      <c r="F1229" s="1">
        <f>IFERROR(__xludf.DUMMYFUNCTION("""COMPUTED_VALUE"""),4.1466763E7)</f>
        <v>41466763</v>
      </c>
    </row>
    <row r="1230">
      <c r="A1230" s="2">
        <f>IFERROR(__xludf.DUMMYFUNCTION("""COMPUTED_VALUE"""),46140.66666666667)</f>
        <v>46140.66667</v>
      </c>
      <c r="B1230" s="1">
        <f>IFERROR(__xludf.DUMMYFUNCTION("""COMPUTED_VALUE"""),272.33)</f>
        <v>272.33</v>
      </c>
      <c r="C1230" s="1">
        <f>IFERROR(__xludf.DUMMYFUNCTION("""COMPUTED_VALUE"""),273.23)</f>
        <v>273.23</v>
      </c>
      <c r="D1230" s="1">
        <f>IFERROR(__xludf.DUMMYFUNCTION("""COMPUTED_VALUE"""),268.66)</f>
        <v>268.66</v>
      </c>
      <c r="E1230" s="1">
        <f>IFERROR(__xludf.DUMMYFUNCTION("""COMPUTED_VALUE"""),270.71)</f>
        <v>270.71</v>
      </c>
      <c r="F1230" s="1">
        <f>IFERROR(__xludf.DUMMYFUNCTION("""COMPUTED_VALUE"""),4.001894E7)</f>
        <v>40018940</v>
      </c>
    </row>
    <row r="1231">
      <c r="A1231" s="2">
        <f>IFERROR(__xludf.DUMMYFUNCTION("""COMPUTED_VALUE"""),46141.66666666667)</f>
        <v>46141.66667</v>
      </c>
      <c r="B1231" s="1">
        <f>IFERROR(__xludf.DUMMYFUNCTION("""COMPUTED_VALUE"""),267.55)</f>
        <v>267.55</v>
      </c>
      <c r="C1231" s="1">
        <f>IFERROR(__xludf.DUMMYFUNCTION("""COMPUTED_VALUE"""),271.04)</f>
        <v>271.04</v>
      </c>
      <c r="D1231" s="1">
        <f>IFERROR(__xludf.DUMMYFUNCTION("""COMPUTED_VALUE"""),267.04)</f>
        <v>267.04</v>
      </c>
      <c r="E1231" s="1">
        <f>IFERROR(__xludf.DUMMYFUNCTION("""COMPUTED_VALUE"""),270.17)</f>
        <v>270.17</v>
      </c>
      <c r="F1231" s="1">
        <f>IFERROR(__xludf.DUMMYFUNCTION("""COMPUTED_VALUE"""),3.004787E7)</f>
        <v>30047870</v>
      </c>
    </row>
    <row r="1232">
      <c r="A1232" s="2">
        <f>IFERROR(__xludf.DUMMYFUNCTION("""COMPUTED_VALUE"""),46142.66666666667)</f>
        <v>46142.66667</v>
      </c>
      <c r="B1232" s="1">
        <f>IFERROR(__xludf.DUMMYFUNCTION("""COMPUTED_VALUE"""),270.5)</f>
        <v>270.5</v>
      </c>
      <c r="C1232" s="1">
        <f>IFERROR(__xludf.DUMMYFUNCTION("""COMPUTED_VALUE"""),276.0)</f>
        <v>276</v>
      </c>
      <c r="D1232" s="1">
        <f>IFERROR(__xludf.DUMMYFUNCTION("""COMPUTED_VALUE"""),268.14)</f>
        <v>268.14</v>
      </c>
      <c r="E1232" s="1">
        <f>IFERROR(__xludf.DUMMYFUNCTION("""COMPUTED_VALUE"""),271.35)</f>
        <v>271.35</v>
      </c>
      <c r="F1232" s="1">
        <f>IFERROR(__xludf.DUMMYFUNCTION("""COMPUTED_VALUE"""),9.1848231E7)</f>
        <v>91848231</v>
      </c>
    </row>
    <row r="1233">
      <c r="A1233" s="2">
        <f>IFERROR(__xludf.DUMMYFUNCTION("""COMPUTED_VALUE"""),46143.66666666667)</f>
        <v>46143.66667</v>
      </c>
      <c r="B1233" s="1">
        <f>IFERROR(__xludf.DUMMYFUNCTION("""COMPUTED_VALUE"""),278.86)</f>
        <v>278.86</v>
      </c>
      <c r="C1233" s="1">
        <f>IFERROR(__xludf.DUMMYFUNCTION("""COMPUTED_VALUE"""),287.22)</f>
        <v>287.22</v>
      </c>
      <c r="D1233" s="1">
        <f>IFERROR(__xludf.DUMMYFUNCTION("""COMPUTED_VALUE"""),278.37)</f>
        <v>278.37</v>
      </c>
      <c r="E1233" s="1">
        <f>IFERROR(__xludf.DUMMYFUNCTION("""COMPUTED_VALUE"""),280.14)</f>
        <v>280.14</v>
      </c>
      <c r="F1233" s="1">
        <f>IFERROR(__xludf.DUMMYFUNCTION("""COMPUTED_VALUE"""),7.9915442E7)</f>
        <v>79915442</v>
      </c>
    </row>
    <row r="1234">
      <c r="A1234" s="2">
        <f>IFERROR(__xludf.DUMMYFUNCTION("""COMPUTED_VALUE"""),46146.66666666667)</f>
        <v>46146.66667</v>
      </c>
      <c r="B1234" s="1">
        <f>IFERROR(__xludf.DUMMYFUNCTION("""COMPUTED_VALUE"""),279.65)</f>
        <v>279.65</v>
      </c>
      <c r="C1234" s="1">
        <f>IFERROR(__xludf.DUMMYFUNCTION("""COMPUTED_VALUE"""),280.63)</f>
        <v>280.63</v>
      </c>
      <c r="D1234" s="1">
        <f>IFERROR(__xludf.DUMMYFUNCTION("""COMPUTED_VALUE"""),274.86)</f>
        <v>274.86</v>
      </c>
      <c r="E1234" s="1">
        <f>IFERROR(__xludf.DUMMYFUNCTION("""COMPUTED_VALUE"""),276.83)</f>
        <v>276.83</v>
      </c>
      <c r="F1234" s="1">
        <f>IFERROR(__xludf.DUMMYFUNCTION("""COMPUTED_VALUE"""),4.6668401E7)</f>
        <v>46668401</v>
      </c>
    </row>
    <row r="1235">
      <c r="A1235" s="2">
        <f>IFERROR(__xludf.DUMMYFUNCTION("""COMPUTED_VALUE"""),46147.66666666667)</f>
        <v>46147.66667</v>
      </c>
      <c r="B1235" s="1">
        <f>IFERROR(__xludf.DUMMYFUNCTION("""COMPUTED_VALUE"""),276.93)</f>
        <v>276.93</v>
      </c>
      <c r="C1235" s="1">
        <f>IFERROR(__xludf.DUMMYFUNCTION("""COMPUTED_VALUE"""),284.57)</f>
        <v>284.57</v>
      </c>
      <c r="D1235" s="1">
        <f>IFERROR(__xludf.DUMMYFUNCTION("""COMPUTED_VALUE"""),276.5)</f>
        <v>276.5</v>
      </c>
      <c r="E1235" s="1">
        <f>IFERROR(__xludf.DUMMYFUNCTION("""COMPUTED_VALUE"""),284.18)</f>
        <v>284.18</v>
      </c>
      <c r="F1235" s="1">
        <f>IFERROR(__xludf.DUMMYFUNCTION("""COMPUTED_VALUE"""),4.9311712E7)</f>
        <v>49311712</v>
      </c>
    </row>
    <row r="1236">
      <c r="A1236" s="2">
        <f>IFERROR(__xludf.DUMMYFUNCTION("""COMPUTED_VALUE"""),46148.66666666667)</f>
        <v>46148.66667</v>
      </c>
      <c r="B1236" s="1">
        <f>IFERROR(__xludf.DUMMYFUNCTION("""COMPUTED_VALUE"""),281.92)</f>
        <v>281.92</v>
      </c>
      <c r="C1236" s="1">
        <f>IFERROR(__xludf.DUMMYFUNCTION("""COMPUTED_VALUE"""),288.03)</f>
        <v>288.03</v>
      </c>
      <c r="D1236" s="1">
        <f>IFERROR(__xludf.DUMMYFUNCTION("""COMPUTED_VALUE"""),281.07)</f>
        <v>281.07</v>
      </c>
      <c r="E1236" s="1">
        <f>IFERROR(__xludf.DUMMYFUNCTION("""COMPUTED_VALUE"""),287.51)</f>
        <v>287.51</v>
      </c>
      <c r="F1236" s="1">
        <f>IFERROR(__xludf.DUMMYFUNCTION("""COMPUTED_VALUE"""),5.8336072E7)</f>
        <v>58336072</v>
      </c>
    </row>
    <row r="1237">
      <c r="A1237" s="2">
        <f>IFERROR(__xludf.DUMMYFUNCTION("""COMPUTED_VALUE"""),46149.66666666667)</f>
        <v>46149.66667</v>
      </c>
      <c r="B1237" s="1">
        <f>IFERROR(__xludf.DUMMYFUNCTION("""COMPUTED_VALUE"""),289.27)</f>
        <v>289.27</v>
      </c>
      <c r="C1237" s="1">
        <f>IFERROR(__xludf.DUMMYFUNCTION("""COMPUTED_VALUE"""),292.13)</f>
        <v>292.13</v>
      </c>
      <c r="D1237" s="1">
        <f>IFERROR(__xludf.DUMMYFUNCTION("""COMPUTED_VALUE"""),285.78)</f>
        <v>285.78</v>
      </c>
      <c r="E1237" s="1">
        <f>IFERROR(__xludf.DUMMYFUNCTION("""COMPUTED_VALUE"""),287.44)</f>
        <v>287.44</v>
      </c>
      <c r="F1237" s="1">
        <f>IFERROR(__xludf.DUMMYFUNCTION("""COMPUTED_VALUE"""),4.5224301E7)</f>
        <v>45224301</v>
      </c>
    </row>
    <row r="1238">
      <c r="A1238" s="2">
        <f>IFERROR(__xludf.DUMMYFUNCTION("""COMPUTED_VALUE"""),46150.66666666667)</f>
        <v>46150.66667</v>
      </c>
      <c r="B1238" s="1">
        <f>IFERROR(__xludf.DUMMYFUNCTION("""COMPUTED_VALUE"""),290.01)</f>
        <v>290.01</v>
      </c>
      <c r="C1238" s="1">
        <f>IFERROR(__xludf.DUMMYFUNCTION("""COMPUTED_VALUE"""),294.76)</f>
        <v>294.76</v>
      </c>
      <c r="D1238" s="1">
        <f>IFERROR(__xludf.DUMMYFUNCTION("""COMPUTED_VALUE"""),290.0)</f>
        <v>290</v>
      </c>
      <c r="E1238" s="1">
        <f>IFERROR(__xludf.DUMMYFUNCTION("""COMPUTED_VALUE"""),293.32)</f>
        <v>293.32</v>
      </c>
      <c r="F1238" s="1">
        <f>IFERROR(__xludf.DUMMYFUNCTION("""COMPUTED_VALUE"""),5.2692761E7)</f>
        <v>52692761</v>
      </c>
    </row>
    <row r="1239">
      <c r="A1239" s="2">
        <f>IFERROR(__xludf.DUMMYFUNCTION("""COMPUTED_VALUE"""),46153.66666666667)</f>
        <v>46153.66667</v>
      </c>
      <c r="B1239" s="1">
        <f>IFERROR(__xludf.DUMMYFUNCTION("""COMPUTED_VALUE"""),291.98)</f>
        <v>291.98</v>
      </c>
      <c r="C1239" s="1">
        <f>IFERROR(__xludf.DUMMYFUNCTION("""COMPUTED_VALUE"""),293.88)</f>
        <v>293.88</v>
      </c>
      <c r="D1239" s="1">
        <f>IFERROR(__xludf.DUMMYFUNCTION("""COMPUTED_VALUE"""),290.23)</f>
        <v>290.23</v>
      </c>
      <c r="E1239" s="1">
        <f>IFERROR(__xludf.DUMMYFUNCTION("""COMPUTED_VALUE"""),292.68)</f>
        <v>292.68</v>
      </c>
      <c r="F1239" s="1">
        <f>IFERROR(__xludf.DUMMYFUNCTION("""COMPUTED_VALUE"""),4.2247286E7)</f>
        <v>42247286</v>
      </c>
    </row>
    <row r="1240">
      <c r="A1240" s="2">
        <f>IFERROR(__xludf.DUMMYFUNCTION("""COMPUTED_VALUE"""),46154.66666666667)</f>
        <v>46154.66667</v>
      </c>
      <c r="B1240" s="1">
        <f>IFERROR(__xludf.DUMMYFUNCTION("""COMPUTED_VALUE"""),292.56)</f>
        <v>292.56</v>
      </c>
      <c r="C1240" s="1">
        <f>IFERROR(__xludf.DUMMYFUNCTION("""COMPUTED_VALUE"""),295.27)</f>
        <v>295.27</v>
      </c>
      <c r="D1240" s="1">
        <f>IFERROR(__xludf.DUMMYFUNCTION("""COMPUTED_VALUE"""),292.56)</f>
        <v>292.56</v>
      </c>
      <c r="E1240" s="1">
        <f>IFERROR(__xludf.DUMMYFUNCTION("""COMPUTED_VALUE"""),294.8)</f>
        <v>294.8</v>
      </c>
      <c r="F1240" s="1">
        <f>IFERROR(__xludf.DUMMYFUNCTION("""COMPUTED_VALUE"""),4.5748129E7)</f>
        <v>45748129</v>
      </c>
    </row>
    <row r="1241">
      <c r="A1241" s="2">
        <f>IFERROR(__xludf.DUMMYFUNCTION("""COMPUTED_VALUE"""),46155.66666666667)</f>
        <v>46155.66667</v>
      </c>
      <c r="B1241" s="1">
        <f>IFERROR(__xludf.DUMMYFUNCTION("""COMPUTED_VALUE"""),293.5)</f>
        <v>293.5</v>
      </c>
      <c r="C1241" s="1">
        <f>IFERROR(__xludf.DUMMYFUNCTION("""COMPUTED_VALUE"""),300.92)</f>
        <v>300.92</v>
      </c>
      <c r="D1241" s="1">
        <f>IFERROR(__xludf.DUMMYFUNCTION("""COMPUTED_VALUE"""),293.5)</f>
        <v>293.5</v>
      </c>
      <c r="E1241" s="1">
        <f>IFERROR(__xludf.DUMMYFUNCTION("""COMPUTED_VALUE"""),298.87)</f>
        <v>298.87</v>
      </c>
      <c r="F1241" s="1">
        <f>IFERROR(__xludf.DUMMYFUNCTION("""COMPUTED_VALUE"""),5.268426E7)</f>
        <v>52684260</v>
      </c>
    </row>
    <row r="1242">
      <c r="A1242" s="2">
        <f>IFERROR(__xludf.DUMMYFUNCTION("""COMPUTED_VALUE"""),46156.66666666667)</f>
        <v>46156.66667</v>
      </c>
      <c r="B1242" s="1">
        <f>IFERROR(__xludf.DUMMYFUNCTION("""COMPUTED_VALUE"""),299.82)</f>
        <v>299.82</v>
      </c>
      <c r="C1242" s="1">
        <f>IFERROR(__xludf.DUMMYFUNCTION("""COMPUTED_VALUE"""),300.45)</f>
        <v>300.45</v>
      </c>
      <c r="D1242" s="1">
        <f>IFERROR(__xludf.DUMMYFUNCTION("""COMPUTED_VALUE"""),295.38)</f>
        <v>295.38</v>
      </c>
      <c r="E1242" s="1">
        <f>IFERROR(__xludf.DUMMYFUNCTION("""COMPUTED_VALUE"""),298.21)</f>
        <v>298.21</v>
      </c>
      <c r="F1242" s="1">
        <f>IFERROR(__xludf.DUMMYFUNCTION("""COMPUTED_VALUE"""),3.5324922E7)</f>
        <v>35324922</v>
      </c>
    </row>
    <row r="1243">
      <c r="A1243" s="2">
        <f>IFERROR(__xludf.DUMMYFUNCTION("""COMPUTED_VALUE"""),46157.66666666667)</f>
        <v>46157.66667</v>
      </c>
      <c r="B1243" s="1">
        <f>IFERROR(__xludf.DUMMYFUNCTION("""COMPUTED_VALUE"""),297.9)</f>
        <v>297.9</v>
      </c>
      <c r="C1243" s="1">
        <f>IFERROR(__xludf.DUMMYFUNCTION("""COMPUTED_VALUE"""),303.2)</f>
        <v>303.2</v>
      </c>
      <c r="D1243" s="1">
        <f>IFERROR(__xludf.DUMMYFUNCTION("""COMPUTED_VALUE"""),296.52)</f>
        <v>296.52</v>
      </c>
      <c r="E1243" s="1">
        <f>IFERROR(__xludf.DUMMYFUNCTION("""COMPUTED_VALUE"""),300.23)</f>
        <v>300.23</v>
      </c>
      <c r="F1243" s="1">
        <f>IFERROR(__xludf.DUMMYFUNCTION("""COMPUTED_VALUE"""),5.4862836E7)</f>
        <v>54862836</v>
      </c>
    </row>
    <row r="1244">
      <c r="A1244" s="2">
        <f>IFERROR(__xludf.DUMMYFUNCTION("""COMPUTED_VALUE"""),46160.66666666667)</f>
        <v>46160.66667</v>
      </c>
      <c r="B1244" s="1">
        <f>IFERROR(__xludf.DUMMYFUNCTION("""COMPUTED_VALUE"""),300.24)</f>
        <v>300.24</v>
      </c>
      <c r="C1244" s="1">
        <f>IFERROR(__xludf.DUMMYFUNCTION("""COMPUTED_VALUE"""),300.66)</f>
        <v>300.66</v>
      </c>
      <c r="D1244" s="1">
        <f>IFERROR(__xludf.DUMMYFUNCTION("""COMPUTED_VALUE"""),294.91)</f>
        <v>294.91</v>
      </c>
      <c r="E1244" s="1">
        <f>IFERROR(__xludf.DUMMYFUNCTION("""COMPUTED_VALUE"""),297.84)</f>
        <v>297.84</v>
      </c>
      <c r="F1244" s="1">
        <f>IFERROR(__xludf.DUMMYFUNCTION("""COMPUTED_VALUE"""),3.448296E7)</f>
        <v>34482960</v>
      </c>
    </row>
    <row r="1245">
      <c r="A1245" s="2">
        <f>IFERROR(__xludf.DUMMYFUNCTION("""COMPUTED_VALUE"""),46161.66666666667)</f>
        <v>46161.66667</v>
      </c>
      <c r="B1245" s="1">
        <f>IFERROR(__xludf.DUMMYFUNCTION("""COMPUTED_VALUE"""),296.97)</f>
        <v>296.97</v>
      </c>
      <c r="C1245" s="1">
        <f>IFERROR(__xludf.DUMMYFUNCTION("""COMPUTED_VALUE"""),300.51)</f>
        <v>300.51</v>
      </c>
      <c r="D1245" s="1">
        <f>IFERROR(__xludf.DUMMYFUNCTION("""COMPUTED_VALUE"""),296.35)</f>
        <v>296.35</v>
      </c>
      <c r="E1245" s="1">
        <f>IFERROR(__xludf.DUMMYFUNCTION("""COMPUTED_VALUE"""),298.97)</f>
        <v>298.97</v>
      </c>
      <c r="F1245" s="1">
        <f>IFERROR(__xludf.DUMMYFUNCTION("""COMPUTED_VALUE"""),4.2243562E7)</f>
        <v>42243562</v>
      </c>
    </row>
    <row r="1246">
      <c r="A1246" s="2">
        <f>IFERROR(__xludf.DUMMYFUNCTION("""COMPUTED_VALUE"""),46162.66666666667)</f>
        <v>46162.66667</v>
      </c>
      <c r="B1246" s="1">
        <f>IFERROR(__xludf.DUMMYFUNCTION("""COMPUTED_VALUE"""),298.18)</f>
        <v>298.18</v>
      </c>
      <c r="C1246" s="1">
        <f>IFERROR(__xludf.DUMMYFUNCTION("""COMPUTED_VALUE"""),302.8)</f>
        <v>302.8</v>
      </c>
      <c r="D1246" s="1">
        <f>IFERROR(__xludf.DUMMYFUNCTION("""COMPUTED_VALUE"""),298.08)</f>
        <v>298.08</v>
      </c>
      <c r="E1246" s="1">
        <f>IFERROR(__xludf.DUMMYFUNCTION("""COMPUTED_VALUE"""),302.25)</f>
        <v>302.25</v>
      </c>
      <c r="F1246" s="1">
        <f>IFERROR(__xludf.DUMMYFUNCTION("""COMPUTED_VALUE"""),3.8229844E7)</f>
        <v>38229844</v>
      </c>
    </row>
    <row r="1247">
      <c r="A1247" s="2">
        <f>IFERROR(__xludf.DUMMYFUNCTION("""COMPUTED_VALUE"""),46163.66666666667)</f>
        <v>46163.66667</v>
      </c>
      <c r="B1247" s="1">
        <f>IFERROR(__xludf.DUMMYFUNCTION("""COMPUTED_VALUE"""),301.06)</f>
        <v>301.06</v>
      </c>
      <c r="C1247" s="1">
        <f>IFERROR(__xludf.DUMMYFUNCTION("""COMPUTED_VALUE"""),305.54)</f>
        <v>305.54</v>
      </c>
      <c r="D1247" s="1">
        <f>IFERROR(__xludf.DUMMYFUNCTION("""COMPUTED_VALUE"""),300.4)</f>
        <v>300.4</v>
      </c>
      <c r="E1247" s="1">
        <f>IFERROR(__xludf.DUMMYFUNCTION("""COMPUTED_VALUE"""),304.99)</f>
        <v>304.99</v>
      </c>
      <c r="F1247" s="1">
        <f>IFERROR(__xludf.DUMMYFUNCTION("""COMPUTED_VALUE"""),4.2965127E7)</f>
        <v>42965127</v>
      </c>
    </row>
    <row r="1248">
      <c r="A1248" s="2">
        <f>IFERROR(__xludf.DUMMYFUNCTION("""COMPUTED_VALUE"""),46164.66666666667)</f>
        <v>46164.66667</v>
      </c>
      <c r="B1248" s="1">
        <f>IFERROR(__xludf.DUMMYFUNCTION("""COMPUTED_VALUE"""),306.12)</f>
        <v>306.12</v>
      </c>
      <c r="C1248" s="1">
        <f>IFERROR(__xludf.DUMMYFUNCTION("""COMPUTED_VALUE"""),311.4)</f>
        <v>311.4</v>
      </c>
      <c r="D1248" s="1">
        <f>IFERROR(__xludf.DUMMYFUNCTION("""COMPUTED_VALUE"""),305.84)</f>
        <v>305.84</v>
      </c>
      <c r="E1248" s="1">
        <f>IFERROR(__xludf.DUMMYFUNCTION("""COMPUTED_VALUE"""),308.82)</f>
        <v>308.82</v>
      </c>
      <c r="F1248" s="1">
        <f>IFERROR(__xludf.DUMMYFUNCTION("""COMPUTED_VALUE"""),4.3670224E7)</f>
        <v>43670224</v>
      </c>
    </row>
    <row r="1249">
      <c r="A1249" s="2">
        <f>IFERROR(__xludf.DUMMYFUNCTION("""COMPUTED_VALUE"""),46168.66666666667)</f>
        <v>46168.66667</v>
      </c>
      <c r="B1249" s="1">
        <f>IFERROR(__xludf.DUMMYFUNCTION("""COMPUTED_VALUE"""),309.56)</f>
        <v>309.56</v>
      </c>
      <c r="C1249" s="1">
        <f>IFERROR(__xludf.DUMMYFUNCTION("""COMPUTED_VALUE"""),311.82)</f>
        <v>311.82</v>
      </c>
      <c r="D1249" s="1">
        <f>IFERROR(__xludf.DUMMYFUNCTION("""COMPUTED_VALUE"""),307.67)</f>
        <v>307.67</v>
      </c>
      <c r="E1249" s="1">
        <f>IFERROR(__xludf.DUMMYFUNCTION("""COMPUTED_VALUE"""),308.33)</f>
        <v>308.33</v>
      </c>
      <c r="F1249" s="1">
        <f>IFERROR(__xludf.DUMMYFUNCTION("""COMPUTED_VALUE"""),4.8000494E7)</f>
        <v>48000494</v>
      </c>
    </row>
    <row r="1250">
      <c r="A1250" s="2">
        <f>IFERROR(__xludf.DUMMYFUNCTION("""COMPUTED_VALUE"""),46169.66666666667)</f>
        <v>46169.66667</v>
      </c>
      <c r="B1250" s="1">
        <f>IFERROR(__xludf.DUMMYFUNCTION("""COMPUTED_VALUE"""),308.33)</f>
        <v>308.33</v>
      </c>
      <c r="C1250" s="1">
        <f>IFERROR(__xludf.DUMMYFUNCTION("""COMPUTED_VALUE"""),313.26)</f>
        <v>313.26</v>
      </c>
      <c r="D1250" s="1">
        <f>IFERROR(__xludf.DUMMYFUNCTION("""COMPUTED_VALUE"""),308.3)</f>
        <v>308.3</v>
      </c>
      <c r="E1250" s="1">
        <f>IFERROR(__xludf.DUMMYFUNCTION("""COMPUTED_VALUE"""),310.85)</f>
        <v>310.85</v>
      </c>
      <c r="F1250" s="1">
        <f>IFERROR(__xludf.DUMMYFUNCTION("""COMPUTED_VALUE"""),5.043092E7)</f>
        <v>50430920</v>
      </c>
    </row>
    <row r="1251">
      <c r="A1251" s="2">
        <f>IFERROR(__xludf.DUMMYFUNCTION("""COMPUTED_VALUE"""),46170.66666666667)</f>
        <v>46170.66667</v>
      </c>
      <c r="B1251" s="1">
        <f>IFERROR(__xludf.DUMMYFUNCTION("""COMPUTED_VALUE"""),310.68)</f>
        <v>310.68</v>
      </c>
      <c r="C1251" s="1">
        <f>IFERROR(__xludf.DUMMYFUNCTION("""COMPUTED_VALUE"""),312.8)</f>
        <v>312.8</v>
      </c>
      <c r="D1251" s="1">
        <f>IFERROR(__xludf.DUMMYFUNCTION("""COMPUTED_VALUE"""),309.57)</f>
        <v>309.57</v>
      </c>
      <c r="E1251" s="1">
        <f>IFERROR(__xludf.DUMMYFUNCTION("""COMPUTED_VALUE"""),312.51)</f>
        <v>312.51</v>
      </c>
      <c r="F1251" s="1">
        <f>IFERROR(__xludf.DUMMYFUNCTION("""COMPUTED_VALUE"""),4.822039E7)</f>
        <v>48220390</v>
      </c>
    </row>
    <row r="1252">
      <c r="A1252" s="2">
        <f>IFERROR(__xludf.DUMMYFUNCTION("""COMPUTED_VALUE"""),46171.66666666667)</f>
        <v>46171.66667</v>
      </c>
      <c r="B1252" s="1">
        <f>IFERROR(__xludf.DUMMYFUNCTION("""COMPUTED_VALUE"""),311.77)</f>
        <v>311.77</v>
      </c>
      <c r="C1252" s="1">
        <f>IFERROR(__xludf.DUMMYFUNCTION("""COMPUTED_VALUE"""),315.0)</f>
        <v>315</v>
      </c>
      <c r="D1252" s="1">
        <f>IFERROR(__xludf.DUMMYFUNCTION("""COMPUTED_VALUE"""),309.53)</f>
        <v>309.53</v>
      </c>
      <c r="E1252" s="1">
        <f>IFERROR(__xludf.DUMMYFUNCTION("""COMPUTED_VALUE"""),312.06)</f>
        <v>312.06</v>
      </c>
      <c r="F1252" s="1">
        <f>IFERROR(__xludf.DUMMYFUNCTION("""COMPUTED_VALUE"""),7.0026753E7)</f>
        <v>70026753</v>
      </c>
    </row>
    <row r="1253">
      <c r="A1253" s="2">
        <f>IFERROR(__xludf.DUMMYFUNCTION("""COMPUTED_VALUE"""),46174.66666666667)</f>
        <v>46174.66667</v>
      </c>
      <c r="B1253" s="1">
        <f>IFERROR(__xludf.DUMMYFUNCTION("""COMPUTED_VALUE"""),309.63)</f>
        <v>309.63</v>
      </c>
      <c r="C1253" s="1">
        <f>IFERROR(__xludf.DUMMYFUNCTION("""COMPUTED_VALUE"""),310.94)</f>
        <v>310.94</v>
      </c>
      <c r="D1253" s="1">
        <f>IFERROR(__xludf.DUMMYFUNCTION("""COMPUTED_VALUE"""),305.02)</f>
        <v>305.02</v>
      </c>
      <c r="E1253" s="1">
        <f>IFERROR(__xludf.DUMMYFUNCTION("""COMPUTED_VALUE"""),306.31)</f>
        <v>306.31</v>
      </c>
      <c r="F1253" s="1">
        <f>IFERROR(__xludf.DUMMYFUNCTION("""COMPUTED_VALUE"""),4.8849934E7)</f>
        <v>48849934</v>
      </c>
    </row>
    <row r="1254">
      <c r="A1254" s="2">
        <f>IFERROR(__xludf.DUMMYFUNCTION("""COMPUTED_VALUE"""),46175.66666666667)</f>
        <v>46175.66667</v>
      </c>
      <c r="B1254" s="1">
        <f>IFERROR(__xludf.DUMMYFUNCTION("""COMPUTED_VALUE"""),307.46)</f>
        <v>307.46</v>
      </c>
      <c r="C1254" s="1">
        <f>IFERROR(__xludf.DUMMYFUNCTION("""COMPUTED_VALUE"""),315.45)</f>
        <v>315.45</v>
      </c>
      <c r="D1254" s="1">
        <f>IFERROR(__xludf.DUMMYFUNCTION("""COMPUTED_VALUE"""),306.69)</f>
        <v>306.69</v>
      </c>
      <c r="E1254" s="1">
        <f>IFERROR(__xludf.DUMMYFUNCTION("""COMPUTED_VALUE"""),315.2)</f>
        <v>315.2</v>
      </c>
      <c r="F1254" s="1">
        <f>IFERROR(__xludf.DUMMYFUNCTION("""COMPUTED_VALUE"""),4.4534716E7)</f>
        <v>44534716</v>
      </c>
    </row>
    <row r="1255">
      <c r="A1255" s="2">
        <f>IFERROR(__xludf.DUMMYFUNCTION("""COMPUTED_VALUE"""),46176.66666666667)</f>
        <v>46176.66667</v>
      </c>
      <c r="B1255" s="1">
        <f>IFERROR(__xludf.DUMMYFUNCTION("""COMPUTED_VALUE"""),314.18)</f>
        <v>314.18</v>
      </c>
      <c r="C1255" s="1">
        <f>IFERROR(__xludf.DUMMYFUNCTION("""COMPUTED_VALUE"""),316.94)</f>
        <v>316.94</v>
      </c>
      <c r="D1255" s="1">
        <f>IFERROR(__xludf.DUMMYFUNCTION("""COMPUTED_VALUE"""),308.85)</f>
        <v>308.85</v>
      </c>
      <c r="E1255" s="1">
        <f>IFERROR(__xludf.DUMMYFUNCTION("""COMPUTED_VALUE"""),310.26)</f>
        <v>310.26</v>
      </c>
      <c r="F1255" s="1">
        <f>IFERROR(__xludf.DUMMYFUNCTION("""COMPUTED_VALUE"""),5.0836705E7)</f>
        <v>50836705</v>
      </c>
    </row>
    <row r="1256">
      <c r="A1256" s="2">
        <f>IFERROR(__xludf.DUMMYFUNCTION("""COMPUTED_VALUE"""),46177.66666666667)</f>
        <v>46177.66667</v>
      </c>
      <c r="B1256" s="1">
        <f>IFERROR(__xludf.DUMMYFUNCTION("""COMPUTED_VALUE"""),313.23)</f>
        <v>313.23</v>
      </c>
      <c r="C1256" s="1">
        <f>IFERROR(__xludf.DUMMYFUNCTION("""COMPUTED_VALUE"""),313.54)</f>
        <v>313.54</v>
      </c>
      <c r="D1256" s="1">
        <f>IFERROR(__xludf.DUMMYFUNCTION("""COMPUTED_VALUE"""),309.65)</f>
        <v>309.65</v>
      </c>
      <c r="E1256" s="1">
        <f>IFERROR(__xludf.DUMMYFUNCTION("""COMPUTED_VALUE"""),311.23)</f>
        <v>311.23</v>
      </c>
      <c r="F1256" s="1">
        <f>IFERROR(__xludf.DUMMYFUNCTION("""COMPUTED_VALUE"""),4.4869134E7)</f>
        <v>44869134</v>
      </c>
    </row>
    <row r="1257">
      <c r="A1257" s="2">
        <f>IFERROR(__xludf.DUMMYFUNCTION("""COMPUTED_VALUE"""),46178.66666666667)</f>
        <v>46178.66667</v>
      </c>
      <c r="B1257" s="1">
        <f>IFERROR(__xludf.DUMMYFUNCTION("""COMPUTED_VALUE"""),312.86)</f>
        <v>312.86</v>
      </c>
      <c r="C1257" s="1">
        <f>IFERROR(__xludf.DUMMYFUNCTION("""COMPUTED_VALUE"""),315.17)</f>
        <v>315.17</v>
      </c>
      <c r="D1257" s="1">
        <f>IFERROR(__xludf.DUMMYFUNCTION("""COMPUTED_VALUE"""),307.15)</f>
        <v>307.15</v>
      </c>
      <c r="E1257" s="1">
        <f>IFERROR(__xludf.DUMMYFUNCTION("""COMPUTED_VALUE"""),307.34)</f>
        <v>307.34</v>
      </c>
      <c r="F1257" s="1">
        <f>IFERROR(__xludf.DUMMYFUNCTION("""COMPUTED_VALUE"""),6.5310503E7)</f>
        <v>65310503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tr">
        <f>IFERROR(__xludf.DUMMYFUNCTION("GOOGLEFINANCE(""GOOGL"", ""all"", ""2021-06-07"", ""2026-06-07"",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IFERROR(__xludf.DUMMYFUNCTION("""COMPUTED_VALUE"""),44354.66666666667)</f>
        <v>44354.66667</v>
      </c>
      <c r="B2" s="1">
        <f>IFERROR(__xludf.DUMMYFUNCTION("""COMPUTED_VALUE"""),119.47)</f>
        <v>119.47</v>
      </c>
      <c r="C2" s="1">
        <f>IFERROR(__xludf.DUMMYFUNCTION("""COMPUTED_VALUE"""),120.23)</f>
        <v>120.23</v>
      </c>
      <c r="D2" s="1">
        <f>IFERROR(__xludf.DUMMYFUNCTION("""COMPUTED_VALUE"""),119.05)</f>
        <v>119.05</v>
      </c>
      <c r="E2" s="1">
        <f>IFERROR(__xludf.DUMMYFUNCTION("""COMPUTED_VALUE"""),120.12)</f>
        <v>120.12</v>
      </c>
      <c r="F2" s="1">
        <f>IFERROR(__xludf.DUMMYFUNCTION("""COMPUTED_VALUE"""),1205966.0)</f>
        <v>1205966</v>
      </c>
    </row>
    <row r="3">
      <c r="A3" s="2">
        <f>IFERROR(__xludf.DUMMYFUNCTION("""COMPUTED_VALUE"""),44355.66666666667)</f>
        <v>44355.66667</v>
      </c>
      <c r="B3" s="1">
        <f>IFERROR(__xludf.DUMMYFUNCTION("""COMPUTED_VALUE"""),120.6)</f>
        <v>120.6</v>
      </c>
      <c r="C3" s="1">
        <f>IFERROR(__xludf.DUMMYFUNCTION("""COMPUTED_VALUE"""),120.98)</f>
        <v>120.98</v>
      </c>
      <c r="D3" s="1">
        <f>IFERROR(__xludf.DUMMYFUNCTION("""COMPUTED_VALUE"""),119.74)</f>
        <v>119.74</v>
      </c>
      <c r="E3" s="1">
        <f>IFERROR(__xludf.DUMMYFUNCTION("""COMPUTED_VALUE"""),119.92)</f>
        <v>119.92</v>
      </c>
      <c r="F3" s="1">
        <f>IFERROR(__xludf.DUMMYFUNCTION("""COMPUTED_VALUE"""),1211992.0)</f>
        <v>1211992</v>
      </c>
    </row>
    <row r="4">
      <c r="A4" s="2">
        <f>IFERROR(__xludf.DUMMYFUNCTION("""COMPUTED_VALUE"""),44356.66666666667)</f>
        <v>44356.66667</v>
      </c>
      <c r="B4" s="1">
        <f>IFERROR(__xludf.DUMMYFUNCTION("""COMPUTED_VALUE"""),120.57)</f>
        <v>120.57</v>
      </c>
      <c r="C4" s="1">
        <f>IFERROR(__xludf.DUMMYFUNCTION("""COMPUTED_VALUE"""),120.64)</f>
        <v>120.64</v>
      </c>
      <c r="D4" s="1">
        <f>IFERROR(__xludf.DUMMYFUNCTION("""COMPUTED_VALUE"""),119.85)</f>
        <v>119.85</v>
      </c>
      <c r="E4" s="1">
        <f>IFERROR(__xludf.DUMMYFUNCTION("""COMPUTED_VALUE"""),120.4)</f>
        <v>120.4</v>
      </c>
      <c r="F4" s="1">
        <f>IFERROR(__xludf.DUMMYFUNCTION("""COMPUTED_VALUE"""),897052.0)</f>
        <v>897052</v>
      </c>
    </row>
    <row r="5">
      <c r="A5" s="2">
        <f>IFERROR(__xludf.DUMMYFUNCTION("""COMPUTED_VALUE"""),44357.66666666667)</f>
        <v>44357.66667</v>
      </c>
      <c r="B5" s="1">
        <f>IFERROR(__xludf.DUMMYFUNCTION("""COMPUTED_VALUE"""),120.35)</f>
        <v>120.35</v>
      </c>
      <c r="C5" s="1">
        <f>IFERROR(__xludf.DUMMYFUNCTION("""COMPUTED_VALUE"""),121.8)</f>
        <v>121.8</v>
      </c>
      <c r="D5" s="1">
        <f>IFERROR(__xludf.DUMMYFUNCTION("""COMPUTED_VALUE"""),120.19)</f>
        <v>120.19</v>
      </c>
      <c r="E5" s="1">
        <f>IFERROR(__xludf.DUMMYFUNCTION("""COMPUTED_VALUE"""),121.76)</f>
        <v>121.76</v>
      </c>
      <c r="F5" s="1">
        <f>IFERROR(__xludf.DUMMYFUNCTION("""COMPUTED_VALUE"""),1295375.0)</f>
        <v>1295375</v>
      </c>
    </row>
    <row r="6">
      <c r="A6" s="2">
        <f>IFERROR(__xludf.DUMMYFUNCTION("""COMPUTED_VALUE"""),44358.66666666667)</f>
        <v>44358.66667</v>
      </c>
      <c r="B6" s="1">
        <f>IFERROR(__xludf.DUMMYFUNCTION("""COMPUTED_VALUE"""),122.0)</f>
        <v>122</v>
      </c>
      <c r="C6" s="1">
        <f>IFERROR(__xludf.DUMMYFUNCTION("""COMPUTED_VALUE"""),122.09)</f>
        <v>122.09</v>
      </c>
      <c r="D6" s="1">
        <f>IFERROR(__xludf.DUMMYFUNCTION("""COMPUTED_VALUE"""),120.95)</f>
        <v>120.95</v>
      </c>
      <c r="E6" s="1">
        <f>IFERROR(__xludf.DUMMYFUNCTION("""COMPUTED_VALUE"""),121.51)</f>
        <v>121.51</v>
      </c>
      <c r="F6" s="1">
        <f>IFERROR(__xludf.DUMMYFUNCTION("""COMPUTED_VALUE"""),1097907.0)</f>
        <v>1097907</v>
      </c>
    </row>
    <row r="7">
      <c r="A7" s="2">
        <f>IFERROR(__xludf.DUMMYFUNCTION("""COMPUTED_VALUE"""),44361.66666666667)</f>
        <v>44361.66667</v>
      </c>
      <c r="B7" s="1">
        <f>IFERROR(__xludf.DUMMYFUNCTION("""COMPUTED_VALUE"""),121.61)</f>
        <v>121.61</v>
      </c>
      <c r="C7" s="1">
        <f>IFERROR(__xludf.DUMMYFUNCTION("""COMPUTED_VALUE"""),122.45)</f>
        <v>122.45</v>
      </c>
      <c r="D7" s="1">
        <f>IFERROR(__xludf.DUMMYFUNCTION("""COMPUTED_VALUE"""),120.9)</f>
        <v>120.9</v>
      </c>
      <c r="E7" s="1">
        <f>IFERROR(__xludf.DUMMYFUNCTION("""COMPUTED_VALUE"""),122.45)</f>
        <v>122.45</v>
      </c>
      <c r="F7" s="1">
        <f>IFERROR(__xludf.DUMMYFUNCTION("""COMPUTED_VALUE"""),1104878.0)</f>
        <v>1104878</v>
      </c>
    </row>
    <row r="8">
      <c r="A8" s="2">
        <f>IFERROR(__xludf.DUMMYFUNCTION("""COMPUTED_VALUE"""),44362.66666666667)</f>
        <v>44362.66667</v>
      </c>
      <c r="B8" s="1">
        <f>IFERROR(__xludf.DUMMYFUNCTION("""COMPUTED_VALUE"""),122.45)</f>
        <v>122.45</v>
      </c>
      <c r="C8" s="1">
        <f>IFERROR(__xludf.DUMMYFUNCTION("""COMPUTED_VALUE"""),122.78)</f>
        <v>122.78</v>
      </c>
      <c r="D8" s="1">
        <f>IFERROR(__xludf.DUMMYFUNCTION("""COMPUTED_VALUE"""),121.06)</f>
        <v>121.06</v>
      </c>
      <c r="E8" s="1">
        <f>IFERROR(__xludf.DUMMYFUNCTION("""COMPUTED_VALUE"""),121.42)</f>
        <v>121.42</v>
      </c>
      <c r="F8" s="1">
        <f>IFERROR(__xludf.DUMMYFUNCTION("""COMPUTED_VALUE"""),1078107.0)</f>
        <v>1078107</v>
      </c>
    </row>
    <row r="9">
      <c r="A9" s="2">
        <f>IFERROR(__xludf.DUMMYFUNCTION("""COMPUTED_VALUE"""),44363.66666666667)</f>
        <v>44363.66667</v>
      </c>
      <c r="B9" s="1">
        <f>IFERROR(__xludf.DUMMYFUNCTION("""COMPUTED_VALUE"""),121.57)</f>
        <v>121.57</v>
      </c>
      <c r="C9" s="1">
        <f>IFERROR(__xludf.DUMMYFUNCTION("""COMPUTED_VALUE"""),121.89)</f>
        <v>121.89</v>
      </c>
      <c r="D9" s="1">
        <f>IFERROR(__xludf.DUMMYFUNCTION("""COMPUTED_VALUE"""),119.47)</f>
        <v>119.47</v>
      </c>
      <c r="E9" s="1">
        <f>IFERROR(__xludf.DUMMYFUNCTION("""COMPUTED_VALUE"""),120.77)</f>
        <v>120.77</v>
      </c>
      <c r="F9" s="1">
        <f>IFERROR(__xludf.DUMMYFUNCTION("""COMPUTED_VALUE"""),1323593.0)</f>
        <v>1323593</v>
      </c>
    </row>
    <row r="10">
      <c r="A10" s="2">
        <f>IFERROR(__xludf.DUMMYFUNCTION("""COMPUTED_VALUE"""),44364.66666666667)</f>
        <v>44364.66667</v>
      </c>
      <c r="B10" s="1">
        <f>IFERROR(__xludf.DUMMYFUNCTION("""COMPUTED_VALUE"""),120.7)</f>
        <v>120.7</v>
      </c>
      <c r="C10" s="1">
        <f>IFERROR(__xludf.DUMMYFUNCTION("""COMPUTED_VALUE"""),122.52)</f>
        <v>122.52</v>
      </c>
      <c r="D10" s="1">
        <f>IFERROR(__xludf.DUMMYFUNCTION("""COMPUTED_VALUE"""),120.5)</f>
        <v>120.5</v>
      </c>
      <c r="E10" s="1">
        <f>IFERROR(__xludf.DUMMYFUNCTION("""COMPUTED_VALUE"""),121.74)</f>
        <v>121.74</v>
      </c>
      <c r="F10" s="1">
        <f>IFERROR(__xludf.DUMMYFUNCTION("""COMPUTED_VALUE"""),1292444.0)</f>
        <v>1292444</v>
      </c>
    </row>
    <row r="11">
      <c r="A11" s="2">
        <f>IFERROR(__xludf.DUMMYFUNCTION("""COMPUTED_VALUE"""),44365.66666666667)</f>
        <v>44365.66667</v>
      </c>
      <c r="B11" s="1">
        <f>IFERROR(__xludf.DUMMYFUNCTION("""COMPUTED_VALUE"""),121.37)</f>
        <v>121.37</v>
      </c>
      <c r="C11" s="1">
        <f>IFERROR(__xludf.DUMMYFUNCTION("""COMPUTED_VALUE"""),121.6)</f>
        <v>121.6</v>
      </c>
      <c r="D11" s="1">
        <f>IFERROR(__xludf.DUMMYFUNCTION("""COMPUTED_VALUE"""),120.02)</f>
        <v>120.02</v>
      </c>
      <c r="E11" s="1">
        <f>IFERROR(__xludf.DUMMYFUNCTION("""COMPUTED_VALUE"""),120.11)</f>
        <v>120.11</v>
      </c>
      <c r="F11" s="1">
        <f>IFERROR(__xludf.DUMMYFUNCTION("""COMPUTED_VALUE"""),2305760.0)</f>
        <v>2305760</v>
      </c>
    </row>
    <row r="12">
      <c r="A12" s="2">
        <f>IFERROR(__xludf.DUMMYFUNCTION("""COMPUTED_VALUE"""),44368.66666666667)</f>
        <v>44368.66667</v>
      </c>
      <c r="B12" s="1">
        <f>IFERROR(__xludf.DUMMYFUNCTION("""COMPUTED_VALUE"""),120.5)</f>
        <v>120.5</v>
      </c>
      <c r="C12" s="1">
        <f>IFERROR(__xludf.DUMMYFUNCTION("""COMPUTED_VALUE"""),122.0)</f>
        <v>122</v>
      </c>
      <c r="D12" s="1">
        <f>IFERROR(__xludf.DUMMYFUNCTION("""COMPUTED_VALUE"""),119.9)</f>
        <v>119.9</v>
      </c>
      <c r="E12" s="1">
        <f>IFERROR(__xludf.DUMMYFUNCTION("""COMPUTED_VALUE"""),121.81)</f>
        <v>121.81</v>
      </c>
      <c r="F12" s="1">
        <f>IFERROR(__xludf.DUMMYFUNCTION("""COMPUTED_VALUE"""),1370683.0)</f>
        <v>1370683</v>
      </c>
    </row>
    <row r="13">
      <c r="A13" s="2">
        <f>IFERROR(__xludf.DUMMYFUNCTION("""COMPUTED_VALUE"""),44369.66666666667)</f>
        <v>44369.66667</v>
      </c>
      <c r="B13" s="1">
        <f>IFERROR(__xludf.DUMMYFUNCTION("""COMPUTED_VALUE"""),121.75)</f>
        <v>121.75</v>
      </c>
      <c r="C13" s="1">
        <f>IFERROR(__xludf.DUMMYFUNCTION("""COMPUTED_VALUE"""),122.4)</f>
        <v>122.4</v>
      </c>
      <c r="D13" s="1">
        <f>IFERROR(__xludf.DUMMYFUNCTION("""COMPUTED_VALUE"""),121.06)</f>
        <v>121.06</v>
      </c>
      <c r="E13" s="1">
        <f>IFERROR(__xludf.DUMMYFUNCTION("""COMPUTED_VALUE"""),122.33)</f>
        <v>122.33</v>
      </c>
      <c r="F13" s="1">
        <f>IFERROR(__xludf.DUMMYFUNCTION("""COMPUTED_VALUE"""),1119510.0)</f>
        <v>1119510</v>
      </c>
    </row>
    <row r="14">
      <c r="A14" s="2">
        <f>IFERROR(__xludf.DUMMYFUNCTION("""COMPUTED_VALUE"""),44370.66666666667)</f>
        <v>44370.66667</v>
      </c>
      <c r="B14" s="1">
        <f>IFERROR(__xludf.DUMMYFUNCTION("""COMPUTED_VALUE"""),122.09)</f>
        <v>122.09</v>
      </c>
      <c r="C14" s="1">
        <f>IFERROR(__xludf.DUMMYFUNCTION("""COMPUTED_VALUE"""),123.1)</f>
        <v>123.1</v>
      </c>
      <c r="D14" s="1">
        <f>IFERROR(__xludf.DUMMYFUNCTION("""COMPUTED_VALUE"""),121.83)</f>
        <v>121.83</v>
      </c>
      <c r="E14" s="1">
        <f>IFERROR(__xludf.DUMMYFUNCTION("""COMPUTED_VALUE"""),122.13)</f>
        <v>122.13</v>
      </c>
      <c r="F14" s="1">
        <f>IFERROR(__xludf.DUMMYFUNCTION("""COMPUTED_VALUE"""),957708.0)</f>
        <v>957708</v>
      </c>
    </row>
    <row r="15">
      <c r="A15" s="2">
        <f>IFERROR(__xludf.DUMMYFUNCTION("""COMPUTED_VALUE"""),44371.66666666667)</f>
        <v>44371.66667</v>
      </c>
      <c r="B15" s="1">
        <f>IFERROR(__xludf.DUMMYFUNCTION("""COMPUTED_VALUE"""),122.7)</f>
        <v>122.7</v>
      </c>
      <c r="C15" s="1">
        <f>IFERROR(__xludf.DUMMYFUNCTION("""COMPUTED_VALUE"""),123.06)</f>
        <v>123.06</v>
      </c>
      <c r="D15" s="1">
        <f>IFERROR(__xludf.DUMMYFUNCTION("""COMPUTED_VALUE"""),122.3)</f>
        <v>122.3</v>
      </c>
      <c r="E15" s="1">
        <f>IFERROR(__xludf.DUMMYFUNCTION("""COMPUTED_VALUE"""),122.5)</f>
        <v>122.5</v>
      </c>
      <c r="F15" s="1">
        <f>IFERROR(__xludf.DUMMYFUNCTION("""COMPUTED_VALUE"""),1068257.0)</f>
        <v>1068257</v>
      </c>
    </row>
    <row r="16">
      <c r="A16" s="2">
        <f>IFERROR(__xludf.DUMMYFUNCTION("""COMPUTED_VALUE"""),44372.66666666667)</f>
        <v>44372.66667</v>
      </c>
      <c r="B16" s="1">
        <f>IFERROR(__xludf.DUMMYFUNCTION("""COMPUTED_VALUE"""),122.0)</f>
        <v>122</v>
      </c>
      <c r="C16" s="1">
        <f>IFERROR(__xludf.DUMMYFUNCTION("""COMPUTED_VALUE"""),122.63)</f>
        <v>122.63</v>
      </c>
      <c r="D16" s="1">
        <f>IFERROR(__xludf.DUMMYFUNCTION("""COMPUTED_VALUE"""),121.57)</f>
        <v>121.57</v>
      </c>
      <c r="E16" s="1">
        <f>IFERROR(__xludf.DUMMYFUNCTION("""COMPUTED_VALUE"""),122.51)</f>
        <v>122.51</v>
      </c>
      <c r="F16" s="1">
        <f>IFERROR(__xludf.DUMMYFUNCTION("""COMPUTED_VALUE"""),1729819.0)</f>
        <v>1729819</v>
      </c>
    </row>
    <row r="17">
      <c r="A17" s="2">
        <f>IFERROR(__xludf.DUMMYFUNCTION("""COMPUTED_VALUE"""),44375.66666666667)</f>
        <v>44375.66667</v>
      </c>
      <c r="B17" s="1">
        <f>IFERROR(__xludf.DUMMYFUNCTION("""COMPUTED_VALUE"""),122.68)</f>
        <v>122.68</v>
      </c>
      <c r="C17" s="1">
        <f>IFERROR(__xludf.DUMMYFUNCTION("""COMPUTED_VALUE"""),122.78)</f>
        <v>122.78</v>
      </c>
      <c r="D17" s="1">
        <f>IFERROR(__xludf.DUMMYFUNCTION("""COMPUTED_VALUE"""),121.41)</f>
        <v>121.41</v>
      </c>
      <c r="E17" s="1">
        <f>IFERROR(__xludf.DUMMYFUNCTION("""COMPUTED_VALUE"""),122.54)</f>
        <v>122.54</v>
      </c>
      <c r="F17" s="1">
        <f>IFERROR(__xludf.DUMMYFUNCTION("""COMPUTED_VALUE"""),1426271.0)</f>
        <v>1426271</v>
      </c>
    </row>
    <row r="18">
      <c r="A18" s="2">
        <f>IFERROR(__xludf.DUMMYFUNCTION("""COMPUTED_VALUE"""),44376.66666666667)</f>
        <v>44376.66667</v>
      </c>
      <c r="B18" s="1">
        <f>IFERROR(__xludf.DUMMYFUNCTION("""COMPUTED_VALUE"""),122.67)</f>
        <v>122.67</v>
      </c>
      <c r="C18" s="1">
        <f>IFERROR(__xludf.DUMMYFUNCTION("""COMPUTED_VALUE"""),123.02)</f>
        <v>123.02</v>
      </c>
      <c r="D18" s="1">
        <f>IFERROR(__xludf.DUMMYFUNCTION("""COMPUTED_VALUE"""),121.69)</f>
        <v>121.69</v>
      </c>
      <c r="E18" s="1">
        <f>IFERROR(__xludf.DUMMYFUNCTION("""COMPUTED_VALUE"""),122.27)</f>
        <v>122.27</v>
      </c>
      <c r="F18" s="1">
        <f>IFERROR(__xludf.DUMMYFUNCTION("""COMPUTED_VALUE"""),1155436.0)</f>
        <v>1155436</v>
      </c>
    </row>
    <row r="19">
      <c r="A19" s="2">
        <f>IFERROR(__xludf.DUMMYFUNCTION("""COMPUTED_VALUE"""),44377.66666666667)</f>
        <v>44377.66667</v>
      </c>
      <c r="B19" s="1">
        <f>IFERROR(__xludf.DUMMYFUNCTION("""COMPUTED_VALUE"""),121.99)</f>
        <v>121.99</v>
      </c>
      <c r="C19" s="1">
        <f>IFERROR(__xludf.DUMMYFUNCTION("""COMPUTED_VALUE"""),122.26)</f>
        <v>122.26</v>
      </c>
      <c r="D19" s="1">
        <f>IFERROR(__xludf.DUMMYFUNCTION("""COMPUTED_VALUE"""),121.35)</f>
        <v>121.35</v>
      </c>
      <c r="E19" s="1">
        <f>IFERROR(__xludf.DUMMYFUNCTION("""COMPUTED_VALUE"""),122.09)</f>
        <v>122.09</v>
      </c>
      <c r="F19" s="1">
        <f>IFERROR(__xludf.DUMMYFUNCTION("""COMPUTED_VALUE"""),1223699.0)</f>
        <v>1223699</v>
      </c>
    </row>
    <row r="20">
      <c r="A20" s="2">
        <f>IFERROR(__xludf.DUMMYFUNCTION("""COMPUTED_VALUE"""),44378.66666666667)</f>
        <v>44378.66667</v>
      </c>
      <c r="B20" s="1">
        <f>IFERROR(__xludf.DUMMYFUNCTION("""COMPUTED_VALUE"""),121.73)</f>
        <v>121.73</v>
      </c>
      <c r="C20" s="1">
        <f>IFERROR(__xludf.DUMMYFUNCTION("""COMPUTED_VALUE"""),122.59)</f>
        <v>122.59</v>
      </c>
      <c r="D20" s="1">
        <f>IFERROR(__xludf.DUMMYFUNCTION("""COMPUTED_VALUE"""),121.53)</f>
        <v>121.53</v>
      </c>
      <c r="E20" s="1">
        <f>IFERROR(__xludf.DUMMYFUNCTION("""COMPUTED_VALUE"""),122.44)</f>
        <v>122.44</v>
      </c>
      <c r="F20" s="1">
        <f>IFERROR(__xludf.DUMMYFUNCTION("""COMPUTED_VALUE"""),905641.0)</f>
        <v>905641</v>
      </c>
    </row>
    <row r="21">
      <c r="A21" s="2">
        <f>IFERROR(__xludf.DUMMYFUNCTION("""COMPUTED_VALUE"""),44379.66666666667)</f>
        <v>44379.66667</v>
      </c>
      <c r="B21" s="1">
        <f>IFERROR(__xludf.DUMMYFUNCTION("""COMPUTED_VALUE"""),123.15)</f>
        <v>123.15</v>
      </c>
      <c r="C21" s="1">
        <f>IFERROR(__xludf.DUMMYFUNCTION("""COMPUTED_VALUE"""),125.4)</f>
        <v>125.4</v>
      </c>
      <c r="D21" s="1">
        <f>IFERROR(__xludf.DUMMYFUNCTION("""COMPUTED_VALUE"""),123.06)</f>
        <v>123.06</v>
      </c>
      <c r="E21" s="1">
        <f>IFERROR(__xludf.DUMMYFUNCTION("""COMPUTED_VALUE"""),125.26)</f>
        <v>125.26</v>
      </c>
      <c r="F21" s="1">
        <f>IFERROR(__xludf.DUMMYFUNCTION("""COMPUTED_VALUE"""),1300109.0)</f>
        <v>1300109</v>
      </c>
    </row>
    <row r="22">
      <c r="A22" s="2">
        <f>IFERROR(__xludf.DUMMYFUNCTION("""COMPUTED_VALUE"""),44383.66666666667)</f>
        <v>44383.66667</v>
      </c>
      <c r="B22" s="1">
        <f>IFERROR(__xludf.DUMMYFUNCTION("""COMPUTED_VALUE"""),125.65)</f>
        <v>125.65</v>
      </c>
      <c r="C22" s="1">
        <f>IFERROR(__xludf.DUMMYFUNCTION("""COMPUTED_VALUE"""),126.43)</f>
        <v>126.43</v>
      </c>
      <c r="D22" s="1">
        <f>IFERROR(__xludf.DUMMYFUNCTION("""COMPUTED_VALUE"""),124.58)</f>
        <v>124.58</v>
      </c>
      <c r="E22" s="1">
        <f>IFERROR(__xludf.DUMMYFUNCTION("""COMPUTED_VALUE"""),126.19)</f>
        <v>126.19</v>
      </c>
      <c r="F22" s="1">
        <f>IFERROR(__xludf.DUMMYFUNCTION("""COMPUTED_VALUE"""),1320179.0)</f>
        <v>1320179</v>
      </c>
    </row>
    <row r="23">
      <c r="A23" s="2">
        <f>IFERROR(__xludf.DUMMYFUNCTION("""COMPUTED_VALUE"""),44384.66666666667)</f>
        <v>44384.66667</v>
      </c>
      <c r="B23" s="1">
        <f>IFERROR(__xludf.DUMMYFUNCTION("""COMPUTED_VALUE"""),127.16)</f>
        <v>127.16</v>
      </c>
      <c r="C23" s="1">
        <f>IFERROR(__xludf.DUMMYFUNCTION("""COMPUTED_VALUE"""),127.28)</f>
        <v>127.28</v>
      </c>
      <c r="D23" s="1">
        <f>IFERROR(__xludf.DUMMYFUNCTION("""COMPUTED_VALUE"""),126.15)</f>
        <v>126.15</v>
      </c>
      <c r="E23" s="1">
        <f>IFERROR(__xludf.DUMMYFUNCTION("""COMPUTED_VALUE"""),126.47)</f>
        <v>126.47</v>
      </c>
      <c r="F23" s="1">
        <f>IFERROR(__xludf.DUMMYFUNCTION("""COMPUTED_VALUE"""),1202951.0)</f>
        <v>1202951</v>
      </c>
    </row>
    <row r="24">
      <c r="A24" s="2">
        <f>IFERROR(__xludf.DUMMYFUNCTION("""COMPUTED_VALUE"""),44385.66666666667)</f>
        <v>44385.66667</v>
      </c>
      <c r="B24" s="1">
        <f>IFERROR(__xludf.DUMMYFUNCTION("""COMPUTED_VALUE"""),124.03)</f>
        <v>124.03</v>
      </c>
      <c r="C24" s="1">
        <f>IFERROR(__xludf.DUMMYFUNCTION("""COMPUTED_VALUE"""),125.6)</f>
        <v>125.6</v>
      </c>
      <c r="D24" s="1">
        <f>IFERROR(__xludf.DUMMYFUNCTION("""COMPUTED_VALUE"""),124.02)</f>
        <v>124.02</v>
      </c>
      <c r="E24" s="1">
        <f>IFERROR(__xludf.DUMMYFUNCTION("""COMPUTED_VALUE"""),125.04)</f>
        <v>125.04</v>
      </c>
      <c r="F24" s="1">
        <f>IFERROR(__xludf.DUMMYFUNCTION("""COMPUTED_VALUE"""),1189467.0)</f>
        <v>1189467</v>
      </c>
    </row>
    <row r="25">
      <c r="A25" s="2">
        <f>IFERROR(__xludf.DUMMYFUNCTION("""COMPUTED_VALUE"""),44386.66666666667)</f>
        <v>44386.66667</v>
      </c>
      <c r="B25" s="1">
        <f>IFERROR(__xludf.DUMMYFUNCTION("""COMPUTED_VALUE"""),125.03)</f>
        <v>125.03</v>
      </c>
      <c r="C25" s="1">
        <f>IFERROR(__xludf.DUMMYFUNCTION("""COMPUTED_VALUE"""),125.73)</f>
        <v>125.73</v>
      </c>
      <c r="D25" s="1">
        <f>IFERROR(__xludf.DUMMYFUNCTION("""COMPUTED_VALUE"""),124.55)</f>
        <v>124.55</v>
      </c>
      <c r="E25" s="1">
        <f>IFERROR(__xludf.DUMMYFUNCTION("""COMPUTED_VALUE"""),125.52)</f>
        <v>125.52</v>
      </c>
      <c r="F25" s="1">
        <f>IFERROR(__xludf.DUMMYFUNCTION("""COMPUTED_VALUE"""),931584.0)</f>
        <v>931584</v>
      </c>
    </row>
    <row r="26">
      <c r="A26" s="2">
        <f>IFERROR(__xludf.DUMMYFUNCTION("""COMPUTED_VALUE"""),44389.66666666667)</f>
        <v>44389.66667</v>
      </c>
      <c r="B26" s="1">
        <f>IFERROR(__xludf.DUMMYFUNCTION("""COMPUTED_VALUE"""),126.18)</f>
        <v>126.18</v>
      </c>
      <c r="C26" s="1">
        <f>IFERROR(__xludf.DUMMYFUNCTION("""COMPUTED_VALUE"""),127.07)</f>
        <v>127.07</v>
      </c>
      <c r="D26" s="1">
        <f>IFERROR(__xludf.DUMMYFUNCTION("""COMPUTED_VALUE"""),125.61)</f>
        <v>125.61</v>
      </c>
      <c r="E26" s="1">
        <f>IFERROR(__xludf.DUMMYFUNCTION("""COMPUTED_VALUE"""),126.98)</f>
        <v>126.98</v>
      </c>
      <c r="F26" s="1">
        <f>IFERROR(__xludf.DUMMYFUNCTION("""COMPUTED_VALUE"""),883389.0)</f>
        <v>883389</v>
      </c>
    </row>
    <row r="27">
      <c r="A27" s="2">
        <f>IFERROR(__xludf.DUMMYFUNCTION("""COMPUTED_VALUE"""),44390.66666666667)</f>
        <v>44390.66667</v>
      </c>
      <c r="B27" s="1">
        <f>IFERROR(__xludf.DUMMYFUNCTION("""COMPUTED_VALUE"""),127.04)</f>
        <v>127.04</v>
      </c>
      <c r="C27" s="1">
        <f>IFERROR(__xludf.DUMMYFUNCTION("""COMPUTED_VALUE"""),128.06)</f>
        <v>128.06</v>
      </c>
      <c r="D27" s="1">
        <f>IFERROR(__xludf.DUMMYFUNCTION("""COMPUTED_VALUE"""),126.67)</f>
        <v>126.67</v>
      </c>
      <c r="E27" s="1">
        <f>IFERROR(__xludf.DUMMYFUNCTION("""COMPUTED_VALUE"""),127.34)</f>
        <v>127.34</v>
      </c>
      <c r="F27" s="1">
        <f>IFERROR(__xludf.DUMMYFUNCTION("""COMPUTED_VALUE"""),962347.0)</f>
        <v>962347</v>
      </c>
    </row>
    <row r="28">
      <c r="A28" s="2">
        <f>IFERROR(__xludf.DUMMYFUNCTION("""COMPUTED_VALUE"""),44391.66666666667)</f>
        <v>44391.66667</v>
      </c>
      <c r="B28" s="1">
        <f>IFERROR(__xludf.DUMMYFUNCTION("""COMPUTED_VALUE"""),127.96)</f>
        <v>127.96</v>
      </c>
      <c r="C28" s="1">
        <f>IFERROR(__xludf.DUMMYFUNCTION("""COMPUTED_VALUE"""),129.33)</f>
        <v>129.33</v>
      </c>
      <c r="D28" s="1">
        <f>IFERROR(__xludf.DUMMYFUNCTION("""COMPUTED_VALUE"""),127.91)</f>
        <v>127.91</v>
      </c>
      <c r="E28" s="1">
        <f>IFERROR(__xludf.DUMMYFUNCTION("""COMPUTED_VALUE"""),128.24)</f>
        <v>128.24</v>
      </c>
      <c r="F28" s="1">
        <f>IFERROR(__xludf.DUMMYFUNCTION("""COMPUTED_VALUE"""),1187283.0)</f>
        <v>1187283</v>
      </c>
    </row>
    <row r="29">
      <c r="A29" s="2">
        <f>IFERROR(__xludf.DUMMYFUNCTION("""COMPUTED_VALUE"""),44392.66666666667)</f>
        <v>44392.66667</v>
      </c>
      <c r="B29" s="1">
        <f>IFERROR(__xludf.DUMMYFUNCTION("""COMPUTED_VALUE"""),128.65)</f>
        <v>128.65</v>
      </c>
      <c r="C29" s="1">
        <f>IFERROR(__xludf.DUMMYFUNCTION("""COMPUTED_VALUE"""),128.7)</f>
        <v>128.7</v>
      </c>
      <c r="D29" s="1">
        <f>IFERROR(__xludf.DUMMYFUNCTION("""COMPUTED_VALUE"""),126.53)</f>
        <v>126.53</v>
      </c>
      <c r="E29" s="1">
        <f>IFERROR(__xludf.DUMMYFUNCTION("""COMPUTED_VALUE"""),127.01)</f>
        <v>127.01</v>
      </c>
      <c r="F29" s="1">
        <f>IFERROR(__xludf.DUMMYFUNCTION("""COMPUTED_VALUE"""),1210940.0)</f>
        <v>1210940</v>
      </c>
    </row>
    <row r="30">
      <c r="A30" s="2">
        <f>IFERROR(__xludf.DUMMYFUNCTION("""COMPUTED_VALUE"""),44393.66666666667)</f>
        <v>44393.66667</v>
      </c>
      <c r="B30" s="1">
        <f>IFERROR(__xludf.DUMMYFUNCTION("""COMPUTED_VALUE"""),127.66)</f>
        <v>127.66</v>
      </c>
      <c r="C30" s="1">
        <f>IFERROR(__xludf.DUMMYFUNCTION("""COMPUTED_VALUE"""),127.81)</f>
        <v>127.81</v>
      </c>
      <c r="D30" s="1">
        <f>IFERROR(__xludf.DUMMYFUNCTION("""COMPUTED_VALUE"""),126.15)</f>
        <v>126.15</v>
      </c>
      <c r="E30" s="1">
        <f>IFERROR(__xludf.DUMMYFUNCTION("""COMPUTED_VALUE"""),126.97)</f>
        <v>126.97</v>
      </c>
      <c r="F30" s="1">
        <f>IFERROR(__xludf.DUMMYFUNCTION("""COMPUTED_VALUE"""),1021227.0)</f>
        <v>1021227</v>
      </c>
    </row>
    <row r="31">
      <c r="A31" s="2">
        <f>IFERROR(__xludf.DUMMYFUNCTION("""COMPUTED_VALUE"""),44396.66666666667)</f>
        <v>44396.66667</v>
      </c>
      <c r="B31" s="1">
        <f>IFERROR(__xludf.DUMMYFUNCTION("""COMPUTED_VALUE"""),126.09)</f>
        <v>126.09</v>
      </c>
      <c r="C31" s="1">
        <f>IFERROR(__xludf.DUMMYFUNCTION("""COMPUTED_VALUE"""),126.21)</f>
        <v>126.21</v>
      </c>
      <c r="D31" s="1">
        <f>IFERROR(__xludf.DUMMYFUNCTION("""COMPUTED_VALUE"""),123.51)</f>
        <v>123.51</v>
      </c>
      <c r="E31" s="1">
        <f>IFERROR(__xludf.DUMMYFUNCTION("""COMPUTED_VALUE"""),124.58)</f>
        <v>124.58</v>
      </c>
      <c r="F31" s="1">
        <f>IFERROR(__xludf.DUMMYFUNCTION("""COMPUTED_VALUE"""),1398379.0)</f>
        <v>1398379</v>
      </c>
    </row>
    <row r="32">
      <c r="A32" s="2">
        <f>IFERROR(__xludf.DUMMYFUNCTION("""COMPUTED_VALUE"""),44397.66666666667)</f>
        <v>44397.66667</v>
      </c>
      <c r="B32" s="1">
        <f>IFERROR(__xludf.DUMMYFUNCTION("""COMPUTED_VALUE"""),125.53)</f>
        <v>125.53</v>
      </c>
      <c r="C32" s="1">
        <f>IFERROR(__xludf.DUMMYFUNCTION("""COMPUTED_VALUE"""),127.04)</f>
        <v>127.04</v>
      </c>
      <c r="D32" s="1">
        <f>IFERROR(__xludf.DUMMYFUNCTION("""COMPUTED_VALUE"""),124.35)</f>
        <v>124.35</v>
      </c>
      <c r="E32" s="1">
        <f>IFERROR(__xludf.DUMMYFUNCTION("""COMPUTED_VALUE"""),126.21)</f>
        <v>126.21</v>
      </c>
      <c r="F32" s="1">
        <f>IFERROR(__xludf.DUMMYFUNCTION("""COMPUTED_VALUE"""),1315822.0)</f>
        <v>1315822</v>
      </c>
    </row>
    <row r="33">
      <c r="A33" s="2">
        <f>IFERROR(__xludf.DUMMYFUNCTION("""COMPUTED_VALUE"""),44398.66666666667)</f>
        <v>44398.66667</v>
      </c>
      <c r="B33" s="1">
        <f>IFERROR(__xludf.DUMMYFUNCTION("""COMPUTED_VALUE"""),126.13)</f>
        <v>126.13</v>
      </c>
      <c r="C33" s="1">
        <f>IFERROR(__xludf.DUMMYFUNCTION("""COMPUTED_VALUE"""),127.6)</f>
        <v>127.6</v>
      </c>
      <c r="D33" s="1">
        <f>IFERROR(__xludf.DUMMYFUNCTION("""COMPUTED_VALUE"""),126.02)</f>
        <v>126.02</v>
      </c>
      <c r="E33" s="1">
        <f>IFERROR(__xludf.DUMMYFUNCTION("""COMPUTED_VALUE"""),127.55)</f>
        <v>127.55</v>
      </c>
      <c r="F33" s="1">
        <f>IFERROR(__xludf.DUMMYFUNCTION("""COMPUTED_VALUE"""),1037309.0)</f>
        <v>1037309</v>
      </c>
    </row>
    <row r="34">
      <c r="A34" s="2">
        <f>IFERROR(__xludf.DUMMYFUNCTION("""COMPUTED_VALUE"""),44399.66666666667)</f>
        <v>44399.66667</v>
      </c>
      <c r="B34" s="1">
        <f>IFERROR(__xludf.DUMMYFUNCTION("""COMPUTED_VALUE"""),127.84)</f>
        <v>127.84</v>
      </c>
      <c r="C34" s="1">
        <f>IFERROR(__xludf.DUMMYFUNCTION("""COMPUTED_VALUE"""),128.48)</f>
        <v>128.48</v>
      </c>
      <c r="D34" s="1">
        <f>IFERROR(__xludf.DUMMYFUNCTION("""COMPUTED_VALUE"""),127.5)</f>
        <v>127.5</v>
      </c>
      <c r="E34" s="1">
        <f>IFERROR(__xludf.DUMMYFUNCTION("""COMPUTED_VALUE"""),128.42)</f>
        <v>128.42</v>
      </c>
      <c r="F34" s="1">
        <f>IFERROR(__xludf.DUMMYFUNCTION("""COMPUTED_VALUE"""),715094.0)</f>
        <v>715094</v>
      </c>
    </row>
    <row r="35">
      <c r="A35" s="2">
        <f>IFERROR(__xludf.DUMMYFUNCTION("""COMPUTED_VALUE"""),44400.66666666667)</f>
        <v>44400.66667</v>
      </c>
      <c r="B35" s="1">
        <f>IFERROR(__xludf.DUMMYFUNCTION("""COMPUTED_VALUE"""),130.43)</f>
        <v>130.43</v>
      </c>
      <c r="C35" s="1">
        <f>IFERROR(__xludf.DUMMYFUNCTION("""COMPUTED_VALUE"""),133.4)</f>
        <v>133.4</v>
      </c>
      <c r="D35" s="1">
        <f>IFERROR(__xludf.DUMMYFUNCTION("""COMPUTED_VALUE"""),129.8)</f>
        <v>129.8</v>
      </c>
      <c r="E35" s="1">
        <f>IFERROR(__xludf.DUMMYFUNCTION("""COMPUTED_VALUE"""),133.01)</f>
        <v>133.01</v>
      </c>
      <c r="F35" s="1">
        <f>IFERROR(__xludf.DUMMYFUNCTION("""COMPUTED_VALUE"""),2075321.0)</f>
        <v>2075321</v>
      </c>
    </row>
    <row r="36">
      <c r="A36" s="2">
        <f>IFERROR(__xludf.DUMMYFUNCTION("""COMPUTED_VALUE"""),44403.66666666667)</f>
        <v>44403.66667</v>
      </c>
      <c r="B36" s="1">
        <f>IFERROR(__xludf.DUMMYFUNCTION("""COMPUTED_VALUE"""),133.33)</f>
        <v>133.33</v>
      </c>
      <c r="C36" s="1">
        <f>IFERROR(__xludf.DUMMYFUNCTION("""COMPUTED_VALUE"""),134.24)</f>
        <v>134.24</v>
      </c>
      <c r="D36" s="1">
        <f>IFERROR(__xludf.DUMMYFUNCTION("""COMPUTED_VALUE"""),132.3)</f>
        <v>132.3</v>
      </c>
      <c r="E36" s="1">
        <f>IFERROR(__xludf.DUMMYFUNCTION("""COMPUTED_VALUE"""),134.04)</f>
        <v>134.04</v>
      </c>
      <c r="F36" s="1">
        <f>IFERROR(__xludf.DUMMYFUNCTION("""COMPUTED_VALUE"""),1528574.0)</f>
        <v>1528574</v>
      </c>
    </row>
    <row r="37">
      <c r="A37" s="2">
        <f>IFERROR(__xludf.DUMMYFUNCTION("""COMPUTED_VALUE"""),44404.66666666667)</f>
        <v>44404.66667</v>
      </c>
      <c r="B37" s="1">
        <f>IFERROR(__xludf.DUMMYFUNCTION("""COMPUTED_VALUE"""),134.25)</f>
        <v>134.25</v>
      </c>
      <c r="C37" s="1">
        <f>IFERROR(__xludf.DUMMYFUNCTION("""COMPUTED_VALUE"""),134.4)</f>
        <v>134.4</v>
      </c>
      <c r="D37" s="1">
        <f>IFERROR(__xludf.DUMMYFUNCTION("""COMPUTED_VALUE"""),130.1)</f>
        <v>130.1</v>
      </c>
      <c r="E37" s="1">
        <f>IFERROR(__xludf.DUMMYFUNCTION("""COMPUTED_VALUE"""),131.9)</f>
        <v>131.9</v>
      </c>
      <c r="F37" s="1">
        <f>IFERROR(__xludf.DUMMYFUNCTION("""COMPUTED_VALUE"""),2735474.0)</f>
        <v>2735474</v>
      </c>
    </row>
    <row r="38">
      <c r="A38" s="2">
        <f>IFERROR(__xludf.DUMMYFUNCTION("""COMPUTED_VALUE"""),44405.66666666667)</f>
        <v>44405.66667</v>
      </c>
      <c r="B38" s="1">
        <f>IFERROR(__xludf.DUMMYFUNCTION("""COMPUTED_VALUE"""),136.31)</f>
        <v>136.31</v>
      </c>
      <c r="C38" s="1">
        <f>IFERROR(__xludf.DUMMYFUNCTION("""COMPUTED_VALUE"""),138.3)</f>
        <v>138.3</v>
      </c>
      <c r="D38" s="1">
        <f>IFERROR(__xludf.DUMMYFUNCTION("""COMPUTED_VALUE"""),135.28)</f>
        <v>135.28</v>
      </c>
      <c r="E38" s="1">
        <f>IFERROR(__xludf.DUMMYFUNCTION("""COMPUTED_VALUE"""),136.09)</f>
        <v>136.09</v>
      </c>
      <c r="F38" s="1">
        <f>IFERROR(__xludf.DUMMYFUNCTION("""COMPUTED_VALUE"""),4756530.0)</f>
        <v>4756530</v>
      </c>
    </row>
    <row r="39">
      <c r="A39" s="2">
        <f>IFERROR(__xludf.DUMMYFUNCTION("""COMPUTED_VALUE"""),44406.66666666667)</f>
        <v>44406.66667</v>
      </c>
      <c r="B39" s="1">
        <f>IFERROR(__xludf.DUMMYFUNCTION("""COMPUTED_VALUE"""),136.15)</f>
        <v>136.15</v>
      </c>
      <c r="C39" s="1">
        <f>IFERROR(__xludf.DUMMYFUNCTION("""COMPUTED_VALUE"""),136.66)</f>
        <v>136.66</v>
      </c>
      <c r="D39" s="1">
        <f>IFERROR(__xludf.DUMMYFUNCTION("""COMPUTED_VALUE"""),135.54)</f>
        <v>135.54</v>
      </c>
      <c r="E39" s="1">
        <f>IFERROR(__xludf.DUMMYFUNCTION("""COMPUTED_VALUE"""),135.78)</f>
        <v>135.78</v>
      </c>
      <c r="F39" s="1">
        <f>IFERROR(__xludf.DUMMYFUNCTION("""COMPUTED_VALUE"""),1585786.0)</f>
        <v>1585786</v>
      </c>
    </row>
    <row r="40">
      <c r="A40" s="2">
        <f>IFERROR(__xludf.DUMMYFUNCTION("""COMPUTED_VALUE"""),44407.66666666667)</f>
        <v>44407.66667</v>
      </c>
      <c r="B40" s="1">
        <f>IFERROR(__xludf.DUMMYFUNCTION("""COMPUTED_VALUE"""),135.04)</f>
        <v>135.04</v>
      </c>
      <c r="C40" s="1">
        <f>IFERROR(__xludf.DUMMYFUNCTION("""COMPUTED_VALUE"""),135.3)</f>
        <v>135.3</v>
      </c>
      <c r="D40" s="1">
        <f>IFERROR(__xludf.DUMMYFUNCTION("""COMPUTED_VALUE"""),134.26)</f>
        <v>134.26</v>
      </c>
      <c r="E40" s="1">
        <f>IFERROR(__xludf.DUMMYFUNCTION("""COMPUTED_VALUE"""),134.73)</f>
        <v>134.73</v>
      </c>
      <c r="F40" s="1">
        <f>IFERROR(__xludf.DUMMYFUNCTION("""COMPUTED_VALUE"""),1278789.0)</f>
        <v>1278789</v>
      </c>
    </row>
    <row r="41">
      <c r="A41" s="2">
        <f>IFERROR(__xludf.DUMMYFUNCTION("""COMPUTED_VALUE"""),44410.66666666667)</f>
        <v>44410.66667</v>
      </c>
      <c r="B41" s="1">
        <f>IFERROR(__xludf.DUMMYFUNCTION("""COMPUTED_VALUE"""),135.12)</f>
        <v>135.12</v>
      </c>
      <c r="C41" s="1">
        <f>IFERROR(__xludf.DUMMYFUNCTION("""COMPUTED_VALUE"""),135.34)</f>
        <v>135.34</v>
      </c>
      <c r="D41" s="1">
        <f>IFERROR(__xludf.DUMMYFUNCTION("""COMPUTED_VALUE"""),133.79)</f>
        <v>133.79</v>
      </c>
      <c r="E41" s="1">
        <f>IFERROR(__xludf.DUMMYFUNCTION("""COMPUTED_VALUE"""),134.85)</f>
        <v>134.85</v>
      </c>
      <c r="F41" s="1">
        <f>IFERROR(__xludf.DUMMYFUNCTION("""COMPUTED_VALUE"""),1081710.0)</f>
        <v>1081710</v>
      </c>
    </row>
    <row r="42">
      <c r="A42" s="2">
        <f>IFERROR(__xludf.DUMMYFUNCTION("""COMPUTED_VALUE"""),44411.66666666667)</f>
        <v>44411.66667</v>
      </c>
      <c r="B42" s="1">
        <f>IFERROR(__xludf.DUMMYFUNCTION("""COMPUTED_VALUE"""),135.14)</f>
        <v>135.14</v>
      </c>
      <c r="C42" s="1">
        <f>IFERROR(__xludf.DUMMYFUNCTION("""COMPUTED_VALUE"""),135.73)</f>
        <v>135.73</v>
      </c>
      <c r="D42" s="1">
        <f>IFERROR(__xludf.DUMMYFUNCTION("""COMPUTED_VALUE"""),133.32)</f>
        <v>133.32</v>
      </c>
      <c r="E42" s="1">
        <f>IFERROR(__xludf.DUMMYFUNCTION("""COMPUTED_VALUE"""),135.63)</f>
        <v>135.63</v>
      </c>
      <c r="F42" s="1">
        <f>IFERROR(__xludf.DUMMYFUNCTION("""COMPUTED_VALUE"""),1038094.0)</f>
        <v>1038094</v>
      </c>
    </row>
    <row r="43">
      <c r="A43" s="2">
        <f>IFERROR(__xludf.DUMMYFUNCTION("""COMPUTED_VALUE"""),44412.66666666667)</f>
        <v>44412.66667</v>
      </c>
      <c r="B43" s="1">
        <f>IFERROR(__xludf.DUMMYFUNCTION("""COMPUTED_VALUE"""),135.35)</f>
        <v>135.35</v>
      </c>
      <c r="C43" s="1">
        <f>IFERROR(__xludf.DUMMYFUNCTION("""COMPUTED_VALUE"""),135.65)</f>
        <v>135.65</v>
      </c>
      <c r="D43" s="1">
        <f>IFERROR(__xludf.DUMMYFUNCTION("""COMPUTED_VALUE"""),134.49)</f>
        <v>134.49</v>
      </c>
      <c r="E43" s="1">
        <f>IFERROR(__xludf.DUMMYFUNCTION("""COMPUTED_VALUE"""),135.13)</f>
        <v>135.13</v>
      </c>
      <c r="F43" s="1">
        <f>IFERROR(__xludf.DUMMYFUNCTION("""COMPUTED_VALUE"""),983801.0)</f>
        <v>983801</v>
      </c>
    </row>
    <row r="44">
      <c r="A44" s="2">
        <f>IFERROR(__xludf.DUMMYFUNCTION("""COMPUTED_VALUE"""),44413.66666666667)</f>
        <v>44413.66667</v>
      </c>
      <c r="B44" s="1">
        <f>IFERROR(__xludf.DUMMYFUNCTION("""COMPUTED_VALUE"""),135.68)</f>
        <v>135.68</v>
      </c>
      <c r="C44" s="1">
        <f>IFERROR(__xludf.DUMMYFUNCTION("""COMPUTED_VALUE"""),136.35)</f>
        <v>136.35</v>
      </c>
      <c r="D44" s="1">
        <f>IFERROR(__xludf.DUMMYFUNCTION("""COMPUTED_VALUE"""),134.85)</f>
        <v>134.85</v>
      </c>
      <c r="E44" s="1">
        <f>IFERROR(__xludf.DUMMYFUNCTION("""COMPUTED_VALUE"""),136.25)</f>
        <v>136.25</v>
      </c>
      <c r="F44" s="1">
        <f>IFERROR(__xludf.DUMMYFUNCTION("""COMPUTED_VALUE"""),893450.0)</f>
        <v>893450</v>
      </c>
    </row>
    <row r="45">
      <c r="A45" s="2">
        <f>IFERROR(__xludf.DUMMYFUNCTION("""COMPUTED_VALUE"""),44414.66666666667)</f>
        <v>44414.66667</v>
      </c>
      <c r="B45" s="1">
        <f>IFERROR(__xludf.DUMMYFUNCTION("""COMPUTED_VALUE"""),136.04)</f>
        <v>136.04</v>
      </c>
      <c r="C45" s="1">
        <f>IFERROR(__xludf.DUMMYFUNCTION("""COMPUTED_VALUE"""),136.47)</f>
        <v>136.47</v>
      </c>
      <c r="D45" s="1">
        <f>IFERROR(__xludf.DUMMYFUNCTION("""COMPUTED_VALUE"""),135.21)</f>
        <v>135.21</v>
      </c>
      <c r="E45" s="1">
        <f>IFERROR(__xludf.DUMMYFUNCTION("""COMPUTED_VALUE"""),135.74)</f>
        <v>135.74</v>
      </c>
      <c r="F45" s="1">
        <f>IFERROR(__xludf.DUMMYFUNCTION("""COMPUTED_VALUE"""),1024406.0)</f>
        <v>1024406</v>
      </c>
    </row>
    <row r="46">
      <c r="A46" s="2">
        <f>IFERROR(__xludf.DUMMYFUNCTION("""COMPUTED_VALUE"""),44417.66666666667)</f>
        <v>44417.66667</v>
      </c>
      <c r="B46" s="1">
        <f>IFERROR(__xludf.DUMMYFUNCTION("""COMPUTED_VALUE"""),135.94)</f>
        <v>135.94</v>
      </c>
      <c r="C46" s="1">
        <f>IFERROR(__xludf.DUMMYFUNCTION("""COMPUTED_VALUE"""),137.18)</f>
        <v>137.18</v>
      </c>
      <c r="D46" s="1">
        <f>IFERROR(__xludf.DUMMYFUNCTION("""COMPUTED_VALUE"""),135.34)</f>
        <v>135.34</v>
      </c>
      <c r="E46" s="1">
        <f>IFERROR(__xludf.DUMMYFUNCTION("""COMPUTED_VALUE"""),136.91)</f>
        <v>136.91</v>
      </c>
      <c r="F46" s="1">
        <f>IFERROR(__xludf.DUMMYFUNCTION("""COMPUTED_VALUE"""),888300.0)</f>
        <v>888300</v>
      </c>
    </row>
    <row r="47">
      <c r="A47" s="2">
        <f>IFERROR(__xludf.DUMMYFUNCTION("""COMPUTED_VALUE"""),44418.66666666667)</f>
        <v>44418.66667</v>
      </c>
      <c r="B47" s="1">
        <f>IFERROR(__xludf.DUMMYFUNCTION("""COMPUTED_VALUE"""),137.34)</f>
        <v>137.34</v>
      </c>
      <c r="C47" s="1">
        <f>IFERROR(__xludf.DUMMYFUNCTION("""COMPUTED_VALUE"""),137.77)</f>
        <v>137.77</v>
      </c>
      <c r="D47" s="1">
        <f>IFERROR(__xludf.DUMMYFUNCTION("""COMPUTED_VALUE"""),136.36)</f>
        <v>136.36</v>
      </c>
      <c r="E47" s="1">
        <f>IFERROR(__xludf.DUMMYFUNCTION("""COMPUTED_VALUE"""),136.81)</f>
        <v>136.81</v>
      </c>
      <c r="F47" s="1">
        <f>IFERROR(__xludf.DUMMYFUNCTION("""COMPUTED_VALUE"""),970704.0)</f>
        <v>970704</v>
      </c>
    </row>
    <row r="48">
      <c r="A48" s="2">
        <f>IFERROR(__xludf.DUMMYFUNCTION("""COMPUTED_VALUE"""),44419.66666666667)</f>
        <v>44419.66667</v>
      </c>
      <c r="B48" s="1">
        <f>IFERROR(__xludf.DUMMYFUNCTION("""COMPUTED_VALUE"""),137.18)</f>
        <v>137.18</v>
      </c>
      <c r="C48" s="1">
        <f>IFERROR(__xludf.DUMMYFUNCTION("""COMPUTED_VALUE"""),137.68)</f>
        <v>137.68</v>
      </c>
      <c r="D48" s="1">
        <f>IFERROR(__xludf.DUMMYFUNCTION("""COMPUTED_VALUE"""),136.27)</f>
        <v>136.27</v>
      </c>
      <c r="E48" s="1">
        <f>IFERROR(__xludf.DUMMYFUNCTION("""COMPUTED_VALUE"""),136.28)</f>
        <v>136.28</v>
      </c>
      <c r="F48" s="1">
        <f>IFERROR(__xludf.DUMMYFUNCTION("""COMPUTED_VALUE"""),767600.0)</f>
        <v>767600</v>
      </c>
    </row>
    <row r="49">
      <c r="A49" s="2">
        <f>IFERROR(__xludf.DUMMYFUNCTION("""COMPUTED_VALUE"""),44420.66666666667)</f>
        <v>44420.66667</v>
      </c>
      <c r="B49" s="1">
        <f>IFERROR(__xludf.DUMMYFUNCTION("""COMPUTED_VALUE"""),135.98)</f>
        <v>135.98</v>
      </c>
      <c r="C49" s="1">
        <f>IFERROR(__xludf.DUMMYFUNCTION("""COMPUTED_VALUE"""),137.3)</f>
        <v>137.3</v>
      </c>
      <c r="D49" s="1">
        <f>IFERROR(__xludf.DUMMYFUNCTION("""COMPUTED_VALUE"""),135.43)</f>
        <v>135.43</v>
      </c>
      <c r="E49" s="1">
        <f>IFERROR(__xludf.DUMMYFUNCTION("""COMPUTED_VALUE"""),137.19)</f>
        <v>137.19</v>
      </c>
      <c r="F49" s="1">
        <f>IFERROR(__xludf.DUMMYFUNCTION("""COMPUTED_VALUE"""),825943.0)</f>
        <v>825943</v>
      </c>
    </row>
    <row r="50">
      <c r="A50" s="2">
        <f>IFERROR(__xludf.DUMMYFUNCTION("""COMPUTED_VALUE"""),44421.66666666667)</f>
        <v>44421.66667</v>
      </c>
      <c r="B50" s="1">
        <f>IFERROR(__xludf.DUMMYFUNCTION("""COMPUTED_VALUE"""),137.25)</f>
        <v>137.25</v>
      </c>
      <c r="C50" s="1">
        <f>IFERROR(__xludf.DUMMYFUNCTION("""COMPUTED_VALUE"""),137.86)</f>
        <v>137.86</v>
      </c>
      <c r="D50" s="1">
        <f>IFERROR(__xludf.DUMMYFUNCTION("""COMPUTED_VALUE"""),137.03)</f>
        <v>137.03</v>
      </c>
      <c r="E50" s="1">
        <f>IFERROR(__xludf.DUMMYFUNCTION("""COMPUTED_VALUE"""),137.73)</f>
        <v>137.73</v>
      </c>
      <c r="F50" s="1">
        <f>IFERROR(__xludf.DUMMYFUNCTION("""COMPUTED_VALUE"""),797372.0)</f>
        <v>797372</v>
      </c>
    </row>
    <row r="51">
      <c r="A51" s="2">
        <f>IFERROR(__xludf.DUMMYFUNCTION("""COMPUTED_VALUE"""),44424.66666666667)</f>
        <v>44424.66667</v>
      </c>
      <c r="B51" s="1">
        <f>IFERROR(__xludf.DUMMYFUNCTION("""COMPUTED_VALUE"""),137.52)</f>
        <v>137.52</v>
      </c>
      <c r="C51" s="1">
        <f>IFERROR(__xludf.DUMMYFUNCTION("""COMPUTED_VALUE"""),138.36)</f>
        <v>138.36</v>
      </c>
      <c r="D51" s="1">
        <f>IFERROR(__xludf.DUMMYFUNCTION("""COMPUTED_VALUE"""),135.3)</f>
        <v>135.3</v>
      </c>
      <c r="E51" s="1">
        <f>IFERROR(__xludf.DUMMYFUNCTION("""COMPUTED_VALUE"""),138.31)</f>
        <v>138.31</v>
      </c>
      <c r="F51" s="1">
        <f>IFERROR(__xludf.DUMMYFUNCTION("""COMPUTED_VALUE"""),1119918.0)</f>
        <v>1119918</v>
      </c>
    </row>
    <row r="52">
      <c r="A52" s="2">
        <f>IFERROR(__xludf.DUMMYFUNCTION("""COMPUTED_VALUE"""),44425.66666666667)</f>
        <v>44425.66667</v>
      </c>
      <c r="B52" s="1">
        <f>IFERROR(__xludf.DUMMYFUNCTION("""COMPUTED_VALUE"""),137.75)</f>
        <v>137.75</v>
      </c>
      <c r="C52" s="1">
        <f>IFERROR(__xludf.DUMMYFUNCTION("""COMPUTED_VALUE"""),138.27)</f>
        <v>138.27</v>
      </c>
      <c r="D52" s="1">
        <f>IFERROR(__xludf.DUMMYFUNCTION("""COMPUTED_VALUE"""),136.08)</f>
        <v>136.08</v>
      </c>
      <c r="E52" s="1">
        <f>IFERROR(__xludf.DUMMYFUNCTION("""COMPUTED_VALUE"""),136.66)</f>
        <v>136.66</v>
      </c>
      <c r="F52" s="1">
        <f>IFERROR(__xludf.DUMMYFUNCTION("""COMPUTED_VALUE"""),1085760.0)</f>
        <v>1085760</v>
      </c>
    </row>
    <row r="53">
      <c r="A53" s="2">
        <f>IFERROR(__xludf.DUMMYFUNCTION("""COMPUTED_VALUE"""),44426.66666666667)</f>
        <v>44426.66667</v>
      </c>
      <c r="B53" s="1">
        <f>IFERROR(__xludf.DUMMYFUNCTION("""COMPUTED_VALUE"""),136.5)</f>
        <v>136.5</v>
      </c>
      <c r="C53" s="1">
        <f>IFERROR(__xludf.DUMMYFUNCTION("""COMPUTED_VALUE"""),137.1)</f>
        <v>137.1</v>
      </c>
      <c r="D53" s="1">
        <f>IFERROR(__xludf.DUMMYFUNCTION("""COMPUTED_VALUE"""),135.32)</f>
        <v>135.32</v>
      </c>
      <c r="E53" s="1">
        <f>IFERROR(__xludf.DUMMYFUNCTION("""COMPUTED_VALUE"""),135.45)</f>
        <v>135.45</v>
      </c>
      <c r="F53" s="1">
        <f>IFERROR(__xludf.DUMMYFUNCTION("""COMPUTED_VALUE"""),962947.0)</f>
        <v>962947</v>
      </c>
    </row>
    <row r="54">
      <c r="A54" s="2">
        <f>IFERROR(__xludf.DUMMYFUNCTION("""COMPUTED_VALUE"""),44427.66666666667)</f>
        <v>44427.66667</v>
      </c>
      <c r="B54" s="1">
        <f>IFERROR(__xludf.DUMMYFUNCTION("""COMPUTED_VALUE"""),134.44)</f>
        <v>134.44</v>
      </c>
      <c r="C54" s="1">
        <f>IFERROR(__xludf.DUMMYFUNCTION("""COMPUTED_VALUE"""),136.35)</f>
        <v>136.35</v>
      </c>
      <c r="D54" s="1">
        <f>IFERROR(__xludf.DUMMYFUNCTION("""COMPUTED_VALUE"""),134.25)</f>
        <v>134.25</v>
      </c>
      <c r="E54" s="1">
        <f>IFERROR(__xludf.DUMMYFUNCTION("""COMPUTED_VALUE"""),135.68)</f>
        <v>135.68</v>
      </c>
      <c r="F54" s="1">
        <f>IFERROR(__xludf.DUMMYFUNCTION("""COMPUTED_VALUE"""),1089127.0)</f>
        <v>1089127</v>
      </c>
    </row>
    <row r="55">
      <c r="A55" s="2">
        <f>IFERROR(__xludf.DUMMYFUNCTION("""COMPUTED_VALUE"""),44428.66666666667)</f>
        <v>44428.66667</v>
      </c>
      <c r="B55" s="1">
        <f>IFERROR(__xludf.DUMMYFUNCTION("""COMPUTED_VALUE"""),136.0)</f>
        <v>136</v>
      </c>
      <c r="C55" s="1">
        <f>IFERROR(__xludf.DUMMYFUNCTION("""COMPUTED_VALUE"""),137.55)</f>
        <v>137.55</v>
      </c>
      <c r="D55" s="1">
        <f>IFERROR(__xludf.DUMMYFUNCTION("""COMPUTED_VALUE"""),135.25)</f>
        <v>135.25</v>
      </c>
      <c r="E55" s="1">
        <f>IFERROR(__xludf.DUMMYFUNCTION("""COMPUTED_VALUE"""),137.43)</f>
        <v>137.43</v>
      </c>
      <c r="F55" s="1">
        <f>IFERROR(__xludf.DUMMYFUNCTION("""COMPUTED_VALUE"""),1559658.0)</f>
        <v>1559658</v>
      </c>
    </row>
    <row r="56">
      <c r="A56" s="2">
        <f>IFERROR(__xludf.DUMMYFUNCTION("""COMPUTED_VALUE"""),44431.66666666667)</f>
        <v>44431.66667</v>
      </c>
      <c r="B56" s="1">
        <f>IFERROR(__xludf.DUMMYFUNCTION("""COMPUTED_VALUE"""),137.97)</f>
        <v>137.97</v>
      </c>
      <c r="C56" s="1">
        <f>IFERROR(__xludf.DUMMYFUNCTION("""COMPUTED_VALUE"""),140.87)</f>
        <v>140.87</v>
      </c>
      <c r="D56" s="1">
        <f>IFERROR(__xludf.DUMMYFUNCTION("""COMPUTED_VALUE"""),137.61)</f>
        <v>137.61</v>
      </c>
      <c r="E56" s="1">
        <f>IFERROR(__xludf.DUMMYFUNCTION("""COMPUTED_VALUE"""),140.04)</f>
        <v>140.04</v>
      </c>
      <c r="F56" s="1">
        <f>IFERROR(__xludf.DUMMYFUNCTION("""COMPUTED_VALUE"""),1422670.0)</f>
        <v>1422670</v>
      </c>
    </row>
    <row r="57">
      <c r="A57" s="2">
        <f>IFERROR(__xludf.DUMMYFUNCTION("""COMPUTED_VALUE"""),44432.66666666667)</f>
        <v>44432.66667</v>
      </c>
      <c r="B57" s="1">
        <f>IFERROR(__xludf.DUMMYFUNCTION("""COMPUTED_VALUE"""),140.61)</f>
        <v>140.61</v>
      </c>
      <c r="C57" s="1">
        <f>IFERROR(__xludf.DUMMYFUNCTION("""COMPUTED_VALUE"""),142.08)</f>
        <v>142.08</v>
      </c>
      <c r="D57" s="1">
        <f>IFERROR(__xludf.DUMMYFUNCTION("""COMPUTED_VALUE"""),140.34)</f>
        <v>140.34</v>
      </c>
      <c r="E57" s="1">
        <f>IFERROR(__xludf.DUMMYFUNCTION("""COMPUTED_VALUE"""),141.26)</f>
        <v>141.26</v>
      </c>
      <c r="F57" s="1">
        <f>IFERROR(__xludf.DUMMYFUNCTION("""COMPUTED_VALUE"""),963361.0)</f>
        <v>963361</v>
      </c>
    </row>
    <row r="58">
      <c r="A58" s="2">
        <f>IFERROR(__xludf.DUMMYFUNCTION("""COMPUTED_VALUE"""),44433.66666666667)</f>
        <v>44433.66667</v>
      </c>
      <c r="B58" s="1">
        <f>IFERROR(__xludf.DUMMYFUNCTION("""COMPUTED_VALUE"""),141.63)</f>
        <v>141.63</v>
      </c>
      <c r="C58" s="1">
        <f>IFERROR(__xludf.DUMMYFUNCTION("""COMPUTED_VALUE"""),142.19)</f>
        <v>142.19</v>
      </c>
      <c r="D58" s="1">
        <f>IFERROR(__xludf.DUMMYFUNCTION("""COMPUTED_VALUE"""),141.38)</f>
        <v>141.38</v>
      </c>
      <c r="E58" s="1">
        <f>IFERROR(__xludf.DUMMYFUNCTION("""COMPUTED_VALUE"""),142.08)</f>
        <v>142.08</v>
      </c>
      <c r="F58" s="1">
        <f>IFERROR(__xludf.DUMMYFUNCTION("""COMPUTED_VALUE"""),792574.0)</f>
        <v>792574</v>
      </c>
    </row>
    <row r="59">
      <c r="A59" s="2">
        <f>IFERROR(__xludf.DUMMYFUNCTION("""COMPUTED_VALUE"""),44434.66666666667)</f>
        <v>44434.66667</v>
      </c>
      <c r="B59" s="1">
        <f>IFERROR(__xludf.DUMMYFUNCTION("""COMPUTED_VALUE"""),141.75)</f>
        <v>141.75</v>
      </c>
      <c r="C59" s="1">
        <f>IFERROR(__xludf.DUMMYFUNCTION("""COMPUTED_VALUE"""),142.42)</f>
        <v>142.42</v>
      </c>
      <c r="D59" s="1">
        <f>IFERROR(__xludf.DUMMYFUNCTION("""COMPUTED_VALUE"""),141.36)</f>
        <v>141.36</v>
      </c>
      <c r="E59" s="1">
        <f>IFERROR(__xludf.DUMMYFUNCTION("""COMPUTED_VALUE"""),141.44)</f>
        <v>141.44</v>
      </c>
      <c r="F59" s="1">
        <f>IFERROR(__xludf.DUMMYFUNCTION("""COMPUTED_VALUE"""),1030466.0)</f>
        <v>1030466</v>
      </c>
    </row>
    <row r="60">
      <c r="A60" s="2">
        <f>IFERROR(__xludf.DUMMYFUNCTION("""COMPUTED_VALUE"""),44435.66666666667)</f>
        <v>44435.66667</v>
      </c>
      <c r="B60" s="1">
        <f>IFERROR(__xludf.DUMMYFUNCTION("""COMPUTED_VALUE"""),141.65)</f>
        <v>141.65</v>
      </c>
      <c r="C60" s="1">
        <f>IFERROR(__xludf.DUMMYFUNCTION("""COMPUTED_VALUE"""),144.51)</f>
        <v>144.51</v>
      </c>
      <c r="D60" s="1">
        <f>IFERROR(__xludf.DUMMYFUNCTION("""COMPUTED_VALUE"""),141.5)</f>
        <v>141.5</v>
      </c>
      <c r="E60" s="1">
        <f>IFERROR(__xludf.DUMMYFUNCTION("""COMPUTED_VALUE"""),144.0)</f>
        <v>144</v>
      </c>
      <c r="F60" s="1">
        <f>IFERROR(__xludf.DUMMYFUNCTION("""COMPUTED_VALUE"""),1439010.0)</f>
        <v>1439010</v>
      </c>
    </row>
    <row r="61">
      <c r="A61" s="2">
        <f>IFERROR(__xludf.DUMMYFUNCTION("""COMPUTED_VALUE"""),44438.66666666667)</f>
        <v>44438.66667</v>
      </c>
      <c r="B61" s="1">
        <f>IFERROR(__xludf.DUMMYFUNCTION("""COMPUTED_VALUE"""),144.4)</f>
        <v>144.4</v>
      </c>
      <c r="C61" s="1">
        <f>IFERROR(__xludf.DUMMYFUNCTION("""COMPUTED_VALUE"""),145.97)</f>
        <v>145.97</v>
      </c>
      <c r="D61" s="1">
        <f>IFERROR(__xludf.DUMMYFUNCTION("""COMPUTED_VALUE"""),144.16)</f>
        <v>144.16</v>
      </c>
      <c r="E61" s="1">
        <f>IFERROR(__xludf.DUMMYFUNCTION("""COMPUTED_VALUE"""),144.59)</f>
        <v>144.59</v>
      </c>
      <c r="F61" s="1">
        <f>IFERROR(__xludf.DUMMYFUNCTION("""COMPUTED_VALUE"""),1221710.0)</f>
        <v>1221710</v>
      </c>
    </row>
    <row r="62">
      <c r="A62" s="2">
        <f>IFERROR(__xludf.DUMMYFUNCTION("""COMPUTED_VALUE"""),44439.66666666667)</f>
        <v>44439.66667</v>
      </c>
      <c r="B62" s="1">
        <f>IFERROR(__xludf.DUMMYFUNCTION("""COMPUTED_VALUE"""),145.15)</f>
        <v>145.15</v>
      </c>
      <c r="C62" s="1">
        <f>IFERROR(__xludf.DUMMYFUNCTION("""COMPUTED_VALUE"""),145.17)</f>
        <v>145.17</v>
      </c>
      <c r="D62" s="1">
        <f>IFERROR(__xludf.DUMMYFUNCTION("""COMPUTED_VALUE"""),144.28)</f>
        <v>144.28</v>
      </c>
      <c r="E62" s="1">
        <f>IFERROR(__xludf.DUMMYFUNCTION("""COMPUTED_VALUE"""),144.7)</f>
        <v>144.7</v>
      </c>
      <c r="F62" s="1">
        <f>IFERROR(__xludf.DUMMYFUNCTION("""COMPUTED_VALUE"""),1122438.0)</f>
        <v>1122438</v>
      </c>
    </row>
    <row r="63">
      <c r="A63" s="2">
        <f>IFERROR(__xludf.DUMMYFUNCTION("""COMPUTED_VALUE"""),44440.66666666667)</f>
        <v>44440.66667</v>
      </c>
      <c r="B63" s="1">
        <f>IFERROR(__xludf.DUMMYFUNCTION("""COMPUTED_VALUE"""),145.0)</f>
        <v>145</v>
      </c>
      <c r="C63" s="1">
        <f>IFERROR(__xludf.DUMMYFUNCTION("""COMPUTED_VALUE"""),146.25)</f>
        <v>146.25</v>
      </c>
      <c r="D63" s="1">
        <f>IFERROR(__xludf.DUMMYFUNCTION("""COMPUTED_VALUE"""),144.88)</f>
        <v>144.88</v>
      </c>
      <c r="E63" s="1">
        <f>IFERROR(__xludf.DUMMYFUNCTION("""COMPUTED_VALUE"""),145.22)</f>
        <v>145.22</v>
      </c>
      <c r="F63" s="1">
        <f>IFERROR(__xludf.DUMMYFUNCTION("""COMPUTED_VALUE"""),1096805.0)</f>
        <v>1096805</v>
      </c>
    </row>
    <row r="64">
      <c r="A64" s="2">
        <f>IFERROR(__xludf.DUMMYFUNCTION("""COMPUTED_VALUE"""),44441.66666666667)</f>
        <v>44441.66667</v>
      </c>
      <c r="B64" s="1">
        <f>IFERROR(__xludf.DUMMYFUNCTION("""COMPUTED_VALUE"""),145.22)</f>
        <v>145.22</v>
      </c>
      <c r="C64" s="1">
        <f>IFERROR(__xludf.DUMMYFUNCTION("""COMPUTED_VALUE"""),145.52)</f>
        <v>145.52</v>
      </c>
      <c r="D64" s="1">
        <f>IFERROR(__xludf.DUMMYFUNCTION("""COMPUTED_VALUE"""),143.18)</f>
        <v>143.18</v>
      </c>
      <c r="E64" s="1">
        <f>IFERROR(__xludf.DUMMYFUNCTION("""COMPUTED_VALUE"""),143.29)</f>
        <v>143.29</v>
      </c>
      <c r="F64" s="1">
        <f>IFERROR(__xludf.DUMMYFUNCTION("""COMPUTED_VALUE"""),1617907.0)</f>
        <v>1617907</v>
      </c>
    </row>
    <row r="65">
      <c r="A65" s="2">
        <f>IFERROR(__xludf.DUMMYFUNCTION("""COMPUTED_VALUE"""),44442.66666666667)</f>
        <v>44442.66667</v>
      </c>
      <c r="B65" s="1">
        <f>IFERROR(__xludf.DUMMYFUNCTION("""COMPUTED_VALUE"""),143.08)</f>
        <v>143.08</v>
      </c>
      <c r="C65" s="1">
        <f>IFERROR(__xludf.DUMMYFUNCTION("""COMPUTED_VALUE"""),144.16)</f>
        <v>144.16</v>
      </c>
      <c r="D65" s="1">
        <f>IFERROR(__xludf.DUMMYFUNCTION("""COMPUTED_VALUE"""),142.4)</f>
        <v>142.4</v>
      </c>
      <c r="E65" s="1">
        <f>IFERROR(__xludf.DUMMYFUNCTION("""COMPUTED_VALUE"""),143.74)</f>
        <v>143.74</v>
      </c>
      <c r="F65" s="1">
        <f>IFERROR(__xludf.DUMMYFUNCTION("""COMPUTED_VALUE"""),992718.0)</f>
        <v>992718</v>
      </c>
    </row>
    <row r="66">
      <c r="A66" s="2">
        <f>IFERROR(__xludf.DUMMYFUNCTION("""COMPUTED_VALUE"""),44446.66666666667)</f>
        <v>44446.66667</v>
      </c>
      <c r="B66" s="1">
        <f>IFERROR(__xludf.DUMMYFUNCTION("""COMPUTED_VALUE"""),143.83)</f>
        <v>143.83</v>
      </c>
      <c r="C66" s="1">
        <f>IFERROR(__xludf.DUMMYFUNCTION("""COMPUTED_VALUE"""),144.57)</f>
        <v>144.57</v>
      </c>
      <c r="D66" s="1">
        <f>IFERROR(__xludf.DUMMYFUNCTION("""COMPUTED_VALUE"""),143.62)</f>
        <v>143.62</v>
      </c>
      <c r="E66" s="1">
        <f>IFERROR(__xludf.DUMMYFUNCTION("""COMPUTED_VALUE"""),144.28)</f>
        <v>144.28</v>
      </c>
      <c r="F66" s="1">
        <f>IFERROR(__xludf.DUMMYFUNCTION("""COMPUTED_VALUE"""),1006595.0)</f>
        <v>1006595</v>
      </c>
    </row>
    <row r="67">
      <c r="A67" s="2">
        <f>IFERROR(__xludf.DUMMYFUNCTION("""COMPUTED_VALUE"""),44447.66666666667)</f>
        <v>44447.66667</v>
      </c>
      <c r="B67" s="1">
        <f>IFERROR(__xludf.DUMMYFUNCTION("""COMPUTED_VALUE"""),144.1)</f>
        <v>144.1</v>
      </c>
      <c r="C67" s="1">
        <f>IFERROR(__xludf.DUMMYFUNCTION("""COMPUTED_VALUE"""),144.4)</f>
        <v>144.4</v>
      </c>
      <c r="D67" s="1">
        <f>IFERROR(__xludf.DUMMYFUNCTION("""COMPUTED_VALUE"""),143.0)</f>
        <v>143</v>
      </c>
      <c r="E67" s="1">
        <f>IFERROR(__xludf.DUMMYFUNCTION("""COMPUTED_VALUE"""),143.69)</f>
        <v>143.69</v>
      </c>
      <c r="F67" s="1">
        <f>IFERROR(__xludf.DUMMYFUNCTION("""COMPUTED_VALUE"""),917511.0)</f>
        <v>917511</v>
      </c>
    </row>
    <row r="68">
      <c r="A68" s="2">
        <f>IFERROR(__xludf.DUMMYFUNCTION("""COMPUTED_VALUE"""),44448.66666666667)</f>
        <v>44448.66667</v>
      </c>
      <c r="B68" s="1">
        <f>IFERROR(__xludf.DUMMYFUNCTION("""COMPUTED_VALUE"""),143.84)</f>
        <v>143.84</v>
      </c>
      <c r="C68" s="1">
        <f>IFERROR(__xludf.DUMMYFUNCTION("""COMPUTED_VALUE"""),144.31)</f>
        <v>144.31</v>
      </c>
      <c r="D68" s="1">
        <f>IFERROR(__xludf.DUMMYFUNCTION("""COMPUTED_VALUE"""),143.18)</f>
        <v>143.18</v>
      </c>
      <c r="E68" s="1">
        <f>IFERROR(__xludf.DUMMYFUNCTION("""COMPUTED_VALUE"""),143.54)</f>
        <v>143.54</v>
      </c>
      <c r="F68" s="1">
        <f>IFERROR(__xludf.DUMMYFUNCTION("""COMPUTED_VALUE"""),765855.0)</f>
        <v>765855</v>
      </c>
    </row>
    <row r="69">
      <c r="A69" s="2">
        <f>IFERROR(__xludf.DUMMYFUNCTION("""COMPUTED_VALUE"""),44449.66666666667)</f>
        <v>44449.66667</v>
      </c>
      <c r="B69" s="1">
        <f>IFERROR(__xludf.DUMMYFUNCTION("""COMPUTED_VALUE"""),144.21)</f>
        <v>144.21</v>
      </c>
      <c r="C69" s="1">
        <f>IFERROR(__xludf.DUMMYFUNCTION("""COMPUTED_VALUE"""),144.72)</f>
        <v>144.72</v>
      </c>
      <c r="D69" s="1">
        <f>IFERROR(__xludf.DUMMYFUNCTION("""COMPUTED_VALUE"""),140.74)</f>
        <v>140.74</v>
      </c>
      <c r="E69" s="1">
        <f>IFERROR(__xludf.DUMMYFUNCTION("""COMPUTED_VALUE"""),140.88)</f>
        <v>140.88</v>
      </c>
      <c r="F69" s="1">
        <f>IFERROR(__xludf.DUMMYFUNCTION("""COMPUTED_VALUE"""),1841967.0)</f>
        <v>1841967</v>
      </c>
    </row>
    <row r="70">
      <c r="A70" s="2">
        <f>IFERROR(__xludf.DUMMYFUNCTION("""COMPUTED_VALUE"""),44452.66666666667)</f>
        <v>44452.66667</v>
      </c>
      <c r="B70" s="1">
        <f>IFERROR(__xludf.DUMMYFUNCTION("""COMPUTED_VALUE"""),141.95)</f>
        <v>141.95</v>
      </c>
      <c r="C70" s="1">
        <f>IFERROR(__xludf.DUMMYFUNCTION("""COMPUTED_VALUE"""),142.95)</f>
        <v>142.95</v>
      </c>
      <c r="D70" s="1">
        <f>IFERROR(__xludf.DUMMYFUNCTION("""COMPUTED_VALUE"""),141.25)</f>
        <v>141.25</v>
      </c>
      <c r="E70" s="1">
        <f>IFERROR(__xludf.DUMMYFUNCTION("""COMPUTED_VALUE"""),142.33)</f>
        <v>142.33</v>
      </c>
      <c r="F70" s="1">
        <f>IFERROR(__xludf.DUMMYFUNCTION("""COMPUTED_VALUE"""),1104692.0)</f>
        <v>1104692</v>
      </c>
    </row>
    <row r="71">
      <c r="A71" s="2">
        <f>IFERROR(__xludf.DUMMYFUNCTION("""COMPUTED_VALUE"""),44453.66666666667)</f>
        <v>44453.66667</v>
      </c>
      <c r="B71" s="1">
        <f>IFERROR(__xludf.DUMMYFUNCTION("""COMPUTED_VALUE"""),143.0)</f>
        <v>143</v>
      </c>
      <c r="C71" s="1">
        <f>IFERROR(__xludf.DUMMYFUNCTION("""COMPUTED_VALUE"""),143.36)</f>
        <v>143.36</v>
      </c>
      <c r="D71" s="1">
        <f>IFERROR(__xludf.DUMMYFUNCTION("""COMPUTED_VALUE"""),141.75)</f>
        <v>141.75</v>
      </c>
      <c r="E71" s="1">
        <f>IFERROR(__xludf.DUMMYFUNCTION("""COMPUTED_VALUE"""),142.54)</f>
        <v>142.54</v>
      </c>
      <c r="F71" s="1">
        <f>IFERROR(__xludf.DUMMYFUNCTION("""COMPUTED_VALUE"""),983693.0)</f>
        <v>983693</v>
      </c>
    </row>
    <row r="72">
      <c r="A72" s="2">
        <f>IFERROR(__xludf.DUMMYFUNCTION("""COMPUTED_VALUE"""),44454.66666666667)</f>
        <v>44454.66667</v>
      </c>
      <c r="B72" s="1">
        <f>IFERROR(__xludf.DUMMYFUNCTION("""COMPUTED_VALUE"""),142.77)</f>
        <v>142.77</v>
      </c>
      <c r="C72" s="1">
        <f>IFERROR(__xludf.DUMMYFUNCTION("""COMPUTED_VALUE"""),144.45)</f>
        <v>144.45</v>
      </c>
      <c r="D72" s="1">
        <f>IFERROR(__xludf.DUMMYFUNCTION("""COMPUTED_VALUE"""),141.35)</f>
        <v>141.35</v>
      </c>
      <c r="E72" s="1">
        <f>IFERROR(__xludf.DUMMYFUNCTION("""COMPUTED_VALUE"""),144.43)</f>
        <v>144.43</v>
      </c>
      <c r="F72" s="1">
        <f>IFERROR(__xludf.DUMMYFUNCTION("""COMPUTED_VALUE"""),1370379.0)</f>
        <v>1370379</v>
      </c>
    </row>
    <row r="73">
      <c r="A73" s="2">
        <f>IFERROR(__xludf.DUMMYFUNCTION("""COMPUTED_VALUE"""),44455.66666666667)</f>
        <v>44455.66667</v>
      </c>
      <c r="B73" s="1">
        <f>IFERROR(__xludf.DUMMYFUNCTION("""COMPUTED_VALUE"""),143.95)</f>
        <v>143.95</v>
      </c>
      <c r="C73" s="1">
        <f>IFERROR(__xludf.DUMMYFUNCTION("""COMPUTED_VALUE"""),144.3)</f>
        <v>144.3</v>
      </c>
      <c r="D73" s="1">
        <f>IFERROR(__xludf.DUMMYFUNCTION("""COMPUTED_VALUE"""),142.4)</f>
        <v>142.4</v>
      </c>
      <c r="E73" s="1">
        <f>IFERROR(__xludf.DUMMYFUNCTION("""COMPUTED_VALUE"""),143.61)</f>
        <v>143.61</v>
      </c>
      <c r="F73" s="1">
        <f>IFERROR(__xludf.DUMMYFUNCTION("""COMPUTED_VALUE"""),1309771.0)</f>
        <v>1309771</v>
      </c>
    </row>
    <row r="74">
      <c r="A74" s="2">
        <f>IFERROR(__xludf.DUMMYFUNCTION("""COMPUTED_VALUE"""),44456.66666666667)</f>
        <v>44456.66667</v>
      </c>
      <c r="B74" s="1">
        <f>IFERROR(__xludf.DUMMYFUNCTION("""COMPUTED_VALUE"""),143.03)</f>
        <v>143.03</v>
      </c>
      <c r="C74" s="1">
        <f>IFERROR(__xludf.DUMMYFUNCTION("""COMPUTED_VALUE"""),143.45)</f>
        <v>143.45</v>
      </c>
      <c r="D74" s="1">
        <f>IFERROR(__xludf.DUMMYFUNCTION("""COMPUTED_VALUE"""),140.47)</f>
        <v>140.47</v>
      </c>
      <c r="E74" s="1">
        <f>IFERROR(__xludf.DUMMYFUNCTION("""COMPUTED_VALUE"""),140.8)</f>
        <v>140.8</v>
      </c>
      <c r="F74" s="1">
        <f>IFERROR(__xludf.DUMMYFUNCTION("""COMPUTED_VALUE"""),2669223.0)</f>
        <v>2669223</v>
      </c>
    </row>
    <row r="75">
      <c r="A75" s="2">
        <f>IFERROR(__xludf.DUMMYFUNCTION("""COMPUTED_VALUE"""),44459.66666666667)</f>
        <v>44459.66667</v>
      </c>
      <c r="B75" s="1">
        <f>IFERROR(__xludf.DUMMYFUNCTION("""COMPUTED_VALUE"""),138.16)</f>
        <v>138.16</v>
      </c>
      <c r="C75" s="1">
        <f>IFERROR(__xludf.DUMMYFUNCTION("""COMPUTED_VALUE"""),139.0)</f>
        <v>139</v>
      </c>
      <c r="D75" s="1">
        <f>IFERROR(__xludf.DUMMYFUNCTION("""COMPUTED_VALUE"""),136.32)</f>
        <v>136.32</v>
      </c>
      <c r="E75" s="1">
        <f>IFERROR(__xludf.DUMMYFUNCTION("""COMPUTED_VALUE"""),138.72)</f>
        <v>138.72</v>
      </c>
      <c r="F75" s="1">
        <f>IFERROR(__xludf.DUMMYFUNCTION("""COMPUTED_VALUE"""),2325902.0)</f>
        <v>2325902</v>
      </c>
    </row>
    <row r="76">
      <c r="A76" s="2">
        <f>IFERROR(__xludf.DUMMYFUNCTION("""COMPUTED_VALUE"""),44460.66666666667)</f>
        <v>44460.66667</v>
      </c>
      <c r="B76" s="1">
        <f>IFERROR(__xludf.DUMMYFUNCTION("""COMPUTED_VALUE"""),139.75)</f>
        <v>139.75</v>
      </c>
      <c r="C76" s="1">
        <f>IFERROR(__xludf.DUMMYFUNCTION("""COMPUTED_VALUE"""),140.01)</f>
        <v>140.01</v>
      </c>
      <c r="D76" s="1">
        <f>IFERROR(__xludf.DUMMYFUNCTION("""COMPUTED_VALUE"""),138.28)</f>
        <v>138.28</v>
      </c>
      <c r="E76" s="1">
        <f>IFERROR(__xludf.DUMMYFUNCTION("""COMPUTED_VALUE"""),139.03)</f>
        <v>139.03</v>
      </c>
      <c r="F76" s="1">
        <f>IFERROR(__xludf.DUMMYFUNCTION("""COMPUTED_VALUE"""),1266595.0)</f>
        <v>1266595</v>
      </c>
    </row>
    <row r="77">
      <c r="A77" s="2">
        <f>IFERROR(__xludf.DUMMYFUNCTION("""COMPUTED_VALUE"""),44461.66666666667)</f>
        <v>44461.66667</v>
      </c>
      <c r="B77" s="1">
        <f>IFERROR(__xludf.DUMMYFUNCTION("""COMPUTED_VALUE"""),139.3)</f>
        <v>139.3</v>
      </c>
      <c r="C77" s="1">
        <f>IFERROR(__xludf.DUMMYFUNCTION("""COMPUTED_VALUE"""),140.89)</f>
        <v>140.89</v>
      </c>
      <c r="D77" s="1">
        <f>IFERROR(__xludf.DUMMYFUNCTION("""COMPUTED_VALUE"""),138.55)</f>
        <v>138.55</v>
      </c>
      <c r="E77" s="1">
        <f>IFERROR(__xludf.DUMMYFUNCTION("""COMPUTED_VALUE"""),140.28)</f>
        <v>140.28</v>
      </c>
      <c r="F77" s="1">
        <f>IFERROR(__xludf.DUMMYFUNCTION("""COMPUTED_VALUE"""),1252778.0)</f>
        <v>1252778</v>
      </c>
    </row>
    <row r="78">
      <c r="A78" s="2">
        <f>IFERROR(__xludf.DUMMYFUNCTION("""COMPUTED_VALUE"""),44462.66666666667)</f>
        <v>44462.66667</v>
      </c>
      <c r="B78" s="1">
        <f>IFERROR(__xludf.DUMMYFUNCTION("""COMPUTED_VALUE"""),140.99)</f>
        <v>140.99</v>
      </c>
      <c r="C78" s="1">
        <f>IFERROR(__xludf.DUMMYFUNCTION("""COMPUTED_VALUE"""),141.7)</f>
        <v>141.7</v>
      </c>
      <c r="D78" s="1">
        <f>IFERROR(__xludf.DUMMYFUNCTION("""COMPUTED_VALUE"""),140.4)</f>
        <v>140.4</v>
      </c>
      <c r="E78" s="1">
        <f>IFERROR(__xludf.DUMMYFUNCTION("""COMPUTED_VALUE"""),141.22)</f>
        <v>141.22</v>
      </c>
      <c r="F78" s="1">
        <f>IFERROR(__xludf.DUMMYFUNCTION("""COMPUTED_VALUE"""),1047550.0)</f>
        <v>1047550</v>
      </c>
    </row>
    <row r="79">
      <c r="A79" s="2">
        <f>IFERROR(__xludf.DUMMYFUNCTION("""COMPUTED_VALUE"""),44463.66666666667)</f>
        <v>44463.66667</v>
      </c>
      <c r="B79" s="1">
        <f>IFERROR(__xludf.DUMMYFUNCTION("""COMPUTED_VALUE"""),140.54)</f>
        <v>140.54</v>
      </c>
      <c r="C79" s="1">
        <f>IFERROR(__xludf.DUMMYFUNCTION("""COMPUTED_VALUE"""),142.33)</f>
        <v>142.33</v>
      </c>
      <c r="D79" s="1">
        <f>IFERROR(__xludf.DUMMYFUNCTION("""COMPUTED_VALUE"""),140.24)</f>
        <v>140.24</v>
      </c>
      <c r="E79" s="1">
        <f>IFERROR(__xludf.DUMMYFUNCTION("""COMPUTED_VALUE"""),142.22)</f>
        <v>142.22</v>
      </c>
      <c r="F79" s="1">
        <f>IFERROR(__xludf.DUMMYFUNCTION("""COMPUTED_VALUE"""),1149195.0)</f>
        <v>1149195</v>
      </c>
    </row>
    <row r="80">
      <c r="A80" s="2">
        <f>IFERROR(__xludf.DUMMYFUNCTION("""COMPUTED_VALUE"""),44466.66666666667)</f>
        <v>44466.66667</v>
      </c>
      <c r="B80" s="1">
        <f>IFERROR(__xludf.DUMMYFUNCTION("""COMPUTED_VALUE"""),140.8)</f>
        <v>140.8</v>
      </c>
      <c r="C80" s="1">
        <f>IFERROR(__xludf.DUMMYFUNCTION("""COMPUTED_VALUE"""),141.94)</f>
        <v>141.94</v>
      </c>
      <c r="D80" s="1">
        <f>IFERROR(__xludf.DUMMYFUNCTION("""COMPUTED_VALUE"""),140.07)</f>
        <v>140.07</v>
      </c>
      <c r="E80" s="1">
        <f>IFERROR(__xludf.DUMMYFUNCTION("""COMPUTED_VALUE"""),141.07)</f>
        <v>141.07</v>
      </c>
      <c r="F80" s="1">
        <f>IFERROR(__xludf.DUMMYFUNCTION("""COMPUTED_VALUE"""),1094098.0)</f>
        <v>1094098</v>
      </c>
    </row>
    <row r="81">
      <c r="A81" s="2">
        <f>IFERROR(__xludf.DUMMYFUNCTION("""COMPUTED_VALUE"""),44467.66666666667)</f>
        <v>44467.66667</v>
      </c>
      <c r="B81" s="1">
        <f>IFERROR(__xludf.DUMMYFUNCTION("""COMPUTED_VALUE"""),138.66)</f>
        <v>138.66</v>
      </c>
      <c r="C81" s="1">
        <f>IFERROR(__xludf.DUMMYFUNCTION("""COMPUTED_VALUE"""),139.1)</f>
        <v>139.1</v>
      </c>
      <c r="D81" s="1">
        <f>IFERROR(__xludf.DUMMYFUNCTION("""COMPUTED_VALUE"""),135.36)</f>
        <v>135.36</v>
      </c>
      <c r="E81" s="1">
        <f>IFERROR(__xludf.DUMMYFUNCTION("""COMPUTED_VALUE"""),135.83)</f>
        <v>135.83</v>
      </c>
      <c r="F81" s="1">
        <f>IFERROR(__xludf.DUMMYFUNCTION("""COMPUTED_VALUE"""),2288610.0)</f>
        <v>2288610</v>
      </c>
    </row>
    <row r="82">
      <c r="A82" s="2">
        <f>IFERROR(__xludf.DUMMYFUNCTION("""COMPUTED_VALUE"""),44468.66666666667)</f>
        <v>44468.66667</v>
      </c>
      <c r="B82" s="1">
        <f>IFERROR(__xludf.DUMMYFUNCTION("""COMPUTED_VALUE"""),136.98)</f>
        <v>136.98</v>
      </c>
      <c r="C82" s="1">
        <f>IFERROR(__xludf.DUMMYFUNCTION("""COMPUTED_VALUE"""),137.15)</f>
        <v>137.15</v>
      </c>
      <c r="D82" s="1">
        <f>IFERROR(__xludf.DUMMYFUNCTION("""COMPUTED_VALUE"""),133.87)</f>
        <v>133.87</v>
      </c>
      <c r="E82" s="1">
        <f>IFERROR(__xludf.DUMMYFUNCTION("""COMPUTED_VALUE"""),134.35)</f>
        <v>134.35</v>
      </c>
      <c r="F82" s="1">
        <f>IFERROR(__xludf.DUMMYFUNCTION("""COMPUTED_VALUE"""),1542435.0)</f>
        <v>1542435</v>
      </c>
    </row>
    <row r="83">
      <c r="A83" s="2">
        <f>IFERROR(__xludf.DUMMYFUNCTION("""COMPUTED_VALUE"""),44469.66666666667)</f>
        <v>44469.66667</v>
      </c>
      <c r="B83" s="1">
        <f>IFERROR(__xludf.DUMMYFUNCTION("""COMPUTED_VALUE"""),134.26)</f>
        <v>134.26</v>
      </c>
      <c r="C83" s="1">
        <f>IFERROR(__xludf.DUMMYFUNCTION("""COMPUTED_VALUE"""),135.54)</f>
        <v>135.54</v>
      </c>
      <c r="D83" s="1">
        <f>IFERROR(__xludf.DUMMYFUNCTION("""COMPUTED_VALUE"""),133.56)</f>
        <v>133.56</v>
      </c>
      <c r="E83" s="1">
        <f>IFERROR(__xludf.DUMMYFUNCTION("""COMPUTED_VALUE"""),133.68)</f>
        <v>133.68</v>
      </c>
      <c r="F83" s="1">
        <f>IFERROR(__xludf.DUMMYFUNCTION("""COMPUTED_VALUE"""),1901440.0)</f>
        <v>1901440</v>
      </c>
    </row>
    <row r="84">
      <c r="A84" s="2">
        <f>IFERROR(__xludf.DUMMYFUNCTION("""COMPUTED_VALUE"""),44470.66666666667)</f>
        <v>44470.66667</v>
      </c>
      <c r="B84" s="1">
        <f>IFERROR(__xludf.DUMMYFUNCTION("""COMPUTED_VALUE"""),134.45)</f>
        <v>134.45</v>
      </c>
      <c r="C84" s="1">
        <f>IFERROR(__xludf.DUMMYFUNCTION("""COMPUTED_VALUE"""),136.91)</f>
        <v>136.91</v>
      </c>
      <c r="D84" s="1">
        <f>IFERROR(__xludf.DUMMYFUNCTION("""COMPUTED_VALUE"""),134.07)</f>
        <v>134.07</v>
      </c>
      <c r="E84" s="1">
        <f>IFERROR(__xludf.DUMMYFUNCTION("""COMPUTED_VALUE"""),136.54)</f>
        <v>136.54</v>
      </c>
      <c r="F84" s="1">
        <f>IFERROR(__xludf.DUMMYFUNCTION("""COMPUTED_VALUE"""),1768009.0)</f>
        <v>1768009</v>
      </c>
    </row>
    <row r="85">
      <c r="A85" s="2">
        <f>IFERROR(__xludf.DUMMYFUNCTION("""COMPUTED_VALUE"""),44473.66666666667)</f>
        <v>44473.66667</v>
      </c>
      <c r="B85" s="1">
        <f>IFERROR(__xludf.DUMMYFUNCTION("""COMPUTED_VALUE"""),135.96)</f>
        <v>135.96</v>
      </c>
      <c r="C85" s="1">
        <f>IFERROR(__xludf.DUMMYFUNCTION("""COMPUTED_VALUE"""),135.96)</f>
        <v>135.96</v>
      </c>
      <c r="D85" s="1">
        <f>IFERROR(__xludf.DUMMYFUNCTION("""COMPUTED_VALUE"""),131.05)</f>
        <v>131.05</v>
      </c>
      <c r="E85" s="1">
        <f>IFERROR(__xludf.DUMMYFUNCTION("""COMPUTED_VALUE"""),133.66)</f>
        <v>133.66</v>
      </c>
      <c r="F85" s="1">
        <f>IFERROR(__xludf.DUMMYFUNCTION("""COMPUTED_VALUE"""),2560097.0)</f>
        <v>2560097</v>
      </c>
    </row>
    <row r="86">
      <c r="A86" s="2">
        <f>IFERROR(__xludf.DUMMYFUNCTION("""COMPUTED_VALUE"""),44474.66666666667)</f>
        <v>44474.66667</v>
      </c>
      <c r="B86" s="1">
        <f>IFERROR(__xludf.DUMMYFUNCTION("""COMPUTED_VALUE"""),134.04)</f>
        <v>134.04</v>
      </c>
      <c r="C86" s="1">
        <f>IFERROR(__xludf.DUMMYFUNCTION("""COMPUTED_VALUE"""),137.22)</f>
        <v>137.22</v>
      </c>
      <c r="D86" s="1">
        <f>IFERROR(__xludf.DUMMYFUNCTION("""COMPUTED_VALUE"""),134.04)</f>
        <v>134.04</v>
      </c>
      <c r="E86" s="1">
        <f>IFERROR(__xludf.DUMMYFUNCTION("""COMPUTED_VALUE"""),136.02)</f>
        <v>136.02</v>
      </c>
      <c r="F86" s="1">
        <f>IFERROR(__xludf.DUMMYFUNCTION("""COMPUTED_VALUE"""),1620163.0)</f>
        <v>1620163</v>
      </c>
    </row>
    <row r="87">
      <c r="A87" s="2">
        <f>IFERROR(__xludf.DUMMYFUNCTION("""COMPUTED_VALUE"""),44475.66666666667)</f>
        <v>44475.66667</v>
      </c>
      <c r="B87" s="1">
        <f>IFERROR(__xludf.DUMMYFUNCTION("""COMPUTED_VALUE"""),134.75)</f>
        <v>134.75</v>
      </c>
      <c r="C87" s="1">
        <f>IFERROR(__xludf.DUMMYFUNCTION("""COMPUTED_VALUE"""),137.75)</f>
        <v>137.75</v>
      </c>
      <c r="D87" s="1">
        <f>IFERROR(__xludf.DUMMYFUNCTION("""COMPUTED_VALUE"""),134.55)</f>
        <v>134.55</v>
      </c>
      <c r="E87" s="1">
        <f>IFERROR(__xludf.DUMMYFUNCTION("""COMPUTED_VALUE"""),137.57)</f>
        <v>137.57</v>
      </c>
      <c r="F87" s="1">
        <f>IFERROR(__xludf.DUMMYFUNCTION("""COMPUTED_VALUE"""),1218214.0)</f>
        <v>1218214</v>
      </c>
    </row>
    <row r="88">
      <c r="A88" s="2">
        <f>IFERROR(__xludf.DUMMYFUNCTION("""COMPUTED_VALUE"""),44476.66666666667)</f>
        <v>44476.66667</v>
      </c>
      <c r="B88" s="1">
        <f>IFERROR(__xludf.DUMMYFUNCTION("""COMPUTED_VALUE"""),138.89)</f>
        <v>138.89</v>
      </c>
      <c r="C88" s="1">
        <f>IFERROR(__xludf.DUMMYFUNCTION("""COMPUTED_VALUE"""),140.04)</f>
        <v>140.04</v>
      </c>
      <c r="D88" s="1">
        <f>IFERROR(__xludf.DUMMYFUNCTION("""COMPUTED_VALUE"""),138.65)</f>
        <v>138.65</v>
      </c>
      <c r="E88" s="1">
        <f>IFERROR(__xludf.DUMMYFUNCTION("""COMPUTED_VALUE"""),139.23)</f>
        <v>139.23</v>
      </c>
      <c r="F88" s="1">
        <f>IFERROR(__xludf.DUMMYFUNCTION("""COMPUTED_VALUE"""),1255507.0)</f>
        <v>1255507</v>
      </c>
    </row>
    <row r="89">
      <c r="A89" s="2">
        <f>IFERROR(__xludf.DUMMYFUNCTION("""COMPUTED_VALUE"""),44477.66666666667)</f>
        <v>44477.66667</v>
      </c>
      <c r="B89" s="1">
        <f>IFERROR(__xludf.DUMMYFUNCTION("""COMPUTED_VALUE"""),139.58)</f>
        <v>139.58</v>
      </c>
      <c r="C89" s="1">
        <f>IFERROR(__xludf.DUMMYFUNCTION("""COMPUTED_VALUE"""),140.33)</f>
        <v>140.33</v>
      </c>
      <c r="D89" s="1">
        <f>IFERROR(__xludf.DUMMYFUNCTION("""COMPUTED_VALUE"""),139.22)</f>
        <v>139.22</v>
      </c>
      <c r="E89" s="1">
        <f>IFERROR(__xludf.DUMMYFUNCTION("""COMPUTED_VALUE"""),139.79)</f>
        <v>139.79</v>
      </c>
      <c r="F89" s="1">
        <f>IFERROR(__xludf.DUMMYFUNCTION("""COMPUTED_VALUE"""),1326292.0)</f>
        <v>1326292</v>
      </c>
    </row>
    <row r="90">
      <c r="A90" s="2">
        <f>IFERROR(__xludf.DUMMYFUNCTION("""COMPUTED_VALUE"""),44480.66666666667)</f>
        <v>44480.66667</v>
      </c>
      <c r="B90" s="1">
        <f>IFERROR(__xludf.DUMMYFUNCTION("""COMPUTED_VALUE"""),139.29)</f>
        <v>139.29</v>
      </c>
      <c r="C90" s="1">
        <f>IFERROR(__xludf.DUMMYFUNCTION("""COMPUTED_VALUE"""),140.71)</f>
        <v>140.71</v>
      </c>
      <c r="D90" s="1">
        <f>IFERROR(__xludf.DUMMYFUNCTION("""COMPUTED_VALUE"""),138.86)</f>
        <v>138.86</v>
      </c>
      <c r="E90" s="1">
        <f>IFERROR(__xludf.DUMMYFUNCTION("""COMPUTED_VALUE"""),138.91)</f>
        <v>138.91</v>
      </c>
      <c r="F90" s="1">
        <f>IFERROR(__xludf.DUMMYFUNCTION("""COMPUTED_VALUE"""),897681.0)</f>
        <v>897681</v>
      </c>
    </row>
    <row r="91">
      <c r="A91" s="2">
        <f>IFERROR(__xludf.DUMMYFUNCTION("""COMPUTED_VALUE"""),44481.66666666667)</f>
        <v>44481.66667</v>
      </c>
      <c r="B91" s="1">
        <f>IFERROR(__xludf.DUMMYFUNCTION("""COMPUTED_VALUE"""),139.48)</f>
        <v>139.48</v>
      </c>
      <c r="C91" s="1">
        <f>IFERROR(__xludf.DUMMYFUNCTION("""COMPUTED_VALUE"""),139.51)</f>
        <v>139.51</v>
      </c>
      <c r="D91" s="1">
        <f>IFERROR(__xludf.DUMMYFUNCTION("""COMPUTED_VALUE"""),135.76)</f>
        <v>135.76</v>
      </c>
      <c r="E91" s="1">
        <f>IFERROR(__xludf.DUMMYFUNCTION("""COMPUTED_VALUE"""),136.45)</f>
        <v>136.45</v>
      </c>
      <c r="F91" s="1">
        <f>IFERROR(__xludf.DUMMYFUNCTION("""COMPUTED_VALUE"""),1816612.0)</f>
        <v>1816612</v>
      </c>
    </row>
    <row r="92">
      <c r="A92" s="2">
        <f>IFERROR(__xludf.DUMMYFUNCTION("""COMPUTED_VALUE"""),44482.66666666667)</f>
        <v>44482.66667</v>
      </c>
      <c r="B92" s="1">
        <f>IFERROR(__xludf.DUMMYFUNCTION("""COMPUTED_VALUE"""),137.4)</f>
        <v>137.4</v>
      </c>
      <c r="C92" s="1">
        <f>IFERROR(__xludf.DUMMYFUNCTION("""COMPUTED_VALUE"""),138.0)</f>
        <v>138</v>
      </c>
      <c r="D92" s="1">
        <f>IFERROR(__xludf.DUMMYFUNCTION("""COMPUTED_VALUE"""),136.52)</f>
        <v>136.52</v>
      </c>
      <c r="E92" s="1">
        <f>IFERROR(__xludf.DUMMYFUNCTION("""COMPUTED_VALUE"""),137.58)</f>
        <v>137.58</v>
      </c>
      <c r="F92" s="1">
        <f>IFERROR(__xludf.DUMMYFUNCTION("""COMPUTED_VALUE"""),983116.0)</f>
        <v>983116</v>
      </c>
    </row>
    <row r="93">
      <c r="A93" s="2">
        <f>IFERROR(__xludf.DUMMYFUNCTION("""COMPUTED_VALUE"""),44483.66666666667)</f>
        <v>44483.66667</v>
      </c>
      <c r="B93" s="1">
        <f>IFERROR(__xludf.DUMMYFUNCTION("""COMPUTED_VALUE"""),139.47)</f>
        <v>139.47</v>
      </c>
      <c r="C93" s="1">
        <f>IFERROR(__xludf.DUMMYFUNCTION("""COMPUTED_VALUE"""),141.34)</f>
        <v>141.34</v>
      </c>
      <c r="D93" s="1">
        <f>IFERROR(__xludf.DUMMYFUNCTION("""COMPUTED_VALUE"""),138.82)</f>
        <v>138.82</v>
      </c>
      <c r="E93" s="1">
        <f>IFERROR(__xludf.DUMMYFUNCTION("""COMPUTED_VALUE"""),141.15)</f>
        <v>141.15</v>
      </c>
      <c r="F93" s="1">
        <f>IFERROR(__xludf.DUMMYFUNCTION("""COMPUTED_VALUE"""),1596397.0)</f>
        <v>1596397</v>
      </c>
    </row>
    <row r="94">
      <c r="A94" s="2">
        <f>IFERROR(__xludf.DUMMYFUNCTION("""COMPUTED_VALUE"""),44484.66666666667)</f>
        <v>44484.66667</v>
      </c>
      <c r="B94" s="1">
        <f>IFERROR(__xludf.DUMMYFUNCTION("""COMPUTED_VALUE"""),141.61)</f>
        <v>141.61</v>
      </c>
      <c r="C94" s="1">
        <f>IFERROR(__xludf.DUMMYFUNCTION("""COMPUTED_VALUE"""),141.72)</f>
        <v>141.72</v>
      </c>
      <c r="D94" s="1">
        <f>IFERROR(__xludf.DUMMYFUNCTION("""COMPUTED_VALUE"""),140.76)</f>
        <v>140.76</v>
      </c>
      <c r="E94" s="1">
        <f>IFERROR(__xludf.DUMMYFUNCTION("""COMPUTED_VALUE"""),141.37)</f>
        <v>141.37</v>
      </c>
      <c r="F94" s="1">
        <f>IFERROR(__xludf.DUMMYFUNCTION("""COMPUTED_VALUE"""),1513722.0)</f>
        <v>1513722</v>
      </c>
    </row>
    <row r="95">
      <c r="A95" s="2">
        <f>IFERROR(__xludf.DUMMYFUNCTION("""COMPUTED_VALUE"""),44487.66666666667)</f>
        <v>44487.66667</v>
      </c>
      <c r="B95" s="1">
        <f>IFERROR(__xludf.DUMMYFUNCTION("""COMPUTED_VALUE"""),141.08)</f>
        <v>141.08</v>
      </c>
      <c r="C95" s="1">
        <f>IFERROR(__xludf.DUMMYFUNCTION("""COMPUTED_VALUE"""),142.8)</f>
        <v>142.8</v>
      </c>
      <c r="D95" s="1">
        <f>IFERROR(__xludf.DUMMYFUNCTION("""COMPUTED_VALUE"""),141.07)</f>
        <v>141.07</v>
      </c>
      <c r="E95" s="1">
        <f>IFERROR(__xludf.DUMMYFUNCTION("""COMPUTED_VALUE"""),142.78)</f>
        <v>142.78</v>
      </c>
      <c r="F95" s="1">
        <f>IFERROR(__xludf.DUMMYFUNCTION("""COMPUTED_VALUE"""),1019808.0)</f>
        <v>1019808</v>
      </c>
    </row>
    <row r="96">
      <c r="A96" s="2">
        <f>IFERROR(__xludf.DUMMYFUNCTION("""COMPUTED_VALUE"""),44488.66666666667)</f>
        <v>44488.66667</v>
      </c>
      <c r="B96" s="1">
        <f>IFERROR(__xludf.DUMMYFUNCTION("""COMPUTED_VALUE"""),143.39)</f>
        <v>143.39</v>
      </c>
      <c r="C96" s="1">
        <f>IFERROR(__xludf.DUMMYFUNCTION("""COMPUTED_VALUE"""),143.66)</f>
        <v>143.66</v>
      </c>
      <c r="D96" s="1">
        <f>IFERROR(__xludf.DUMMYFUNCTION("""COMPUTED_VALUE"""),142.6)</f>
        <v>142.6</v>
      </c>
      <c r="E96" s="1">
        <f>IFERROR(__xludf.DUMMYFUNCTION("""COMPUTED_VALUE"""),143.24)</f>
        <v>143.24</v>
      </c>
      <c r="F96" s="1">
        <f>IFERROR(__xludf.DUMMYFUNCTION("""COMPUTED_VALUE"""),1008150.0)</f>
        <v>1008150</v>
      </c>
    </row>
    <row r="97">
      <c r="A97" s="2">
        <f>IFERROR(__xludf.DUMMYFUNCTION("""COMPUTED_VALUE"""),44489.66666666667)</f>
        <v>44489.66667</v>
      </c>
      <c r="B97" s="1">
        <f>IFERROR(__xludf.DUMMYFUNCTION("""COMPUTED_VALUE"""),143.34)</f>
        <v>143.34</v>
      </c>
      <c r="C97" s="1">
        <f>IFERROR(__xludf.DUMMYFUNCTION("""COMPUTED_VALUE"""),143.55)</f>
        <v>143.55</v>
      </c>
      <c r="D97" s="1">
        <f>IFERROR(__xludf.DUMMYFUNCTION("""COMPUTED_VALUE"""),141.38)</f>
        <v>141.38</v>
      </c>
      <c r="E97" s="1">
        <f>IFERROR(__xludf.DUMMYFUNCTION("""COMPUTED_VALUE"""),141.77)</f>
        <v>141.77</v>
      </c>
      <c r="F97" s="1">
        <f>IFERROR(__xludf.DUMMYFUNCTION("""COMPUTED_VALUE"""),1164403.0)</f>
        <v>1164403</v>
      </c>
    </row>
    <row r="98">
      <c r="A98" s="2">
        <f>IFERROR(__xludf.DUMMYFUNCTION("""COMPUTED_VALUE"""),44490.66666666667)</f>
        <v>44490.66667</v>
      </c>
      <c r="B98" s="1">
        <f>IFERROR(__xludf.DUMMYFUNCTION("""COMPUTED_VALUE"""),141.77)</f>
        <v>141.77</v>
      </c>
      <c r="C98" s="1">
        <f>IFERROR(__xludf.DUMMYFUNCTION("""COMPUTED_VALUE"""),142.16)</f>
        <v>142.16</v>
      </c>
      <c r="D98" s="1">
        <f>IFERROR(__xludf.DUMMYFUNCTION("""COMPUTED_VALUE"""),140.5)</f>
        <v>140.5</v>
      </c>
      <c r="E98" s="1">
        <f>IFERROR(__xludf.DUMMYFUNCTION("""COMPUTED_VALUE"""),141.89)</f>
        <v>141.89</v>
      </c>
      <c r="F98" s="1">
        <f>IFERROR(__xludf.DUMMYFUNCTION("""COMPUTED_VALUE"""),1314613.0)</f>
        <v>1314613</v>
      </c>
    </row>
    <row r="99">
      <c r="A99" s="2">
        <f>IFERROR(__xludf.DUMMYFUNCTION("""COMPUTED_VALUE"""),44491.66666666667)</f>
        <v>44491.66667</v>
      </c>
      <c r="B99" s="1">
        <f>IFERROR(__xludf.DUMMYFUNCTION("""COMPUTED_VALUE"""),139.15)</f>
        <v>139.15</v>
      </c>
      <c r="C99" s="1">
        <f>IFERROR(__xludf.DUMMYFUNCTION("""COMPUTED_VALUE"""),140.58)</f>
        <v>140.58</v>
      </c>
      <c r="D99" s="1">
        <f>IFERROR(__xludf.DUMMYFUNCTION("""COMPUTED_VALUE"""),136.06)</f>
        <v>136.06</v>
      </c>
      <c r="E99" s="1">
        <f>IFERROR(__xludf.DUMMYFUNCTION("""COMPUTED_VALUE"""),137.57)</f>
        <v>137.57</v>
      </c>
      <c r="F99" s="1">
        <f>IFERROR(__xludf.DUMMYFUNCTION("""COMPUTED_VALUE"""),2529448.0)</f>
        <v>2529448</v>
      </c>
    </row>
    <row r="100">
      <c r="A100" s="2">
        <f>IFERROR(__xludf.DUMMYFUNCTION("""COMPUTED_VALUE"""),44494.66666666667)</f>
        <v>44494.66667</v>
      </c>
      <c r="B100" s="1">
        <f>IFERROR(__xludf.DUMMYFUNCTION("""COMPUTED_VALUE"""),137.55)</f>
        <v>137.55</v>
      </c>
      <c r="C100" s="1">
        <f>IFERROR(__xludf.DUMMYFUNCTION("""COMPUTED_VALUE"""),138.0)</f>
        <v>138</v>
      </c>
      <c r="D100" s="1">
        <f>IFERROR(__xludf.DUMMYFUNCTION("""COMPUTED_VALUE"""),135.42)</f>
        <v>135.42</v>
      </c>
      <c r="E100" s="1">
        <f>IFERROR(__xludf.DUMMYFUNCTION("""COMPUTED_VALUE"""),137.45)</f>
        <v>137.45</v>
      </c>
      <c r="F100" s="1">
        <f>IFERROR(__xludf.DUMMYFUNCTION("""COMPUTED_VALUE"""),1720613.0)</f>
        <v>1720613</v>
      </c>
    </row>
    <row r="101">
      <c r="A101" s="2">
        <f>IFERROR(__xludf.DUMMYFUNCTION("""COMPUTED_VALUE"""),44495.66666666667)</f>
        <v>44495.66667</v>
      </c>
      <c r="B101" s="1">
        <f>IFERROR(__xludf.DUMMYFUNCTION("""COMPUTED_VALUE"""),139.26)</f>
        <v>139.26</v>
      </c>
      <c r="C101" s="1">
        <f>IFERROR(__xludf.DUMMYFUNCTION("""COMPUTED_VALUE"""),140.08)</f>
        <v>140.08</v>
      </c>
      <c r="D101" s="1">
        <f>IFERROR(__xludf.DUMMYFUNCTION("""COMPUTED_VALUE"""),138.3)</f>
        <v>138.3</v>
      </c>
      <c r="E101" s="1">
        <f>IFERROR(__xludf.DUMMYFUNCTION("""COMPUTED_VALUE"""),139.31)</f>
        <v>139.31</v>
      </c>
      <c r="F101" s="1">
        <f>IFERROR(__xludf.DUMMYFUNCTION("""COMPUTED_VALUE"""),2461751.0)</f>
        <v>2461751</v>
      </c>
    </row>
    <row r="102">
      <c r="A102" s="2">
        <f>IFERROR(__xludf.DUMMYFUNCTION("""COMPUTED_VALUE"""),44496.66666666667)</f>
        <v>44496.66667</v>
      </c>
      <c r="B102" s="1">
        <f>IFERROR(__xludf.DUMMYFUNCTION("""COMPUTED_VALUE"""),139.41)</f>
        <v>139.41</v>
      </c>
      <c r="C102" s="1">
        <f>IFERROR(__xludf.DUMMYFUNCTION("""COMPUTED_VALUE"""),148.65)</f>
        <v>148.65</v>
      </c>
      <c r="D102" s="1">
        <f>IFERROR(__xludf.DUMMYFUNCTION("""COMPUTED_VALUE"""),139.41)</f>
        <v>139.41</v>
      </c>
      <c r="E102" s="1">
        <f>IFERROR(__xludf.DUMMYFUNCTION("""COMPUTED_VALUE"""),146.22)</f>
        <v>146.22</v>
      </c>
      <c r="F102" s="1">
        <f>IFERROR(__xludf.DUMMYFUNCTION("""COMPUTED_VALUE"""),4289070.0)</f>
        <v>4289070</v>
      </c>
    </row>
    <row r="103">
      <c r="A103" s="2">
        <f>IFERROR(__xludf.DUMMYFUNCTION("""COMPUTED_VALUE"""),44497.66666666667)</f>
        <v>44497.66667</v>
      </c>
      <c r="B103" s="1">
        <f>IFERROR(__xludf.DUMMYFUNCTION("""COMPUTED_VALUE"""),147.13)</f>
        <v>147.13</v>
      </c>
      <c r="C103" s="1">
        <f>IFERROR(__xludf.DUMMYFUNCTION("""COMPUTED_VALUE"""),147.16)</f>
        <v>147.16</v>
      </c>
      <c r="D103" s="1">
        <f>IFERROR(__xludf.DUMMYFUNCTION("""COMPUTED_VALUE"""),144.63)</f>
        <v>144.63</v>
      </c>
      <c r="E103" s="1">
        <f>IFERROR(__xludf.DUMMYFUNCTION("""COMPUTED_VALUE"""),145.85)</f>
        <v>145.85</v>
      </c>
      <c r="F103" s="1">
        <f>IFERROR(__xludf.DUMMYFUNCTION("""COMPUTED_VALUE"""),1810319.0)</f>
        <v>1810319</v>
      </c>
    </row>
    <row r="104">
      <c r="A104" s="2">
        <f>IFERROR(__xludf.DUMMYFUNCTION("""COMPUTED_VALUE"""),44498.66666666667)</f>
        <v>44498.66667</v>
      </c>
      <c r="B104" s="1">
        <f>IFERROR(__xludf.DUMMYFUNCTION("""COMPUTED_VALUE"""),145.08)</f>
        <v>145.08</v>
      </c>
      <c r="C104" s="1">
        <f>IFERROR(__xludf.DUMMYFUNCTION("""COMPUTED_VALUE"""),148.24)</f>
        <v>148.24</v>
      </c>
      <c r="D104" s="1">
        <f>IFERROR(__xludf.DUMMYFUNCTION("""COMPUTED_VALUE"""),144.65)</f>
        <v>144.65</v>
      </c>
      <c r="E104" s="1">
        <f>IFERROR(__xludf.DUMMYFUNCTION("""COMPUTED_VALUE"""),148.05)</f>
        <v>148.05</v>
      </c>
      <c r="F104" s="1">
        <f>IFERROR(__xludf.DUMMYFUNCTION("""COMPUTED_VALUE"""),2166015.0)</f>
        <v>2166015</v>
      </c>
    </row>
    <row r="105">
      <c r="A105" s="2">
        <f>IFERROR(__xludf.DUMMYFUNCTION("""COMPUTED_VALUE"""),44501.66666666667)</f>
        <v>44501.66667</v>
      </c>
      <c r="B105" s="1">
        <f>IFERROR(__xludf.DUMMYFUNCTION("""COMPUTED_VALUE"""),148.05)</f>
        <v>148.05</v>
      </c>
      <c r="C105" s="1">
        <f>IFERROR(__xludf.DUMMYFUNCTION("""COMPUTED_VALUE"""),148.05)</f>
        <v>148.05</v>
      </c>
      <c r="D105" s="1">
        <f>IFERROR(__xludf.DUMMYFUNCTION("""COMPUTED_VALUE"""),143.23)</f>
        <v>143.23</v>
      </c>
      <c r="E105" s="1">
        <f>IFERROR(__xludf.DUMMYFUNCTION("""COMPUTED_VALUE"""),143.5)</f>
        <v>143.5</v>
      </c>
      <c r="F105" s="1">
        <f>IFERROR(__xludf.DUMMYFUNCTION("""COMPUTED_VALUE"""),2346162.0)</f>
        <v>2346162</v>
      </c>
    </row>
    <row r="106">
      <c r="A106" s="2">
        <f>IFERROR(__xludf.DUMMYFUNCTION("""COMPUTED_VALUE"""),44502.66666666667)</f>
        <v>44502.66667</v>
      </c>
      <c r="B106" s="1">
        <f>IFERROR(__xludf.DUMMYFUNCTION("""COMPUTED_VALUE"""),144.58)</f>
        <v>144.58</v>
      </c>
      <c r="C106" s="1">
        <f>IFERROR(__xludf.DUMMYFUNCTION("""COMPUTED_VALUE"""),146.61)</f>
        <v>146.61</v>
      </c>
      <c r="D106" s="1">
        <f>IFERROR(__xludf.DUMMYFUNCTION("""COMPUTED_VALUE"""),144.34)</f>
        <v>144.34</v>
      </c>
      <c r="E106" s="1">
        <f>IFERROR(__xludf.DUMMYFUNCTION("""COMPUTED_VALUE"""),145.43)</f>
        <v>145.43</v>
      </c>
      <c r="F106" s="1">
        <f>IFERROR(__xludf.DUMMYFUNCTION("""COMPUTED_VALUE"""),1674112.0)</f>
        <v>1674112</v>
      </c>
    </row>
    <row r="107">
      <c r="A107" s="2">
        <f>IFERROR(__xludf.DUMMYFUNCTION("""COMPUTED_VALUE"""),44503.66666666667)</f>
        <v>44503.66667</v>
      </c>
      <c r="B107" s="1">
        <f>IFERROR(__xludf.DUMMYFUNCTION("""COMPUTED_VALUE"""),145.9)</f>
        <v>145.9</v>
      </c>
      <c r="C107" s="1">
        <f>IFERROR(__xludf.DUMMYFUNCTION("""COMPUTED_VALUE"""),146.67)</f>
        <v>146.67</v>
      </c>
      <c r="D107" s="1">
        <f>IFERROR(__xludf.DUMMYFUNCTION("""COMPUTED_VALUE"""),144.59)</f>
        <v>144.59</v>
      </c>
      <c r="E107" s="1">
        <f>IFERROR(__xludf.DUMMYFUNCTION("""COMPUTED_VALUE"""),146.6)</f>
        <v>146.6</v>
      </c>
      <c r="F107" s="1">
        <f>IFERROR(__xludf.DUMMYFUNCTION("""COMPUTED_VALUE"""),1374662.0)</f>
        <v>1374662</v>
      </c>
    </row>
    <row r="108">
      <c r="A108" s="2">
        <f>IFERROR(__xludf.DUMMYFUNCTION("""COMPUTED_VALUE"""),44504.66666666667)</f>
        <v>44504.66667</v>
      </c>
      <c r="B108" s="1">
        <f>IFERROR(__xludf.DUMMYFUNCTION("""COMPUTED_VALUE"""),147.12)</f>
        <v>147.12</v>
      </c>
      <c r="C108" s="1">
        <f>IFERROR(__xludf.DUMMYFUNCTION("""COMPUTED_VALUE"""),149.73)</f>
        <v>149.73</v>
      </c>
      <c r="D108" s="1">
        <f>IFERROR(__xludf.DUMMYFUNCTION("""COMPUTED_VALUE"""),146.31)</f>
        <v>146.31</v>
      </c>
      <c r="E108" s="1">
        <f>IFERROR(__xludf.DUMMYFUNCTION("""COMPUTED_VALUE"""),148.27)</f>
        <v>148.27</v>
      </c>
      <c r="F108" s="1">
        <f>IFERROR(__xludf.DUMMYFUNCTION("""COMPUTED_VALUE"""),1920563.0)</f>
        <v>1920563</v>
      </c>
    </row>
    <row r="109">
      <c r="A109" s="2">
        <f>IFERROR(__xludf.DUMMYFUNCTION("""COMPUTED_VALUE"""),44505.66666666667)</f>
        <v>44505.66667</v>
      </c>
      <c r="B109" s="1">
        <f>IFERROR(__xludf.DUMMYFUNCTION("""COMPUTED_VALUE"""),149.17)</f>
        <v>149.17</v>
      </c>
      <c r="C109" s="1">
        <f>IFERROR(__xludf.DUMMYFUNCTION("""COMPUTED_VALUE"""),150.33)</f>
        <v>150.33</v>
      </c>
      <c r="D109" s="1">
        <f>IFERROR(__xludf.DUMMYFUNCTION("""COMPUTED_VALUE"""),148.2)</f>
        <v>148.2</v>
      </c>
      <c r="E109" s="1">
        <f>IFERROR(__xludf.DUMMYFUNCTION("""COMPUTED_VALUE"""),148.85)</f>
        <v>148.85</v>
      </c>
      <c r="F109" s="1">
        <f>IFERROR(__xludf.DUMMYFUNCTION("""COMPUTED_VALUE"""),1917737.0)</f>
        <v>1917737</v>
      </c>
    </row>
    <row r="110">
      <c r="A110" s="2">
        <f>IFERROR(__xludf.DUMMYFUNCTION("""COMPUTED_VALUE"""),44508.66666666667)</f>
        <v>44508.66667</v>
      </c>
      <c r="B110" s="1">
        <f>IFERROR(__xludf.DUMMYFUNCTION("""COMPUTED_VALUE"""),149.82)</f>
        <v>149.82</v>
      </c>
      <c r="C110" s="1">
        <f>IFERROR(__xludf.DUMMYFUNCTION("""COMPUTED_VALUE"""),150.61)</f>
        <v>150.61</v>
      </c>
      <c r="D110" s="1">
        <f>IFERROR(__xludf.DUMMYFUNCTION("""COMPUTED_VALUE"""),148.43)</f>
        <v>148.43</v>
      </c>
      <c r="E110" s="1">
        <f>IFERROR(__xludf.DUMMYFUNCTION("""COMPUTED_VALUE"""),149.03)</f>
        <v>149.03</v>
      </c>
      <c r="F110" s="1">
        <f>IFERROR(__xludf.DUMMYFUNCTION("""COMPUTED_VALUE"""),1152625.0)</f>
        <v>1152625</v>
      </c>
    </row>
    <row r="111">
      <c r="A111" s="2">
        <f>IFERROR(__xludf.DUMMYFUNCTION("""COMPUTED_VALUE"""),44509.66666666667)</f>
        <v>44509.66667</v>
      </c>
      <c r="B111" s="1">
        <f>IFERROR(__xludf.DUMMYFUNCTION("""COMPUTED_VALUE"""),149.23)</f>
        <v>149.23</v>
      </c>
      <c r="C111" s="1">
        <f>IFERROR(__xludf.DUMMYFUNCTION("""COMPUTED_VALUE"""),149.83)</f>
        <v>149.83</v>
      </c>
      <c r="D111" s="1">
        <f>IFERROR(__xludf.DUMMYFUNCTION("""COMPUTED_VALUE"""),147.24)</f>
        <v>147.24</v>
      </c>
      <c r="E111" s="1">
        <f>IFERROR(__xludf.DUMMYFUNCTION("""COMPUTED_VALUE"""),148.92)</f>
        <v>148.92</v>
      </c>
      <c r="F111" s="1">
        <f>IFERROR(__xludf.DUMMYFUNCTION("""COMPUTED_VALUE"""),976487.0)</f>
        <v>976487</v>
      </c>
    </row>
    <row r="112">
      <c r="A112" s="2">
        <f>IFERROR(__xludf.DUMMYFUNCTION("""COMPUTED_VALUE"""),44510.66666666667)</f>
        <v>44510.66667</v>
      </c>
      <c r="B112" s="1">
        <f>IFERROR(__xludf.DUMMYFUNCTION("""COMPUTED_VALUE"""),147.5)</f>
        <v>147.5</v>
      </c>
      <c r="C112" s="1">
        <f>IFERROR(__xludf.DUMMYFUNCTION("""COMPUTED_VALUE"""),148.07)</f>
        <v>148.07</v>
      </c>
      <c r="D112" s="1">
        <f>IFERROR(__xludf.DUMMYFUNCTION("""COMPUTED_VALUE"""),144.54)</f>
        <v>144.54</v>
      </c>
      <c r="E112" s="1">
        <f>IFERROR(__xludf.DUMMYFUNCTION("""COMPUTED_VALUE"""),145.89)</f>
        <v>145.89</v>
      </c>
      <c r="F112" s="1">
        <f>IFERROR(__xludf.DUMMYFUNCTION("""COMPUTED_VALUE"""),1498490.0)</f>
        <v>1498490</v>
      </c>
    </row>
    <row r="113">
      <c r="A113" s="2">
        <f>IFERROR(__xludf.DUMMYFUNCTION("""COMPUTED_VALUE"""),44511.66666666667)</f>
        <v>44511.66667</v>
      </c>
      <c r="B113" s="1">
        <f>IFERROR(__xludf.DUMMYFUNCTION("""COMPUTED_VALUE"""),146.49)</f>
        <v>146.49</v>
      </c>
      <c r="C113" s="1">
        <f>IFERROR(__xludf.DUMMYFUNCTION("""COMPUTED_VALUE"""),147.54)</f>
        <v>147.54</v>
      </c>
      <c r="D113" s="1">
        <f>IFERROR(__xludf.DUMMYFUNCTION("""COMPUTED_VALUE"""),145.6)</f>
        <v>145.6</v>
      </c>
      <c r="E113" s="1">
        <f>IFERROR(__xludf.DUMMYFUNCTION("""COMPUTED_VALUE"""),145.77)</f>
        <v>145.77</v>
      </c>
      <c r="F113" s="1">
        <f>IFERROR(__xludf.DUMMYFUNCTION("""COMPUTED_VALUE"""),825874.0)</f>
        <v>825874</v>
      </c>
    </row>
    <row r="114">
      <c r="A114" s="2">
        <f>IFERROR(__xludf.DUMMYFUNCTION("""COMPUTED_VALUE"""),44512.66666666667)</f>
        <v>44512.66667</v>
      </c>
      <c r="B114" s="1">
        <f>IFERROR(__xludf.DUMMYFUNCTION("""COMPUTED_VALUE"""),146.62)</f>
        <v>146.62</v>
      </c>
      <c r="C114" s="1">
        <f>IFERROR(__xludf.DUMMYFUNCTION("""COMPUTED_VALUE"""),148.85)</f>
        <v>148.85</v>
      </c>
      <c r="D114" s="1">
        <f>IFERROR(__xludf.DUMMYFUNCTION("""COMPUTED_VALUE"""),145.41)</f>
        <v>145.41</v>
      </c>
      <c r="E114" s="1">
        <f>IFERROR(__xludf.DUMMYFUNCTION("""COMPUTED_VALUE"""),148.68)</f>
        <v>148.68</v>
      </c>
      <c r="F114" s="1">
        <f>IFERROR(__xludf.DUMMYFUNCTION("""COMPUTED_VALUE"""),1118000.0)</f>
        <v>1118000</v>
      </c>
    </row>
    <row r="115">
      <c r="A115" s="2">
        <f>IFERROR(__xludf.DUMMYFUNCTION("""COMPUTED_VALUE"""),44515.66666666667)</f>
        <v>44515.66667</v>
      </c>
      <c r="B115" s="1">
        <f>IFERROR(__xludf.DUMMYFUNCTION("""COMPUTED_VALUE"""),148.9)</f>
        <v>148.9</v>
      </c>
      <c r="C115" s="1">
        <f>IFERROR(__xludf.DUMMYFUNCTION("""COMPUTED_VALUE"""),149.55)</f>
        <v>149.55</v>
      </c>
      <c r="D115" s="1">
        <f>IFERROR(__xludf.DUMMYFUNCTION("""COMPUTED_VALUE"""),147.57)</f>
        <v>147.57</v>
      </c>
      <c r="E115" s="1">
        <f>IFERROR(__xludf.DUMMYFUNCTION("""COMPUTED_VALUE"""),148.45)</f>
        <v>148.45</v>
      </c>
      <c r="F115" s="1">
        <f>IFERROR(__xludf.DUMMYFUNCTION("""COMPUTED_VALUE"""),1175352.0)</f>
        <v>1175352</v>
      </c>
    </row>
    <row r="116">
      <c r="A116" s="2">
        <f>IFERROR(__xludf.DUMMYFUNCTION("""COMPUTED_VALUE"""),44516.66666666667)</f>
        <v>44516.66667</v>
      </c>
      <c r="B116" s="1">
        <f>IFERROR(__xludf.DUMMYFUNCTION("""COMPUTED_VALUE"""),148.15)</f>
        <v>148.15</v>
      </c>
      <c r="C116" s="1">
        <f>IFERROR(__xludf.DUMMYFUNCTION("""COMPUTED_VALUE"""),148.76)</f>
        <v>148.76</v>
      </c>
      <c r="D116" s="1">
        <f>IFERROR(__xludf.DUMMYFUNCTION("""COMPUTED_VALUE"""),147.31)</f>
        <v>147.31</v>
      </c>
      <c r="E116" s="1">
        <f>IFERROR(__xludf.DUMMYFUNCTION("""COMPUTED_VALUE"""),147.88)</f>
        <v>147.88</v>
      </c>
      <c r="F116" s="1">
        <f>IFERROR(__xludf.DUMMYFUNCTION("""COMPUTED_VALUE"""),945200.0)</f>
        <v>945200</v>
      </c>
    </row>
    <row r="117">
      <c r="A117" s="2">
        <f>IFERROR(__xludf.DUMMYFUNCTION("""COMPUTED_VALUE"""),44517.66666666667)</f>
        <v>44517.66667</v>
      </c>
      <c r="B117" s="1">
        <f>IFERROR(__xludf.DUMMYFUNCTION("""COMPUTED_VALUE"""),148.03)</f>
        <v>148.03</v>
      </c>
      <c r="C117" s="1">
        <f>IFERROR(__xludf.DUMMYFUNCTION("""COMPUTED_VALUE"""),148.56)</f>
        <v>148.56</v>
      </c>
      <c r="D117" s="1">
        <f>IFERROR(__xludf.DUMMYFUNCTION("""COMPUTED_VALUE"""),147.24)</f>
        <v>147.24</v>
      </c>
      <c r="E117" s="1">
        <f>IFERROR(__xludf.DUMMYFUNCTION("""COMPUTED_VALUE"""),148.05)</f>
        <v>148.05</v>
      </c>
      <c r="F117" s="1">
        <f>IFERROR(__xludf.DUMMYFUNCTION("""COMPUTED_VALUE"""),979975.0)</f>
        <v>979975</v>
      </c>
    </row>
    <row r="118">
      <c r="A118" s="2">
        <f>IFERROR(__xludf.DUMMYFUNCTION("""COMPUTED_VALUE"""),44518.66666666667)</f>
        <v>44518.66667</v>
      </c>
      <c r="B118" s="1">
        <f>IFERROR(__xludf.DUMMYFUNCTION("""COMPUTED_VALUE"""),148.24)</f>
        <v>148.24</v>
      </c>
      <c r="C118" s="1">
        <f>IFERROR(__xludf.DUMMYFUNCTION("""COMPUTED_VALUE"""),150.58)</f>
        <v>150.58</v>
      </c>
      <c r="D118" s="1">
        <f>IFERROR(__xludf.DUMMYFUNCTION("""COMPUTED_VALUE"""),147.88)</f>
        <v>147.88</v>
      </c>
      <c r="E118" s="1">
        <f>IFERROR(__xludf.DUMMYFUNCTION("""COMPUTED_VALUE"""),149.84)</f>
        <v>149.84</v>
      </c>
      <c r="F118" s="1">
        <f>IFERROR(__xludf.DUMMYFUNCTION("""COMPUTED_VALUE"""),1781411.0)</f>
        <v>1781411</v>
      </c>
    </row>
    <row r="119">
      <c r="A119" s="2">
        <f>IFERROR(__xludf.DUMMYFUNCTION("""COMPUTED_VALUE"""),44519.66666666667)</f>
        <v>44519.66667</v>
      </c>
      <c r="B119" s="1">
        <f>IFERROR(__xludf.DUMMYFUNCTION("""COMPUTED_VALUE"""),149.98)</f>
        <v>149.98</v>
      </c>
      <c r="C119" s="1">
        <f>IFERROR(__xludf.DUMMYFUNCTION("""COMPUTED_VALUE"""),150.97)</f>
        <v>150.97</v>
      </c>
      <c r="D119" s="1">
        <f>IFERROR(__xludf.DUMMYFUNCTION("""COMPUTED_VALUE"""),148.9)</f>
        <v>148.9</v>
      </c>
      <c r="E119" s="1">
        <f>IFERROR(__xludf.DUMMYFUNCTION("""COMPUTED_VALUE"""),148.93)</f>
        <v>148.93</v>
      </c>
      <c r="F119" s="1">
        <f>IFERROR(__xludf.DUMMYFUNCTION("""COMPUTED_VALUE"""),1684969.0)</f>
        <v>1684969</v>
      </c>
    </row>
    <row r="120">
      <c r="A120" s="2">
        <f>IFERROR(__xludf.DUMMYFUNCTION("""COMPUTED_VALUE"""),44522.66666666667)</f>
        <v>44522.66667</v>
      </c>
      <c r="B120" s="1">
        <f>IFERROR(__xludf.DUMMYFUNCTION("""COMPUTED_VALUE"""),149.33)</f>
        <v>149.33</v>
      </c>
      <c r="C120" s="1">
        <f>IFERROR(__xludf.DUMMYFUNCTION("""COMPUTED_VALUE"""),149.83)</f>
        <v>149.83</v>
      </c>
      <c r="D120" s="1">
        <f>IFERROR(__xludf.DUMMYFUNCTION("""COMPUTED_VALUE"""),146.15)</f>
        <v>146.15</v>
      </c>
      <c r="E120" s="1">
        <f>IFERROR(__xludf.DUMMYFUNCTION("""COMPUTED_VALUE"""),146.3)</f>
        <v>146.3</v>
      </c>
      <c r="F120" s="1">
        <f>IFERROR(__xludf.DUMMYFUNCTION("""COMPUTED_VALUE"""),1531460.0)</f>
        <v>1531460</v>
      </c>
    </row>
    <row r="121">
      <c r="A121" s="2">
        <f>IFERROR(__xludf.DUMMYFUNCTION("""COMPUTED_VALUE"""),44523.66666666667)</f>
        <v>44523.66667</v>
      </c>
      <c r="B121" s="1">
        <f>IFERROR(__xludf.DUMMYFUNCTION("""COMPUTED_VALUE"""),146.15)</f>
        <v>146.15</v>
      </c>
      <c r="C121" s="1">
        <f>IFERROR(__xludf.DUMMYFUNCTION("""COMPUTED_VALUE"""),146.66)</f>
        <v>146.66</v>
      </c>
      <c r="D121" s="1">
        <f>IFERROR(__xludf.DUMMYFUNCTION("""COMPUTED_VALUE"""),144.12)</f>
        <v>144.12</v>
      </c>
      <c r="E121" s="1">
        <f>IFERROR(__xludf.DUMMYFUNCTION("""COMPUTED_VALUE"""),145.78)</f>
        <v>145.78</v>
      </c>
      <c r="F121" s="1">
        <f>IFERROR(__xludf.DUMMYFUNCTION("""COMPUTED_VALUE"""),1361558.0)</f>
        <v>1361558</v>
      </c>
    </row>
    <row r="122">
      <c r="A122" s="2">
        <f>IFERROR(__xludf.DUMMYFUNCTION("""COMPUTED_VALUE"""),44524.66666666667)</f>
        <v>44524.66667</v>
      </c>
      <c r="B122" s="1">
        <f>IFERROR(__xludf.DUMMYFUNCTION("""COMPUTED_VALUE"""),145.47)</f>
        <v>145.47</v>
      </c>
      <c r="C122" s="1">
        <f>IFERROR(__xludf.DUMMYFUNCTION("""COMPUTED_VALUE"""),146.25)</f>
        <v>146.25</v>
      </c>
      <c r="D122" s="1">
        <f>IFERROR(__xludf.DUMMYFUNCTION("""COMPUTED_VALUE"""),144.37)</f>
        <v>144.37</v>
      </c>
      <c r="E122" s="1">
        <f>IFERROR(__xludf.DUMMYFUNCTION("""COMPUTED_VALUE"""),146.12)</f>
        <v>146.12</v>
      </c>
      <c r="F122" s="1">
        <f>IFERROR(__xludf.DUMMYFUNCTION("""COMPUTED_VALUE"""),902007.0)</f>
        <v>902007</v>
      </c>
    </row>
    <row r="123">
      <c r="A123" s="2">
        <f>IFERROR(__xludf.DUMMYFUNCTION("""COMPUTED_VALUE"""),44526.54166666667)</f>
        <v>44526.54167</v>
      </c>
      <c r="B123" s="1">
        <f>IFERROR(__xludf.DUMMYFUNCTION("""COMPUTED_VALUE"""),144.35)</f>
        <v>144.35</v>
      </c>
      <c r="C123" s="1">
        <f>IFERROR(__xludf.DUMMYFUNCTION("""COMPUTED_VALUE"""),144.56)</f>
        <v>144.56</v>
      </c>
      <c r="D123" s="1">
        <f>IFERROR(__xludf.DUMMYFUNCTION("""COMPUTED_VALUE"""),141.84)</f>
        <v>141.84</v>
      </c>
      <c r="E123" s="1">
        <f>IFERROR(__xludf.DUMMYFUNCTION("""COMPUTED_VALUE"""),142.18)</f>
        <v>142.18</v>
      </c>
      <c r="F123" s="1">
        <f>IFERROR(__xludf.DUMMYFUNCTION("""COMPUTED_VALUE"""),1523462.0)</f>
        <v>1523462</v>
      </c>
    </row>
    <row r="124">
      <c r="A124" s="2">
        <f>IFERROR(__xludf.DUMMYFUNCTION("""COMPUTED_VALUE"""),44529.66666666667)</f>
        <v>44529.66667</v>
      </c>
      <c r="B124" s="1">
        <f>IFERROR(__xludf.DUMMYFUNCTION("""COMPUTED_VALUE"""),144.0)</f>
        <v>144</v>
      </c>
      <c r="C124" s="1">
        <f>IFERROR(__xludf.DUMMYFUNCTION("""COMPUTED_VALUE"""),146.3)</f>
        <v>146.3</v>
      </c>
      <c r="D124" s="1">
        <f>IFERROR(__xludf.DUMMYFUNCTION("""COMPUTED_VALUE"""),143.89)</f>
        <v>143.89</v>
      </c>
      <c r="E124" s="1">
        <f>IFERROR(__xludf.DUMMYFUNCTION("""COMPUTED_VALUE"""),145.53)</f>
        <v>145.53</v>
      </c>
      <c r="F124" s="1">
        <f>IFERROR(__xludf.DUMMYFUNCTION("""COMPUTED_VALUE"""),1629752.0)</f>
        <v>1629752</v>
      </c>
    </row>
    <row r="125">
      <c r="A125" s="2">
        <f>IFERROR(__xludf.DUMMYFUNCTION("""COMPUTED_VALUE"""),44530.66666666667)</f>
        <v>44530.66667</v>
      </c>
      <c r="B125" s="1">
        <f>IFERROR(__xludf.DUMMYFUNCTION("""COMPUTED_VALUE"""),145.01)</f>
        <v>145.01</v>
      </c>
      <c r="C125" s="1">
        <f>IFERROR(__xludf.DUMMYFUNCTION("""COMPUTED_VALUE"""),146.0)</f>
        <v>146</v>
      </c>
      <c r="D125" s="1">
        <f>IFERROR(__xludf.DUMMYFUNCTION("""COMPUTED_VALUE"""),141.6)</f>
        <v>141.6</v>
      </c>
      <c r="E125" s="1">
        <f>IFERROR(__xludf.DUMMYFUNCTION("""COMPUTED_VALUE"""),141.9)</f>
        <v>141.9</v>
      </c>
      <c r="F125" s="1">
        <f>IFERROR(__xludf.DUMMYFUNCTION("""COMPUTED_VALUE"""),2103361.0)</f>
        <v>2103361</v>
      </c>
    </row>
    <row r="126">
      <c r="A126" s="2">
        <f>IFERROR(__xludf.DUMMYFUNCTION("""COMPUTED_VALUE"""),44531.66666666667)</f>
        <v>44531.66667</v>
      </c>
      <c r="B126" s="1">
        <f>IFERROR(__xludf.DUMMYFUNCTION("""COMPUTED_VALUE"""),144.0)</f>
        <v>144</v>
      </c>
      <c r="C126" s="1">
        <f>IFERROR(__xludf.DUMMYFUNCTION("""COMPUTED_VALUE"""),145.95)</f>
        <v>145.95</v>
      </c>
      <c r="D126" s="1">
        <f>IFERROR(__xludf.DUMMYFUNCTION("""COMPUTED_VALUE"""),140.91)</f>
        <v>140.91</v>
      </c>
      <c r="E126" s="1">
        <f>IFERROR(__xludf.DUMMYFUNCTION("""COMPUTED_VALUE"""),141.05)</f>
        <v>141.05</v>
      </c>
      <c r="F126" s="1">
        <f>IFERROR(__xludf.DUMMYFUNCTION("""COMPUTED_VALUE"""),1702762.0)</f>
        <v>1702762</v>
      </c>
    </row>
    <row r="127">
      <c r="A127" s="2">
        <f>IFERROR(__xludf.DUMMYFUNCTION("""COMPUTED_VALUE"""),44532.66666666667)</f>
        <v>44532.66667</v>
      </c>
      <c r="B127" s="1">
        <f>IFERROR(__xludf.DUMMYFUNCTION("""COMPUTED_VALUE"""),141.25)</f>
        <v>141.25</v>
      </c>
      <c r="C127" s="1">
        <f>IFERROR(__xludf.DUMMYFUNCTION("""COMPUTED_VALUE"""),143.86)</f>
        <v>143.86</v>
      </c>
      <c r="D127" s="1">
        <f>IFERROR(__xludf.DUMMYFUNCTION("""COMPUTED_VALUE"""),140.21)</f>
        <v>140.21</v>
      </c>
      <c r="E127" s="1">
        <f>IFERROR(__xludf.DUMMYFUNCTION("""COMPUTED_VALUE"""),142.97)</f>
        <v>142.97</v>
      </c>
      <c r="F127" s="1">
        <f>IFERROR(__xludf.DUMMYFUNCTION("""COMPUTED_VALUE"""),1459742.0)</f>
        <v>1459742</v>
      </c>
    </row>
    <row r="128">
      <c r="A128" s="2">
        <f>IFERROR(__xludf.DUMMYFUNCTION("""COMPUTED_VALUE"""),44533.66666666667)</f>
        <v>44533.66667</v>
      </c>
      <c r="B128" s="1">
        <f>IFERROR(__xludf.DUMMYFUNCTION("""COMPUTED_VALUE"""),143.68)</f>
        <v>143.68</v>
      </c>
      <c r="C128" s="1">
        <f>IFERROR(__xludf.DUMMYFUNCTION("""COMPUTED_VALUE"""),144.4)</f>
        <v>144.4</v>
      </c>
      <c r="D128" s="1">
        <f>IFERROR(__xludf.DUMMYFUNCTION("""COMPUTED_VALUE"""),140.3)</f>
        <v>140.3</v>
      </c>
      <c r="E128" s="1">
        <f>IFERROR(__xludf.DUMMYFUNCTION("""COMPUTED_VALUE"""),142.0)</f>
        <v>142</v>
      </c>
      <c r="F128" s="1">
        <f>IFERROR(__xludf.DUMMYFUNCTION("""COMPUTED_VALUE"""),2061508.0)</f>
        <v>2061508</v>
      </c>
    </row>
    <row r="129">
      <c r="A129" s="2">
        <f>IFERROR(__xludf.DUMMYFUNCTION("""COMPUTED_VALUE"""),44536.66666666667)</f>
        <v>44536.66667</v>
      </c>
      <c r="B129" s="1">
        <f>IFERROR(__xludf.DUMMYFUNCTION("""COMPUTED_VALUE"""),143.04)</f>
        <v>143.04</v>
      </c>
      <c r="C129" s="1">
        <f>IFERROR(__xludf.DUMMYFUNCTION("""COMPUTED_VALUE"""),143.85)</f>
        <v>143.85</v>
      </c>
      <c r="D129" s="1">
        <f>IFERROR(__xludf.DUMMYFUNCTION("""COMPUTED_VALUE"""),140.15)</f>
        <v>140.15</v>
      </c>
      <c r="E129" s="1">
        <f>IFERROR(__xludf.DUMMYFUNCTION("""COMPUTED_VALUE"""),143.16)</f>
        <v>143.16</v>
      </c>
      <c r="F129" s="1">
        <f>IFERROR(__xludf.DUMMYFUNCTION("""COMPUTED_VALUE"""),1530905.0)</f>
        <v>1530905</v>
      </c>
    </row>
    <row r="130">
      <c r="A130" s="2">
        <f>IFERROR(__xludf.DUMMYFUNCTION("""COMPUTED_VALUE"""),44537.66666666667)</f>
        <v>44537.66667</v>
      </c>
      <c r="B130" s="1">
        <f>IFERROR(__xludf.DUMMYFUNCTION("""COMPUTED_VALUE"""),145.6)</f>
        <v>145.6</v>
      </c>
      <c r="C130" s="1">
        <f>IFERROR(__xludf.DUMMYFUNCTION("""COMPUTED_VALUE"""),147.53)</f>
        <v>147.53</v>
      </c>
      <c r="D130" s="1">
        <f>IFERROR(__xludf.DUMMYFUNCTION("""COMPUTED_VALUE"""),145.23)</f>
        <v>145.23</v>
      </c>
      <c r="E130" s="1">
        <f>IFERROR(__xludf.DUMMYFUNCTION("""COMPUTED_VALUE"""),147.27)</f>
        <v>147.27</v>
      </c>
      <c r="F130" s="1">
        <f>IFERROR(__xludf.DUMMYFUNCTION("""COMPUTED_VALUE"""),1612015.0)</f>
        <v>1612015</v>
      </c>
    </row>
    <row r="131">
      <c r="A131" s="2">
        <f>IFERROR(__xludf.DUMMYFUNCTION("""COMPUTED_VALUE"""),44538.66666666667)</f>
        <v>44538.66667</v>
      </c>
      <c r="B131" s="1">
        <f>IFERROR(__xludf.DUMMYFUNCTION("""COMPUTED_VALUE"""),147.6)</f>
        <v>147.6</v>
      </c>
      <c r="C131" s="1">
        <f>IFERROR(__xludf.DUMMYFUNCTION("""COMPUTED_VALUE"""),148.39)</f>
        <v>148.39</v>
      </c>
      <c r="D131" s="1">
        <f>IFERROR(__xludf.DUMMYFUNCTION("""COMPUTED_VALUE"""),146.41)</f>
        <v>146.41</v>
      </c>
      <c r="E131" s="1">
        <f>IFERROR(__xludf.DUMMYFUNCTION("""COMPUTED_VALUE"""),148.19)</f>
        <v>148.19</v>
      </c>
      <c r="F131" s="1">
        <f>IFERROR(__xludf.DUMMYFUNCTION("""COMPUTED_VALUE"""),1213516.0)</f>
        <v>1213516</v>
      </c>
    </row>
    <row r="132">
      <c r="A132" s="2">
        <f>IFERROR(__xludf.DUMMYFUNCTION("""COMPUTED_VALUE"""),44539.66666666667)</f>
        <v>44539.66667</v>
      </c>
      <c r="B132" s="1">
        <f>IFERROR(__xludf.DUMMYFUNCTION("""COMPUTED_VALUE"""),147.59)</f>
        <v>147.59</v>
      </c>
      <c r="C132" s="1">
        <f>IFERROR(__xludf.DUMMYFUNCTION("""COMPUTED_VALUE"""),149.1)</f>
        <v>149.1</v>
      </c>
      <c r="D132" s="1">
        <f>IFERROR(__xludf.DUMMYFUNCTION("""COMPUTED_VALUE"""),147.12)</f>
        <v>147.12</v>
      </c>
      <c r="E132" s="1">
        <f>IFERROR(__xludf.DUMMYFUNCTION("""COMPUTED_VALUE"""),147.64)</f>
        <v>147.64</v>
      </c>
      <c r="F132" s="1">
        <f>IFERROR(__xludf.DUMMYFUNCTION("""COMPUTED_VALUE"""),1163486.0)</f>
        <v>1163486</v>
      </c>
    </row>
    <row r="133">
      <c r="A133" s="2">
        <f>IFERROR(__xludf.DUMMYFUNCTION("""COMPUTED_VALUE"""),44540.66666666667)</f>
        <v>44540.66667</v>
      </c>
      <c r="B133" s="1">
        <f>IFERROR(__xludf.DUMMYFUNCTION("""COMPUTED_VALUE"""),148.7)</f>
        <v>148.7</v>
      </c>
      <c r="C133" s="1">
        <f>IFERROR(__xludf.DUMMYFUNCTION("""COMPUTED_VALUE"""),148.98)</f>
        <v>148.98</v>
      </c>
      <c r="D133" s="1">
        <f>IFERROR(__xludf.DUMMYFUNCTION("""COMPUTED_VALUE"""),146.7)</f>
        <v>146.7</v>
      </c>
      <c r="E133" s="1">
        <f>IFERROR(__xludf.DUMMYFUNCTION("""COMPUTED_VALUE"""),148.0)</f>
        <v>148</v>
      </c>
      <c r="F133" s="1">
        <f>IFERROR(__xludf.DUMMYFUNCTION("""COMPUTED_VALUE"""),1223138.0)</f>
        <v>1223138</v>
      </c>
    </row>
    <row r="134">
      <c r="A134" s="2">
        <f>IFERROR(__xludf.DUMMYFUNCTION("""COMPUTED_VALUE"""),44543.66666666667)</f>
        <v>44543.66667</v>
      </c>
      <c r="B134" s="1">
        <f>IFERROR(__xludf.DUMMYFUNCTION("""COMPUTED_VALUE"""),147.78)</f>
        <v>147.78</v>
      </c>
      <c r="C134" s="1">
        <f>IFERROR(__xludf.DUMMYFUNCTION("""COMPUTED_VALUE"""),147.97)</f>
        <v>147.97</v>
      </c>
      <c r="D134" s="1">
        <f>IFERROR(__xludf.DUMMYFUNCTION("""COMPUTED_VALUE"""),145.52)</f>
        <v>145.52</v>
      </c>
      <c r="E134" s="1">
        <f>IFERROR(__xludf.DUMMYFUNCTION("""COMPUTED_VALUE"""),145.83)</f>
        <v>145.83</v>
      </c>
      <c r="F134" s="1">
        <f>IFERROR(__xludf.DUMMYFUNCTION("""COMPUTED_VALUE"""),1353470.0)</f>
        <v>1353470</v>
      </c>
    </row>
    <row r="135">
      <c r="A135" s="2">
        <f>IFERROR(__xludf.DUMMYFUNCTION("""COMPUTED_VALUE"""),44544.66666666667)</f>
        <v>44544.66667</v>
      </c>
      <c r="B135" s="1">
        <f>IFERROR(__xludf.DUMMYFUNCTION("""COMPUTED_VALUE"""),143.97)</f>
        <v>143.97</v>
      </c>
      <c r="C135" s="1">
        <f>IFERROR(__xludf.DUMMYFUNCTION("""COMPUTED_VALUE"""),144.48)</f>
        <v>144.48</v>
      </c>
      <c r="D135" s="1">
        <f>IFERROR(__xludf.DUMMYFUNCTION("""COMPUTED_VALUE"""),141.21)</f>
        <v>141.21</v>
      </c>
      <c r="E135" s="1">
        <f>IFERROR(__xludf.DUMMYFUNCTION("""COMPUTED_VALUE"""),143.91)</f>
        <v>143.91</v>
      </c>
      <c r="F135" s="1">
        <f>IFERROR(__xludf.DUMMYFUNCTION("""COMPUTED_VALUE"""),1922312.0)</f>
        <v>1922312</v>
      </c>
    </row>
    <row r="136">
      <c r="A136" s="2">
        <f>IFERROR(__xludf.DUMMYFUNCTION("""COMPUTED_VALUE"""),44545.66666666667)</f>
        <v>44545.66667</v>
      </c>
      <c r="B136" s="1">
        <f>IFERROR(__xludf.DUMMYFUNCTION("""COMPUTED_VALUE"""),143.41)</f>
        <v>143.41</v>
      </c>
      <c r="C136" s="1">
        <f>IFERROR(__xludf.DUMMYFUNCTION("""COMPUTED_VALUE"""),146.72)</f>
        <v>146.72</v>
      </c>
      <c r="D136" s="1">
        <f>IFERROR(__xludf.DUMMYFUNCTION("""COMPUTED_VALUE"""),141.68)</f>
        <v>141.68</v>
      </c>
      <c r="E136" s="1">
        <f>IFERROR(__xludf.DUMMYFUNCTION("""COMPUTED_VALUE"""),146.44)</f>
        <v>146.44</v>
      </c>
      <c r="F136" s="1">
        <f>IFERROR(__xludf.DUMMYFUNCTION("""COMPUTED_VALUE"""),1818523.0)</f>
        <v>1818523</v>
      </c>
    </row>
    <row r="137">
      <c r="A137" s="2">
        <f>IFERROR(__xludf.DUMMYFUNCTION("""COMPUTED_VALUE"""),44546.66666666667)</f>
        <v>44546.66667</v>
      </c>
      <c r="B137" s="1">
        <f>IFERROR(__xludf.DUMMYFUNCTION("""COMPUTED_VALUE"""),147.17)</f>
        <v>147.17</v>
      </c>
      <c r="C137" s="1">
        <f>IFERROR(__xludf.DUMMYFUNCTION("""COMPUTED_VALUE"""),147.68)</f>
        <v>147.68</v>
      </c>
      <c r="D137" s="1">
        <f>IFERROR(__xludf.DUMMYFUNCTION("""COMPUTED_VALUE"""),143.61)</f>
        <v>143.61</v>
      </c>
      <c r="E137" s="1">
        <f>IFERROR(__xludf.DUMMYFUNCTION("""COMPUTED_VALUE"""),144.45)</f>
        <v>144.45</v>
      </c>
      <c r="F137" s="1">
        <f>IFERROR(__xludf.DUMMYFUNCTION("""COMPUTED_VALUE"""),1682519.0)</f>
        <v>1682519</v>
      </c>
    </row>
    <row r="138">
      <c r="A138" s="2">
        <f>IFERROR(__xludf.DUMMYFUNCTION("""COMPUTED_VALUE"""),44547.66666666667)</f>
        <v>44547.66667</v>
      </c>
      <c r="B138" s="1">
        <f>IFERROR(__xludf.DUMMYFUNCTION("""COMPUTED_VALUE"""),142.5)</f>
        <v>142.5</v>
      </c>
      <c r="C138" s="1">
        <f>IFERROR(__xludf.DUMMYFUNCTION("""COMPUTED_VALUE"""),143.83)</f>
        <v>143.83</v>
      </c>
      <c r="D138" s="1">
        <f>IFERROR(__xludf.DUMMYFUNCTION("""COMPUTED_VALUE"""),141.3)</f>
        <v>141.3</v>
      </c>
      <c r="E138" s="1">
        <f>IFERROR(__xludf.DUMMYFUNCTION("""COMPUTED_VALUE"""),141.73)</f>
        <v>141.73</v>
      </c>
      <c r="F138" s="1">
        <f>IFERROR(__xludf.DUMMYFUNCTION("""COMPUTED_VALUE"""),2550894.0)</f>
        <v>2550894</v>
      </c>
    </row>
    <row r="139">
      <c r="A139" s="2">
        <f>IFERROR(__xludf.DUMMYFUNCTION("""COMPUTED_VALUE"""),44550.66666666667)</f>
        <v>44550.66667</v>
      </c>
      <c r="B139" s="1">
        <f>IFERROR(__xludf.DUMMYFUNCTION("""COMPUTED_VALUE"""),140.0)</f>
        <v>140</v>
      </c>
      <c r="C139" s="1">
        <f>IFERROR(__xludf.DUMMYFUNCTION("""COMPUTED_VALUE"""),141.77)</f>
        <v>141.77</v>
      </c>
      <c r="D139" s="1">
        <f>IFERROR(__xludf.DUMMYFUNCTION("""COMPUTED_VALUE"""),139.32)</f>
        <v>139.32</v>
      </c>
      <c r="E139" s="1">
        <f>IFERROR(__xludf.DUMMYFUNCTION("""COMPUTED_VALUE"""),141.61)</f>
        <v>141.61</v>
      </c>
      <c r="F139" s="1">
        <f>IFERROR(__xludf.DUMMYFUNCTION("""COMPUTED_VALUE"""),1359618.0)</f>
        <v>1359618</v>
      </c>
    </row>
    <row r="140">
      <c r="A140" s="2">
        <f>IFERROR(__xludf.DUMMYFUNCTION("""COMPUTED_VALUE"""),44551.66666666667)</f>
        <v>44551.66667</v>
      </c>
      <c r="B140" s="1">
        <f>IFERROR(__xludf.DUMMYFUNCTION("""COMPUTED_VALUE"""),142.05)</f>
        <v>142.05</v>
      </c>
      <c r="C140" s="1">
        <f>IFERROR(__xludf.DUMMYFUNCTION("""COMPUTED_VALUE"""),143.87)</f>
        <v>143.87</v>
      </c>
      <c r="D140" s="1">
        <f>IFERROR(__xludf.DUMMYFUNCTION("""COMPUTED_VALUE"""),140.5)</f>
        <v>140.5</v>
      </c>
      <c r="E140" s="1">
        <f>IFERROR(__xludf.DUMMYFUNCTION("""COMPUTED_VALUE"""),143.47)</f>
        <v>143.47</v>
      </c>
      <c r="F140" s="1">
        <f>IFERROR(__xludf.DUMMYFUNCTION("""COMPUTED_VALUE"""),1437768.0)</f>
        <v>1437768</v>
      </c>
    </row>
    <row r="141">
      <c r="A141" s="2">
        <f>IFERROR(__xludf.DUMMYFUNCTION("""COMPUTED_VALUE"""),44552.66666666667)</f>
        <v>44552.66667</v>
      </c>
      <c r="B141" s="1">
        <f>IFERROR(__xludf.DUMMYFUNCTION("""COMPUTED_VALUE"""),143.07)</f>
        <v>143.07</v>
      </c>
      <c r="C141" s="1">
        <f>IFERROR(__xludf.DUMMYFUNCTION("""COMPUTED_VALUE"""),146.5)</f>
        <v>146.5</v>
      </c>
      <c r="D141" s="1">
        <f>IFERROR(__xludf.DUMMYFUNCTION("""COMPUTED_VALUE"""),143.07)</f>
        <v>143.07</v>
      </c>
      <c r="E141" s="1">
        <f>IFERROR(__xludf.DUMMYFUNCTION("""COMPUTED_VALUE"""),146.42)</f>
        <v>146.42</v>
      </c>
      <c r="F141" s="1">
        <f>IFERROR(__xludf.DUMMYFUNCTION("""COMPUTED_VALUE"""),1316119.0)</f>
        <v>1316119</v>
      </c>
    </row>
    <row r="142">
      <c r="A142" s="2">
        <f>IFERROR(__xludf.DUMMYFUNCTION("""COMPUTED_VALUE"""),44553.66666666667)</f>
        <v>44553.66667</v>
      </c>
      <c r="B142" s="1">
        <f>IFERROR(__xludf.DUMMYFUNCTION("""COMPUTED_VALUE"""),146.5)</f>
        <v>146.5</v>
      </c>
      <c r="C142" s="1">
        <f>IFERROR(__xludf.DUMMYFUNCTION("""COMPUTED_VALUE"""),148.24)</f>
        <v>148.24</v>
      </c>
      <c r="D142" s="1">
        <f>IFERROR(__xludf.DUMMYFUNCTION("""COMPUTED_VALUE"""),146.45)</f>
        <v>146.45</v>
      </c>
      <c r="E142" s="1">
        <f>IFERROR(__xludf.DUMMYFUNCTION("""COMPUTED_VALUE"""),146.92)</f>
        <v>146.92</v>
      </c>
      <c r="F142" s="1">
        <f>IFERROR(__xludf.DUMMYFUNCTION("""COMPUTED_VALUE"""),1319172.0)</f>
        <v>1319172</v>
      </c>
    </row>
    <row r="143">
      <c r="A143" s="2">
        <f>IFERROR(__xludf.DUMMYFUNCTION("""COMPUTED_VALUE"""),44557.66666666667)</f>
        <v>44557.66667</v>
      </c>
      <c r="B143" s="1">
        <f>IFERROR(__xludf.DUMMYFUNCTION("""COMPUTED_VALUE"""),147.26)</f>
        <v>147.26</v>
      </c>
      <c r="C143" s="1">
        <f>IFERROR(__xludf.DUMMYFUNCTION("""COMPUTED_VALUE"""),148.34)</f>
        <v>148.34</v>
      </c>
      <c r="D143" s="1">
        <f>IFERROR(__xludf.DUMMYFUNCTION("""COMPUTED_VALUE"""),147.17)</f>
        <v>147.17</v>
      </c>
      <c r="E143" s="1">
        <f>IFERROR(__xludf.DUMMYFUNCTION("""COMPUTED_VALUE"""),147.91)</f>
        <v>147.91</v>
      </c>
      <c r="F143" s="1">
        <f>IFERROR(__xludf.DUMMYFUNCTION("""COMPUTED_VALUE"""),799223.0)</f>
        <v>799223</v>
      </c>
    </row>
    <row r="144">
      <c r="A144" s="2">
        <f>IFERROR(__xludf.DUMMYFUNCTION("""COMPUTED_VALUE"""),44558.66666666667)</f>
        <v>44558.66667</v>
      </c>
      <c r="B144" s="1">
        <f>IFERROR(__xludf.DUMMYFUNCTION("""COMPUTED_VALUE"""),148.24)</f>
        <v>148.24</v>
      </c>
      <c r="C144" s="1">
        <f>IFERROR(__xludf.DUMMYFUNCTION("""COMPUTED_VALUE"""),148.3)</f>
        <v>148.3</v>
      </c>
      <c r="D144" s="1">
        <f>IFERROR(__xludf.DUMMYFUNCTION("""COMPUTED_VALUE"""),146.05)</f>
        <v>146.05</v>
      </c>
      <c r="E144" s="1">
        <f>IFERROR(__xludf.DUMMYFUNCTION("""COMPUTED_VALUE"""),146.69)</f>
        <v>146.69</v>
      </c>
      <c r="F144" s="1">
        <f>IFERROR(__xludf.DUMMYFUNCTION("""COMPUTED_VALUE"""),912715.0)</f>
        <v>912715</v>
      </c>
    </row>
    <row r="145">
      <c r="A145" s="2">
        <f>IFERROR(__xludf.DUMMYFUNCTION("""COMPUTED_VALUE"""),44559.66666666667)</f>
        <v>44559.66667</v>
      </c>
      <c r="B145" s="1">
        <f>IFERROR(__xludf.DUMMYFUNCTION("""COMPUTED_VALUE"""),146.64)</f>
        <v>146.64</v>
      </c>
      <c r="C145" s="1">
        <f>IFERROR(__xludf.DUMMYFUNCTION("""COMPUTED_VALUE"""),147.42)</f>
        <v>147.42</v>
      </c>
      <c r="D145" s="1">
        <f>IFERROR(__xludf.DUMMYFUNCTION("""COMPUTED_VALUE"""),145.65)</f>
        <v>145.65</v>
      </c>
      <c r="E145" s="1">
        <f>IFERROR(__xludf.DUMMYFUNCTION("""COMPUTED_VALUE"""),146.66)</f>
        <v>146.66</v>
      </c>
      <c r="F145" s="1">
        <f>IFERROR(__xludf.DUMMYFUNCTION("""COMPUTED_VALUE"""),889373.0)</f>
        <v>889373</v>
      </c>
    </row>
    <row r="146">
      <c r="A146" s="2">
        <f>IFERROR(__xludf.DUMMYFUNCTION("""COMPUTED_VALUE"""),44560.66666666667)</f>
        <v>44560.66667</v>
      </c>
      <c r="B146" s="1">
        <f>IFERROR(__xludf.DUMMYFUNCTION("""COMPUTED_VALUE"""),146.69)</f>
        <v>146.69</v>
      </c>
      <c r="C146" s="1">
        <f>IFERROR(__xludf.DUMMYFUNCTION("""COMPUTED_VALUE"""),147.3)</f>
        <v>147.3</v>
      </c>
      <c r="D146" s="1">
        <f>IFERROR(__xludf.DUMMYFUNCTION("""COMPUTED_VALUE"""),145.99)</f>
        <v>145.99</v>
      </c>
      <c r="E146" s="1">
        <f>IFERROR(__xludf.DUMMYFUNCTION("""COMPUTED_VALUE"""),146.2)</f>
        <v>146.2</v>
      </c>
      <c r="F146" s="1">
        <f>IFERROR(__xludf.DUMMYFUNCTION("""COMPUTED_VALUE"""),784386.0)</f>
        <v>784386</v>
      </c>
    </row>
    <row r="147">
      <c r="A147" s="2">
        <f>IFERROR(__xludf.DUMMYFUNCTION("""COMPUTED_VALUE"""),44561.66666666667)</f>
        <v>44561.66667</v>
      </c>
      <c r="B147" s="1">
        <f>IFERROR(__xludf.DUMMYFUNCTION("""COMPUTED_VALUE"""),146.05)</f>
        <v>146.05</v>
      </c>
      <c r="C147" s="1">
        <f>IFERROR(__xludf.DUMMYFUNCTION("""COMPUTED_VALUE"""),146.7)</f>
        <v>146.7</v>
      </c>
      <c r="D147" s="1">
        <f>IFERROR(__xludf.DUMMYFUNCTION("""COMPUTED_VALUE"""),144.85)</f>
        <v>144.85</v>
      </c>
      <c r="E147" s="1">
        <f>IFERROR(__xludf.DUMMYFUNCTION("""COMPUTED_VALUE"""),144.85)</f>
        <v>144.85</v>
      </c>
      <c r="F147" s="1">
        <f>IFERROR(__xludf.DUMMYFUNCTION("""COMPUTED_VALUE"""),906759.0)</f>
        <v>906759</v>
      </c>
    </row>
    <row r="148">
      <c r="A148" s="2">
        <f>IFERROR(__xludf.DUMMYFUNCTION("""COMPUTED_VALUE"""),44564.66666666667)</f>
        <v>44564.66667</v>
      </c>
      <c r="B148" s="1">
        <f>IFERROR(__xludf.DUMMYFUNCTION("""COMPUTED_VALUE"""),145.06)</f>
        <v>145.06</v>
      </c>
      <c r="C148" s="1">
        <f>IFERROR(__xludf.DUMMYFUNCTION("""COMPUTED_VALUE"""),145.85)</f>
        <v>145.85</v>
      </c>
      <c r="D148" s="1">
        <f>IFERROR(__xludf.DUMMYFUNCTION("""COMPUTED_VALUE"""),143.71)</f>
        <v>143.71</v>
      </c>
      <c r="E148" s="1">
        <f>IFERROR(__xludf.DUMMYFUNCTION("""COMPUTED_VALUE"""),144.99)</f>
        <v>144.99</v>
      </c>
      <c r="F148" s="1">
        <f>IFERROR(__xludf.DUMMYFUNCTION("""COMPUTED_VALUE"""),1433947.0)</f>
        <v>1433947</v>
      </c>
    </row>
    <row r="149">
      <c r="A149" s="2">
        <f>IFERROR(__xludf.DUMMYFUNCTION("""COMPUTED_VALUE"""),44565.66666666667)</f>
        <v>44565.66667</v>
      </c>
      <c r="B149" s="1">
        <f>IFERROR(__xludf.DUMMYFUNCTION("""COMPUTED_VALUE"""),145.4)</f>
        <v>145.4</v>
      </c>
      <c r="C149" s="1">
        <f>IFERROR(__xludf.DUMMYFUNCTION("""COMPUTED_VALUE"""),146.48)</f>
        <v>146.48</v>
      </c>
      <c r="D149" s="1">
        <f>IFERROR(__xludf.DUMMYFUNCTION("""COMPUTED_VALUE"""),143.72)</f>
        <v>143.72</v>
      </c>
      <c r="E149" s="1">
        <f>IFERROR(__xludf.DUMMYFUNCTION("""COMPUTED_VALUE"""),144.4)</f>
        <v>144.4</v>
      </c>
      <c r="F149" s="1">
        <f>IFERROR(__xludf.DUMMYFUNCTION("""COMPUTED_VALUE"""),1419972.0)</f>
        <v>1419972</v>
      </c>
    </row>
    <row r="150">
      <c r="A150" s="2">
        <f>IFERROR(__xludf.DUMMYFUNCTION("""COMPUTED_VALUE"""),44566.66666666667)</f>
        <v>44566.66667</v>
      </c>
      <c r="B150" s="1">
        <f>IFERROR(__xludf.DUMMYFUNCTION("""COMPUTED_VALUE"""),144.42)</f>
        <v>144.42</v>
      </c>
      <c r="C150" s="1">
        <f>IFERROR(__xludf.DUMMYFUNCTION("""COMPUTED_VALUE"""),144.5)</f>
        <v>144.5</v>
      </c>
      <c r="D150" s="1">
        <f>IFERROR(__xludf.DUMMYFUNCTION("""COMPUTED_VALUE"""),137.69)</f>
        <v>137.69</v>
      </c>
      <c r="E150" s="1">
        <f>IFERROR(__xludf.DUMMYFUNCTION("""COMPUTED_VALUE"""),137.78)</f>
        <v>137.78</v>
      </c>
      <c r="F150" s="1">
        <f>IFERROR(__xludf.DUMMYFUNCTION("""COMPUTED_VALUE"""),2730914.0)</f>
        <v>2730914</v>
      </c>
    </row>
    <row r="151">
      <c r="A151" s="2">
        <f>IFERROR(__xludf.DUMMYFUNCTION("""COMPUTED_VALUE"""),44567.66666666667)</f>
        <v>44567.66667</v>
      </c>
      <c r="B151" s="1">
        <f>IFERROR(__xludf.DUMMYFUNCTION("""COMPUTED_VALUE"""),137.0)</f>
        <v>137</v>
      </c>
      <c r="C151" s="1">
        <f>IFERROR(__xludf.DUMMYFUNCTION("""COMPUTED_VALUE"""),139.94)</f>
        <v>139.94</v>
      </c>
      <c r="D151" s="1">
        <f>IFERROR(__xludf.DUMMYFUNCTION("""COMPUTED_VALUE"""),136.56)</f>
        <v>136.56</v>
      </c>
      <c r="E151" s="1">
        <f>IFERROR(__xludf.DUMMYFUNCTION("""COMPUTED_VALUE"""),137.75)</f>
        <v>137.75</v>
      </c>
      <c r="F151" s="1">
        <f>IFERROR(__xludf.DUMMYFUNCTION("""COMPUTED_VALUE"""),1867371.0)</f>
        <v>1867371</v>
      </c>
    </row>
    <row r="152">
      <c r="A152" s="2">
        <f>IFERROR(__xludf.DUMMYFUNCTION("""COMPUTED_VALUE"""),44568.66666666667)</f>
        <v>44568.66667</v>
      </c>
      <c r="B152" s="1">
        <f>IFERROR(__xludf.DUMMYFUNCTION("""COMPUTED_VALUE"""),138.15)</f>
        <v>138.15</v>
      </c>
      <c r="C152" s="1">
        <f>IFERROR(__xludf.DUMMYFUNCTION("""COMPUTED_VALUE"""),138.45)</f>
        <v>138.45</v>
      </c>
      <c r="D152" s="1">
        <f>IFERROR(__xludf.DUMMYFUNCTION("""COMPUTED_VALUE"""),135.77)</f>
        <v>135.77</v>
      </c>
      <c r="E152" s="1">
        <f>IFERROR(__xludf.DUMMYFUNCTION("""COMPUTED_VALUE"""),137.02)</f>
        <v>137.02</v>
      </c>
      <c r="F152" s="1">
        <f>IFERROR(__xludf.DUMMYFUNCTION("""COMPUTED_VALUE"""),1488028.0)</f>
        <v>1488028</v>
      </c>
    </row>
    <row r="153">
      <c r="A153" s="2">
        <f>IFERROR(__xludf.DUMMYFUNCTION("""COMPUTED_VALUE"""),44571.66666666667)</f>
        <v>44571.66667</v>
      </c>
      <c r="B153" s="1">
        <f>IFERROR(__xludf.DUMMYFUNCTION("""COMPUTED_VALUE"""),135.08)</f>
        <v>135.08</v>
      </c>
      <c r="C153" s="1">
        <f>IFERROR(__xludf.DUMMYFUNCTION("""COMPUTED_VALUE"""),138.82)</f>
        <v>138.82</v>
      </c>
      <c r="D153" s="1">
        <f>IFERROR(__xludf.DUMMYFUNCTION("""COMPUTED_VALUE"""),133.16)</f>
        <v>133.16</v>
      </c>
      <c r="E153" s="1">
        <f>IFERROR(__xludf.DUMMYFUNCTION("""COMPUTED_VALUE"""),138.67)</f>
        <v>138.67</v>
      </c>
      <c r="F153" s="1">
        <f>IFERROR(__xludf.DUMMYFUNCTION("""COMPUTED_VALUE"""),2220406.0)</f>
        <v>2220406</v>
      </c>
    </row>
    <row r="154">
      <c r="A154" s="2">
        <f>IFERROR(__xludf.DUMMYFUNCTION("""COMPUTED_VALUE"""),44572.66666666667)</f>
        <v>44572.66667</v>
      </c>
      <c r="B154" s="1">
        <f>IFERROR(__xludf.DUMMYFUNCTION("""COMPUTED_VALUE"""),138.01)</f>
        <v>138.01</v>
      </c>
      <c r="C154" s="1">
        <f>IFERROR(__xludf.DUMMYFUNCTION("""COMPUTED_VALUE"""),140.22)</f>
        <v>140.22</v>
      </c>
      <c r="D154" s="1">
        <f>IFERROR(__xludf.DUMMYFUNCTION("""COMPUTED_VALUE"""),136.69)</f>
        <v>136.69</v>
      </c>
      <c r="E154" s="1">
        <f>IFERROR(__xludf.DUMMYFUNCTION("""COMPUTED_VALUE"""),139.74)</f>
        <v>139.74</v>
      </c>
      <c r="F154" s="1">
        <f>IFERROR(__xludf.DUMMYFUNCTION("""COMPUTED_VALUE"""),1436485.0)</f>
        <v>1436485</v>
      </c>
    </row>
    <row r="155">
      <c r="A155" s="2">
        <f>IFERROR(__xludf.DUMMYFUNCTION("""COMPUTED_VALUE"""),44573.66666666667)</f>
        <v>44573.66667</v>
      </c>
      <c r="B155" s="1">
        <f>IFERROR(__xludf.DUMMYFUNCTION("""COMPUTED_VALUE"""),141.15)</f>
        <v>141.15</v>
      </c>
      <c r="C155" s="1">
        <f>IFERROR(__xludf.DUMMYFUNCTION("""COMPUTED_VALUE"""),142.61)</f>
        <v>142.61</v>
      </c>
      <c r="D155" s="1">
        <f>IFERROR(__xludf.DUMMYFUNCTION("""COMPUTED_VALUE"""),140.69)</f>
        <v>140.69</v>
      </c>
      <c r="E155" s="1">
        <f>IFERROR(__xludf.DUMMYFUNCTION("""COMPUTED_VALUE"""),141.43)</f>
        <v>141.43</v>
      </c>
      <c r="F155" s="1">
        <f>IFERROR(__xludf.DUMMYFUNCTION("""COMPUTED_VALUE"""),1305602.0)</f>
        <v>1305602</v>
      </c>
    </row>
    <row r="156">
      <c r="A156" s="2">
        <f>IFERROR(__xludf.DUMMYFUNCTION("""COMPUTED_VALUE"""),44574.66666666667)</f>
        <v>44574.66667</v>
      </c>
      <c r="B156" s="1">
        <f>IFERROR(__xludf.DUMMYFUNCTION("""COMPUTED_VALUE"""),141.54)</f>
        <v>141.54</v>
      </c>
      <c r="C156" s="1">
        <f>IFERROR(__xludf.DUMMYFUNCTION("""COMPUTED_VALUE"""),142.85)</f>
        <v>142.85</v>
      </c>
      <c r="D156" s="1">
        <f>IFERROR(__xludf.DUMMYFUNCTION("""COMPUTED_VALUE"""),138.41)</f>
        <v>138.41</v>
      </c>
      <c r="E156" s="1">
        <f>IFERROR(__xludf.DUMMYFUNCTION("""COMPUTED_VALUE"""),138.59)</f>
        <v>138.59</v>
      </c>
      <c r="F156" s="1">
        <f>IFERROR(__xludf.DUMMYFUNCTION("""COMPUTED_VALUE"""),1571830.0)</f>
        <v>1571830</v>
      </c>
    </row>
    <row r="157">
      <c r="A157" s="2">
        <f>IFERROR(__xludf.DUMMYFUNCTION("""COMPUTED_VALUE"""),44575.66666666667)</f>
        <v>44575.66667</v>
      </c>
      <c r="B157" s="1">
        <f>IFERROR(__xludf.DUMMYFUNCTION("""COMPUTED_VALUE"""),137.08)</f>
        <v>137.08</v>
      </c>
      <c r="C157" s="1">
        <f>IFERROR(__xludf.DUMMYFUNCTION("""COMPUTED_VALUE"""),140.74)</f>
        <v>140.74</v>
      </c>
      <c r="D157" s="1">
        <f>IFERROR(__xludf.DUMMYFUNCTION("""COMPUTED_VALUE"""),137.0)</f>
        <v>137</v>
      </c>
      <c r="E157" s="1">
        <f>IFERROR(__xludf.DUMMYFUNCTION("""COMPUTED_VALUE"""),139.48)</f>
        <v>139.48</v>
      </c>
      <c r="F157" s="1">
        <f>IFERROR(__xludf.DUMMYFUNCTION("""COMPUTED_VALUE"""),1483064.0)</f>
        <v>1483064</v>
      </c>
    </row>
    <row r="158">
      <c r="A158" s="2">
        <f>IFERROR(__xludf.DUMMYFUNCTION("""COMPUTED_VALUE"""),44579.66666666667)</f>
        <v>44579.66667</v>
      </c>
      <c r="B158" s="1">
        <f>IFERROR(__xludf.DUMMYFUNCTION("""COMPUTED_VALUE"""),136.18)</f>
        <v>136.18</v>
      </c>
      <c r="C158" s="1">
        <f>IFERROR(__xludf.DUMMYFUNCTION("""COMPUTED_VALUE"""),137.13)</f>
        <v>137.13</v>
      </c>
      <c r="D158" s="1">
        <f>IFERROR(__xludf.DUMMYFUNCTION("""COMPUTED_VALUE"""),135.44)</f>
        <v>135.44</v>
      </c>
      <c r="E158" s="1">
        <f>IFERROR(__xludf.DUMMYFUNCTION("""COMPUTED_VALUE"""),136.0)</f>
        <v>136</v>
      </c>
      <c r="F158" s="1">
        <f>IFERROR(__xludf.DUMMYFUNCTION("""COMPUTED_VALUE"""),1744405.0)</f>
        <v>1744405</v>
      </c>
    </row>
    <row r="159">
      <c r="A159" s="2">
        <f>IFERROR(__xludf.DUMMYFUNCTION("""COMPUTED_VALUE"""),44580.66666666667)</f>
        <v>44580.66667</v>
      </c>
      <c r="B159" s="1">
        <f>IFERROR(__xludf.DUMMYFUNCTION("""COMPUTED_VALUE"""),136.52)</f>
        <v>136.52</v>
      </c>
      <c r="C159" s="1">
        <f>IFERROR(__xludf.DUMMYFUNCTION("""COMPUTED_VALUE"""),137.96)</f>
        <v>137.96</v>
      </c>
      <c r="D159" s="1">
        <f>IFERROR(__xludf.DUMMYFUNCTION("""COMPUTED_VALUE"""),135.02)</f>
        <v>135.02</v>
      </c>
      <c r="E159" s="1">
        <f>IFERROR(__xludf.DUMMYFUNCTION("""COMPUTED_VALUE"""),135.12)</f>
        <v>135.12</v>
      </c>
      <c r="F159" s="1">
        <f>IFERROR(__xludf.DUMMYFUNCTION("""COMPUTED_VALUE"""),1432382.0)</f>
        <v>1432382</v>
      </c>
    </row>
    <row r="160">
      <c r="A160" s="2">
        <f>IFERROR(__xludf.DUMMYFUNCTION("""COMPUTED_VALUE"""),44581.66666666667)</f>
        <v>44581.66667</v>
      </c>
      <c r="B160" s="1">
        <f>IFERROR(__xludf.DUMMYFUNCTION("""COMPUTED_VALUE"""),136.25)</f>
        <v>136.25</v>
      </c>
      <c r="C160" s="1">
        <f>IFERROR(__xludf.DUMMYFUNCTION("""COMPUTED_VALUE"""),137.63)</f>
        <v>137.63</v>
      </c>
      <c r="D160" s="1">
        <f>IFERROR(__xludf.DUMMYFUNCTION("""COMPUTED_VALUE"""),132.96)</f>
        <v>132.96</v>
      </c>
      <c r="E160" s="1">
        <f>IFERROR(__xludf.DUMMYFUNCTION("""COMPUTED_VALUE"""),133.31)</f>
        <v>133.31</v>
      </c>
      <c r="F160" s="1">
        <f>IFERROR(__xludf.DUMMYFUNCTION("""COMPUTED_VALUE"""),1495357.0)</f>
        <v>1495357</v>
      </c>
    </row>
    <row r="161">
      <c r="A161" s="2">
        <f>IFERROR(__xludf.DUMMYFUNCTION("""COMPUTED_VALUE"""),44582.66666666667)</f>
        <v>44582.66667</v>
      </c>
      <c r="B161" s="1">
        <f>IFERROR(__xludf.DUMMYFUNCTION("""COMPUTED_VALUE"""),132.59)</f>
        <v>132.59</v>
      </c>
      <c r="C161" s="1">
        <f>IFERROR(__xludf.DUMMYFUNCTION("""COMPUTED_VALUE"""),134.87)</f>
        <v>134.87</v>
      </c>
      <c r="D161" s="1">
        <f>IFERROR(__xludf.DUMMYFUNCTION("""COMPUTED_VALUE"""),130.09)</f>
        <v>130.09</v>
      </c>
      <c r="E161" s="1">
        <f>IFERROR(__xludf.DUMMYFUNCTION("""COMPUTED_VALUE"""),130.35)</f>
        <v>130.35</v>
      </c>
      <c r="F161" s="1">
        <f>IFERROR(__xludf.DUMMYFUNCTION("""COMPUTED_VALUE"""),2782571.0)</f>
        <v>2782571</v>
      </c>
    </row>
    <row r="162">
      <c r="A162" s="2">
        <f>IFERROR(__xludf.DUMMYFUNCTION("""COMPUTED_VALUE"""),44585.66666666667)</f>
        <v>44585.66667</v>
      </c>
      <c r="B162" s="1">
        <f>IFERROR(__xludf.DUMMYFUNCTION("""COMPUTED_VALUE"""),125.98)</f>
        <v>125.98</v>
      </c>
      <c r="C162" s="1">
        <f>IFERROR(__xludf.DUMMYFUNCTION("""COMPUTED_VALUE"""),131.2)</f>
        <v>131.2</v>
      </c>
      <c r="D162" s="1">
        <f>IFERROR(__xludf.DUMMYFUNCTION("""COMPUTED_VALUE"""),124.5)</f>
        <v>124.5</v>
      </c>
      <c r="E162" s="1">
        <f>IFERROR(__xludf.DUMMYFUNCTION("""COMPUTED_VALUE"""),130.8)</f>
        <v>130.8</v>
      </c>
      <c r="F162" s="1">
        <f>IFERROR(__xludf.DUMMYFUNCTION("""COMPUTED_VALUE"""),3834712.0)</f>
        <v>3834712</v>
      </c>
    </row>
    <row r="163">
      <c r="A163" s="2">
        <f>IFERROR(__xludf.DUMMYFUNCTION("""COMPUTED_VALUE"""),44586.66666666667)</f>
        <v>44586.66667</v>
      </c>
      <c r="B163" s="1">
        <f>IFERROR(__xludf.DUMMYFUNCTION("""COMPUTED_VALUE"""),128.74)</f>
        <v>128.74</v>
      </c>
      <c r="C163" s="1">
        <f>IFERROR(__xludf.DUMMYFUNCTION("""COMPUTED_VALUE"""),129.4)</f>
        <v>129.4</v>
      </c>
      <c r="D163" s="1">
        <f>IFERROR(__xludf.DUMMYFUNCTION("""COMPUTED_VALUE"""),126.5)</f>
        <v>126.5</v>
      </c>
      <c r="E163" s="1">
        <f>IFERROR(__xludf.DUMMYFUNCTION("""COMPUTED_VALUE"""),126.94)</f>
        <v>126.94</v>
      </c>
      <c r="F163" s="1">
        <f>IFERROR(__xludf.DUMMYFUNCTION("""COMPUTED_VALUE"""),2348028.0)</f>
        <v>2348028</v>
      </c>
    </row>
    <row r="164">
      <c r="A164" s="2">
        <f>IFERROR(__xludf.DUMMYFUNCTION("""COMPUTED_VALUE"""),44587.66666666667)</f>
        <v>44587.66667</v>
      </c>
      <c r="B164" s="1">
        <f>IFERROR(__xludf.DUMMYFUNCTION("""COMPUTED_VALUE"""),131.12)</f>
        <v>131.12</v>
      </c>
      <c r="C164" s="1">
        <f>IFERROR(__xludf.DUMMYFUNCTION("""COMPUTED_VALUE"""),133.0)</f>
        <v>133</v>
      </c>
      <c r="D164" s="1">
        <f>IFERROR(__xludf.DUMMYFUNCTION("""COMPUTED_VALUE"""),127.14)</f>
        <v>127.14</v>
      </c>
      <c r="E164" s="1">
        <f>IFERROR(__xludf.DUMMYFUNCTION("""COMPUTED_VALUE"""),129.23)</f>
        <v>129.23</v>
      </c>
      <c r="F164" s="1">
        <f>IFERROR(__xludf.DUMMYFUNCTION("""COMPUTED_VALUE"""),2456475.0)</f>
        <v>2456475</v>
      </c>
    </row>
    <row r="165">
      <c r="A165" s="2">
        <f>IFERROR(__xludf.DUMMYFUNCTION("""COMPUTED_VALUE"""),44588.66666666667)</f>
        <v>44588.66667</v>
      </c>
      <c r="B165" s="1">
        <f>IFERROR(__xludf.DUMMYFUNCTION("""COMPUTED_VALUE"""),131.3)</f>
        <v>131.3</v>
      </c>
      <c r="C165" s="1">
        <f>IFERROR(__xludf.DUMMYFUNCTION("""COMPUTED_VALUE"""),132.65)</f>
        <v>132.65</v>
      </c>
      <c r="D165" s="1">
        <f>IFERROR(__xludf.DUMMYFUNCTION("""COMPUTED_VALUE"""),128.93)</f>
        <v>128.93</v>
      </c>
      <c r="E165" s="1">
        <f>IFERROR(__xludf.DUMMYFUNCTION("""COMPUTED_VALUE"""),129.01)</f>
        <v>129.01</v>
      </c>
      <c r="F165" s="1">
        <f>IFERROR(__xludf.DUMMYFUNCTION("""COMPUTED_VALUE"""),1600939.0)</f>
        <v>1600939</v>
      </c>
    </row>
    <row r="166">
      <c r="A166" s="2">
        <f>IFERROR(__xludf.DUMMYFUNCTION("""COMPUTED_VALUE"""),44589.66666666667)</f>
        <v>44589.66667</v>
      </c>
      <c r="B166" s="1">
        <f>IFERROR(__xludf.DUMMYFUNCTION("""COMPUTED_VALUE"""),129.66)</f>
        <v>129.66</v>
      </c>
      <c r="C166" s="1">
        <f>IFERROR(__xludf.DUMMYFUNCTION("""COMPUTED_VALUE"""),133.36)</f>
        <v>133.36</v>
      </c>
      <c r="D166" s="1">
        <f>IFERROR(__xludf.DUMMYFUNCTION("""COMPUTED_VALUE"""),128.49)</f>
        <v>128.49</v>
      </c>
      <c r="E166" s="1">
        <f>IFERROR(__xludf.DUMMYFUNCTION("""COMPUTED_VALUE"""),133.35)</f>
        <v>133.35</v>
      </c>
      <c r="F166" s="1">
        <f>IFERROR(__xludf.DUMMYFUNCTION("""COMPUTED_VALUE"""),1718074.0)</f>
        <v>1718074</v>
      </c>
    </row>
    <row r="167">
      <c r="A167" s="2">
        <f>IFERROR(__xludf.DUMMYFUNCTION("""COMPUTED_VALUE"""),44592.66666666667)</f>
        <v>44592.66667</v>
      </c>
      <c r="B167" s="1">
        <f>IFERROR(__xludf.DUMMYFUNCTION("""COMPUTED_VALUE"""),134.16)</f>
        <v>134.16</v>
      </c>
      <c r="C167" s="1">
        <f>IFERROR(__xludf.DUMMYFUNCTION("""COMPUTED_VALUE"""),135.47)</f>
        <v>135.47</v>
      </c>
      <c r="D167" s="1">
        <f>IFERROR(__xludf.DUMMYFUNCTION("""COMPUTED_VALUE"""),132.21)</f>
        <v>132.21</v>
      </c>
      <c r="E167" s="1">
        <f>IFERROR(__xludf.DUMMYFUNCTION("""COMPUTED_VALUE"""),135.3)</f>
        <v>135.3</v>
      </c>
      <c r="F167" s="1">
        <f>IFERROR(__xludf.DUMMYFUNCTION("""COMPUTED_VALUE"""),1999300.0)</f>
        <v>1999300</v>
      </c>
    </row>
    <row r="168">
      <c r="A168" s="2">
        <f>IFERROR(__xludf.DUMMYFUNCTION("""COMPUTED_VALUE"""),44593.66666666667)</f>
        <v>44593.66667</v>
      </c>
      <c r="B168" s="1">
        <f>IFERROR(__xludf.DUMMYFUNCTION("""COMPUTED_VALUE"""),137.59)</f>
        <v>137.59</v>
      </c>
      <c r="C168" s="1">
        <f>IFERROR(__xludf.DUMMYFUNCTION("""COMPUTED_VALUE"""),137.79)</f>
        <v>137.79</v>
      </c>
      <c r="D168" s="1">
        <f>IFERROR(__xludf.DUMMYFUNCTION("""COMPUTED_VALUE"""),134.37)</f>
        <v>134.37</v>
      </c>
      <c r="E168" s="1">
        <f>IFERROR(__xludf.DUMMYFUNCTION("""COMPUTED_VALUE"""),137.64)</f>
        <v>137.64</v>
      </c>
      <c r="F168" s="1">
        <f>IFERROR(__xludf.DUMMYFUNCTION("""COMPUTED_VALUE"""),3432182.0)</f>
        <v>3432182</v>
      </c>
    </row>
    <row r="169">
      <c r="A169" s="2">
        <f>IFERROR(__xludf.DUMMYFUNCTION("""COMPUTED_VALUE"""),44594.66666666667)</f>
        <v>44594.66667</v>
      </c>
      <c r="B169" s="1">
        <f>IFERROR(__xludf.DUMMYFUNCTION("""COMPUTED_VALUE"""),151.25)</f>
        <v>151.25</v>
      </c>
      <c r="C169" s="1">
        <f>IFERROR(__xludf.DUMMYFUNCTION("""COMPUTED_VALUE"""),151.55)</f>
        <v>151.55</v>
      </c>
      <c r="D169" s="1">
        <f>IFERROR(__xludf.DUMMYFUNCTION("""COMPUTED_VALUE"""),145.52)</f>
        <v>145.52</v>
      </c>
      <c r="E169" s="1">
        <f>IFERROR(__xludf.DUMMYFUNCTION("""COMPUTED_VALUE"""),148.0)</f>
        <v>148</v>
      </c>
      <c r="F169" s="1">
        <f>IFERROR(__xludf.DUMMYFUNCTION("""COMPUTED_VALUE"""),6159961.0)</f>
        <v>6159961</v>
      </c>
    </row>
    <row r="170">
      <c r="A170" s="2">
        <f>IFERROR(__xludf.DUMMYFUNCTION("""COMPUTED_VALUE"""),44595.66666666667)</f>
        <v>44595.66667</v>
      </c>
      <c r="B170" s="1">
        <f>IFERROR(__xludf.DUMMYFUNCTION("""COMPUTED_VALUE"""),145.71)</f>
        <v>145.71</v>
      </c>
      <c r="C170" s="1">
        <f>IFERROR(__xludf.DUMMYFUNCTION("""COMPUTED_VALUE"""),149.68)</f>
        <v>149.68</v>
      </c>
      <c r="D170" s="1">
        <f>IFERROR(__xludf.DUMMYFUNCTION("""COMPUTED_VALUE"""),142.67)</f>
        <v>142.67</v>
      </c>
      <c r="E170" s="1">
        <f>IFERROR(__xludf.DUMMYFUNCTION("""COMPUTED_VALUE"""),143.09)</f>
        <v>143.09</v>
      </c>
      <c r="F170" s="1">
        <f>IFERROR(__xludf.DUMMYFUNCTION("""COMPUTED_VALUE"""),3575861.0)</f>
        <v>3575861</v>
      </c>
    </row>
    <row r="171">
      <c r="A171" s="2">
        <f>IFERROR(__xludf.DUMMYFUNCTION("""COMPUTED_VALUE"""),44596.66666666667)</f>
        <v>44596.66667</v>
      </c>
      <c r="B171" s="1">
        <f>IFERROR(__xludf.DUMMYFUNCTION("""COMPUTED_VALUE"""),143.44)</f>
        <v>143.44</v>
      </c>
      <c r="C171" s="1">
        <f>IFERROR(__xludf.DUMMYFUNCTION("""COMPUTED_VALUE"""),144.88)</f>
        <v>144.88</v>
      </c>
      <c r="D171" s="1">
        <f>IFERROR(__xludf.DUMMYFUNCTION("""COMPUTED_VALUE"""),140.51)</f>
        <v>140.51</v>
      </c>
      <c r="E171" s="1">
        <f>IFERROR(__xludf.DUMMYFUNCTION("""COMPUTED_VALUE"""),143.29)</f>
        <v>143.29</v>
      </c>
      <c r="F171" s="1">
        <f>IFERROR(__xludf.DUMMYFUNCTION("""COMPUTED_VALUE"""),2899911.0)</f>
        <v>2899911</v>
      </c>
    </row>
    <row r="172">
      <c r="A172" s="2">
        <f>IFERROR(__xludf.DUMMYFUNCTION("""COMPUTED_VALUE"""),44599.66666666667)</f>
        <v>44599.66667</v>
      </c>
      <c r="B172" s="1">
        <f>IFERROR(__xludf.DUMMYFUNCTION("""COMPUTED_VALUE"""),144.25)</f>
        <v>144.25</v>
      </c>
      <c r="C172" s="1">
        <f>IFERROR(__xludf.DUMMYFUNCTION("""COMPUTED_VALUE"""),144.25)</f>
        <v>144.25</v>
      </c>
      <c r="D172" s="1">
        <f>IFERROR(__xludf.DUMMYFUNCTION("""COMPUTED_VALUE"""),138.9)</f>
        <v>138.9</v>
      </c>
      <c r="E172" s="1">
        <f>IFERROR(__xludf.DUMMYFUNCTION("""COMPUTED_VALUE"""),139.2)</f>
        <v>139.2</v>
      </c>
      <c r="F172" s="1">
        <f>IFERROR(__xludf.DUMMYFUNCTION("""COMPUTED_VALUE"""),2748665.0)</f>
        <v>2748665</v>
      </c>
    </row>
    <row r="173">
      <c r="A173" s="2">
        <f>IFERROR(__xludf.DUMMYFUNCTION("""COMPUTED_VALUE"""),44600.66666666667)</f>
        <v>44600.66667</v>
      </c>
      <c r="B173" s="1">
        <f>IFERROR(__xludf.DUMMYFUNCTION("""COMPUTED_VALUE"""),139.03)</f>
        <v>139.03</v>
      </c>
      <c r="C173" s="1">
        <f>IFERROR(__xludf.DUMMYFUNCTION("""COMPUTED_VALUE"""),140.0)</f>
        <v>140</v>
      </c>
      <c r="D173" s="1">
        <f>IFERROR(__xludf.DUMMYFUNCTION("""COMPUTED_VALUE"""),137.01)</f>
        <v>137.01</v>
      </c>
      <c r="E173" s="1">
        <f>IFERROR(__xludf.DUMMYFUNCTION("""COMPUTED_VALUE"""),139.4)</f>
        <v>139.4</v>
      </c>
      <c r="F173" s="1">
        <f>IFERROR(__xludf.DUMMYFUNCTION("""COMPUTED_VALUE"""),2714180.0)</f>
        <v>2714180</v>
      </c>
    </row>
    <row r="174">
      <c r="A174" s="2">
        <f>IFERROR(__xludf.DUMMYFUNCTION("""COMPUTED_VALUE"""),44601.66666666667)</f>
        <v>44601.66667</v>
      </c>
      <c r="B174" s="1">
        <f>IFERROR(__xludf.DUMMYFUNCTION("""COMPUTED_VALUE"""),140.96)</f>
        <v>140.96</v>
      </c>
      <c r="C174" s="1">
        <f>IFERROR(__xludf.DUMMYFUNCTION("""COMPUTED_VALUE"""),142.52)</f>
        <v>142.52</v>
      </c>
      <c r="D174" s="1">
        <f>IFERROR(__xludf.DUMMYFUNCTION("""COMPUTED_VALUE"""),140.19)</f>
        <v>140.19</v>
      </c>
      <c r="E174" s="1">
        <f>IFERROR(__xludf.DUMMYFUNCTION("""COMPUTED_VALUE"""),141.59)</f>
        <v>141.59</v>
      </c>
      <c r="F174" s="1">
        <f>IFERROR(__xludf.DUMMYFUNCTION("""COMPUTED_VALUE"""),2007194.0)</f>
        <v>2007194</v>
      </c>
    </row>
    <row r="175">
      <c r="A175" s="2">
        <f>IFERROR(__xludf.DUMMYFUNCTION("""COMPUTED_VALUE"""),44602.66666666667)</f>
        <v>44602.66667</v>
      </c>
      <c r="B175" s="1">
        <f>IFERROR(__xludf.DUMMYFUNCTION("""COMPUTED_VALUE"""),139.7)</f>
        <v>139.7</v>
      </c>
      <c r="C175" s="1">
        <f>IFERROR(__xludf.DUMMYFUNCTION("""COMPUTED_VALUE"""),141.48)</f>
        <v>141.48</v>
      </c>
      <c r="D175" s="1">
        <f>IFERROR(__xludf.DUMMYFUNCTION("""COMPUTED_VALUE"""),137.96)</f>
        <v>137.96</v>
      </c>
      <c r="E175" s="1">
        <f>IFERROR(__xludf.DUMMYFUNCTION("""COMPUTED_VALUE"""),138.62)</f>
        <v>138.62</v>
      </c>
      <c r="F175" s="1">
        <f>IFERROR(__xludf.DUMMYFUNCTION("""COMPUTED_VALUE"""),1966533.0)</f>
        <v>1966533</v>
      </c>
    </row>
    <row r="176">
      <c r="A176" s="2">
        <f>IFERROR(__xludf.DUMMYFUNCTION("""COMPUTED_VALUE"""),44603.66666666667)</f>
        <v>44603.66667</v>
      </c>
      <c r="B176" s="1">
        <f>IFERROR(__xludf.DUMMYFUNCTION("""COMPUTED_VALUE"""),138.6)</f>
        <v>138.6</v>
      </c>
      <c r="C176" s="1">
        <f>IFERROR(__xludf.DUMMYFUNCTION("""COMPUTED_VALUE"""),139.16)</f>
        <v>139.16</v>
      </c>
      <c r="D176" s="1">
        <f>IFERROR(__xludf.DUMMYFUNCTION("""COMPUTED_VALUE"""),133.4)</f>
        <v>133.4</v>
      </c>
      <c r="E176" s="1">
        <f>IFERROR(__xludf.DUMMYFUNCTION("""COMPUTED_VALUE"""),134.28)</f>
        <v>134.28</v>
      </c>
      <c r="F176" s="1">
        <f>IFERROR(__xludf.DUMMYFUNCTION("""COMPUTED_VALUE"""),1997917.0)</f>
        <v>1997917</v>
      </c>
    </row>
    <row r="177">
      <c r="A177" s="2">
        <f>IFERROR(__xludf.DUMMYFUNCTION("""COMPUTED_VALUE"""),44606.66666666667)</f>
        <v>44606.66667</v>
      </c>
      <c r="B177" s="1">
        <f>IFERROR(__xludf.DUMMYFUNCTION("""COMPUTED_VALUE"""),133.26)</f>
        <v>133.26</v>
      </c>
      <c r="C177" s="1">
        <f>IFERROR(__xludf.DUMMYFUNCTION("""COMPUTED_VALUE"""),136.3)</f>
        <v>136.3</v>
      </c>
      <c r="D177" s="1">
        <f>IFERROR(__xludf.DUMMYFUNCTION("""COMPUTED_VALUE"""),133.26)</f>
        <v>133.26</v>
      </c>
      <c r="E177" s="1">
        <f>IFERROR(__xludf.DUMMYFUNCTION("""COMPUTED_VALUE"""),135.53)</f>
        <v>135.53</v>
      </c>
      <c r="F177" s="1">
        <f>IFERROR(__xludf.DUMMYFUNCTION("""COMPUTED_VALUE"""),1715054.0)</f>
        <v>1715054</v>
      </c>
    </row>
    <row r="178">
      <c r="A178" s="2">
        <f>IFERROR(__xludf.DUMMYFUNCTION("""COMPUTED_VALUE"""),44607.66666666667)</f>
        <v>44607.66667</v>
      </c>
      <c r="B178" s="1">
        <f>IFERROR(__xludf.DUMMYFUNCTION("""COMPUTED_VALUE"""),137.57)</f>
        <v>137.57</v>
      </c>
      <c r="C178" s="1">
        <f>IFERROR(__xludf.DUMMYFUNCTION("""COMPUTED_VALUE"""),138.11)</f>
        <v>138.11</v>
      </c>
      <c r="D178" s="1">
        <f>IFERROR(__xludf.DUMMYFUNCTION("""COMPUTED_VALUE"""),135.82)</f>
        <v>135.82</v>
      </c>
      <c r="E178" s="1">
        <f>IFERROR(__xludf.DUMMYFUNCTION("""COMPUTED_VALUE"""),136.61)</f>
        <v>136.61</v>
      </c>
      <c r="F178" s="1">
        <f>IFERROR(__xludf.DUMMYFUNCTION("""COMPUTED_VALUE"""),1335563.0)</f>
        <v>1335563</v>
      </c>
    </row>
    <row r="179">
      <c r="A179" s="2">
        <f>IFERROR(__xludf.DUMMYFUNCTION("""COMPUTED_VALUE"""),44608.66666666667)</f>
        <v>44608.66667</v>
      </c>
      <c r="B179" s="1">
        <f>IFERROR(__xludf.DUMMYFUNCTION("""COMPUTED_VALUE"""),136.65)</f>
        <v>136.65</v>
      </c>
      <c r="C179" s="1">
        <f>IFERROR(__xludf.DUMMYFUNCTION("""COMPUTED_VALUE"""),138.09)</f>
        <v>138.09</v>
      </c>
      <c r="D179" s="1">
        <f>IFERROR(__xludf.DUMMYFUNCTION("""COMPUTED_VALUE"""),134.92)</f>
        <v>134.92</v>
      </c>
      <c r="E179" s="1">
        <f>IFERROR(__xludf.DUMMYFUNCTION("""COMPUTED_VALUE"""),137.74)</f>
        <v>137.74</v>
      </c>
      <c r="F179" s="1">
        <f>IFERROR(__xludf.DUMMYFUNCTION("""COMPUTED_VALUE"""),1251065.0)</f>
        <v>1251065</v>
      </c>
    </row>
    <row r="180">
      <c r="A180" s="2">
        <f>IFERROR(__xludf.DUMMYFUNCTION("""COMPUTED_VALUE"""),44609.66666666667)</f>
        <v>44609.66667</v>
      </c>
      <c r="B180" s="1">
        <f>IFERROR(__xludf.DUMMYFUNCTION("""COMPUTED_VALUE"""),136.24)</f>
        <v>136.24</v>
      </c>
      <c r="C180" s="1">
        <f>IFERROR(__xludf.DUMMYFUNCTION("""COMPUTED_VALUE"""),137.11)</f>
        <v>137.11</v>
      </c>
      <c r="D180" s="1">
        <f>IFERROR(__xludf.DUMMYFUNCTION("""COMPUTED_VALUE"""),132.48)</f>
        <v>132.48</v>
      </c>
      <c r="E180" s="1">
        <f>IFERROR(__xludf.DUMMYFUNCTION("""COMPUTED_VALUE"""),132.54)</f>
        <v>132.54</v>
      </c>
      <c r="F180" s="1">
        <f>IFERROR(__xludf.DUMMYFUNCTION("""COMPUTED_VALUE"""),1947475.0)</f>
        <v>1947475</v>
      </c>
    </row>
    <row r="181">
      <c r="A181" s="2">
        <f>IFERROR(__xludf.DUMMYFUNCTION("""COMPUTED_VALUE"""),44610.66666666667)</f>
        <v>44610.66667</v>
      </c>
      <c r="B181" s="1">
        <f>IFERROR(__xludf.DUMMYFUNCTION("""COMPUTED_VALUE"""),133.47)</f>
        <v>133.47</v>
      </c>
      <c r="C181" s="1">
        <f>IFERROR(__xludf.DUMMYFUNCTION("""COMPUTED_VALUE"""),134.07)</f>
        <v>134.07</v>
      </c>
      <c r="D181" s="1">
        <f>IFERROR(__xludf.DUMMYFUNCTION("""COMPUTED_VALUE"""),130.2)</f>
        <v>130.2</v>
      </c>
      <c r="E181" s="1">
        <f>IFERROR(__xludf.DUMMYFUNCTION("""COMPUTED_VALUE"""),130.4)</f>
        <v>130.4</v>
      </c>
      <c r="F181" s="1">
        <f>IFERROR(__xludf.DUMMYFUNCTION("""COMPUTED_VALUE"""),2280972.0)</f>
        <v>2280972</v>
      </c>
    </row>
    <row r="182">
      <c r="A182" s="2">
        <f>IFERROR(__xludf.DUMMYFUNCTION("""COMPUTED_VALUE"""),44614.66666666667)</f>
        <v>44614.66667</v>
      </c>
      <c r="B182" s="1">
        <f>IFERROR(__xludf.DUMMYFUNCTION("""COMPUTED_VALUE"""),129.84)</f>
        <v>129.84</v>
      </c>
      <c r="C182" s="1">
        <f>IFERROR(__xludf.DUMMYFUNCTION("""COMPUTED_VALUE"""),132.18)</f>
        <v>132.18</v>
      </c>
      <c r="D182" s="1">
        <f>IFERROR(__xludf.DUMMYFUNCTION("""COMPUTED_VALUE"""),128.22)</f>
        <v>128.22</v>
      </c>
      <c r="E182" s="1">
        <f>IFERROR(__xludf.DUMMYFUNCTION("""COMPUTED_VALUE"""),129.81)</f>
        <v>129.81</v>
      </c>
      <c r="F182" s="1">
        <f>IFERROR(__xludf.DUMMYFUNCTION("""COMPUTED_VALUE"""),2249537.0)</f>
        <v>2249537</v>
      </c>
    </row>
    <row r="183">
      <c r="A183" s="2">
        <f>IFERROR(__xludf.DUMMYFUNCTION("""COMPUTED_VALUE"""),44615.66666666667)</f>
        <v>44615.66667</v>
      </c>
      <c r="B183" s="1">
        <f>IFERROR(__xludf.DUMMYFUNCTION("""COMPUTED_VALUE"""),131.65)</f>
        <v>131.65</v>
      </c>
      <c r="C183" s="1">
        <f>IFERROR(__xludf.DUMMYFUNCTION("""COMPUTED_VALUE"""),132.05)</f>
        <v>132.05</v>
      </c>
      <c r="D183" s="1">
        <f>IFERROR(__xludf.DUMMYFUNCTION("""COMPUTED_VALUE"""),127.53)</f>
        <v>127.53</v>
      </c>
      <c r="E183" s="1">
        <f>IFERROR(__xludf.DUMMYFUNCTION("""COMPUTED_VALUE"""),127.59)</f>
        <v>127.59</v>
      </c>
      <c r="F183" s="1">
        <f>IFERROR(__xludf.DUMMYFUNCTION("""COMPUTED_VALUE"""),1639301.0)</f>
        <v>1639301</v>
      </c>
    </row>
    <row r="184">
      <c r="A184" s="2">
        <f>IFERROR(__xludf.DUMMYFUNCTION("""COMPUTED_VALUE"""),44616.66666666667)</f>
        <v>44616.66667</v>
      </c>
      <c r="B184" s="1">
        <f>IFERROR(__xludf.DUMMYFUNCTION("""COMPUTED_VALUE"""),124.95)</f>
        <v>124.95</v>
      </c>
      <c r="C184" s="1">
        <f>IFERROR(__xludf.DUMMYFUNCTION("""COMPUTED_VALUE"""),133.0)</f>
        <v>133</v>
      </c>
      <c r="D184" s="1">
        <f>IFERROR(__xludf.DUMMYFUNCTION("""COMPUTED_VALUE"""),124.95)</f>
        <v>124.95</v>
      </c>
      <c r="E184" s="1">
        <f>IFERROR(__xludf.DUMMYFUNCTION("""COMPUTED_VALUE"""),132.69)</f>
        <v>132.69</v>
      </c>
      <c r="F184" s="1">
        <f>IFERROR(__xludf.DUMMYFUNCTION("""COMPUTED_VALUE"""),2722754.0)</f>
        <v>2722754</v>
      </c>
    </row>
    <row r="185">
      <c r="A185" s="2">
        <f>IFERROR(__xludf.DUMMYFUNCTION("""COMPUTED_VALUE"""),44617.66666666667)</f>
        <v>44617.66667</v>
      </c>
      <c r="B185" s="1">
        <f>IFERROR(__xludf.DUMMYFUNCTION("""COMPUTED_VALUE"""),133.55)</f>
        <v>133.55</v>
      </c>
      <c r="C185" s="1">
        <f>IFERROR(__xludf.DUMMYFUNCTION("""COMPUTED_VALUE"""),135.27)</f>
        <v>135.27</v>
      </c>
      <c r="D185" s="1">
        <f>IFERROR(__xludf.DUMMYFUNCTION("""COMPUTED_VALUE"""),131.75)</f>
        <v>131.75</v>
      </c>
      <c r="E185" s="1">
        <f>IFERROR(__xludf.DUMMYFUNCTION("""COMPUTED_VALUE"""),134.46)</f>
        <v>134.46</v>
      </c>
      <c r="F185" s="1">
        <f>IFERROR(__xludf.DUMMYFUNCTION("""COMPUTED_VALUE"""),1820299.0)</f>
        <v>1820299</v>
      </c>
    </row>
    <row r="186">
      <c r="A186" s="2">
        <f>IFERROR(__xludf.DUMMYFUNCTION("""COMPUTED_VALUE"""),44620.66666666667)</f>
        <v>44620.66667</v>
      </c>
      <c r="B186" s="1">
        <f>IFERROR(__xludf.DUMMYFUNCTION("""COMPUTED_VALUE"""),133.05)</f>
        <v>133.05</v>
      </c>
      <c r="C186" s="1">
        <f>IFERROR(__xludf.DUMMYFUNCTION("""COMPUTED_VALUE"""),135.75)</f>
        <v>135.75</v>
      </c>
      <c r="D186" s="1">
        <f>IFERROR(__xludf.DUMMYFUNCTION("""COMPUTED_VALUE"""),132.59)</f>
        <v>132.59</v>
      </c>
      <c r="E186" s="1">
        <f>IFERROR(__xludf.DUMMYFUNCTION("""COMPUTED_VALUE"""),135.06)</f>
        <v>135.06</v>
      </c>
      <c r="F186" s="1">
        <f>IFERROR(__xludf.DUMMYFUNCTION("""COMPUTED_VALUE"""),1943221.0)</f>
        <v>1943221</v>
      </c>
    </row>
    <row r="187">
      <c r="A187" s="2">
        <f>IFERROR(__xludf.DUMMYFUNCTION("""COMPUTED_VALUE"""),44621.66666666667)</f>
        <v>44621.66667</v>
      </c>
      <c r="B187" s="1">
        <f>IFERROR(__xludf.DUMMYFUNCTION("""COMPUTED_VALUE"""),134.88)</f>
        <v>134.88</v>
      </c>
      <c r="C187" s="1">
        <f>IFERROR(__xludf.DUMMYFUNCTION("""COMPUTED_VALUE"""),136.26)</f>
        <v>136.26</v>
      </c>
      <c r="D187" s="1">
        <f>IFERROR(__xludf.DUMMYFUNCTION("""COMPUTED_VALUE"""),133.22)</f>
        <v>133.22</v>
      </c>
      <c r="E187" s="1">
        <f>IFERROR(__xludf.DUMMYFUNCTION("""COMPUTED_VALUE"""),134.06)</f>
        <v>134.06</v>
      </c>
      <c r="F187" s="1">
        <f>IFERROR(__xludf.DUMMYFUNCTION("""COMPUTED_VALUE"""),1324768.0)</f>
        <v>1324768</v>
      </c>
    </row>
    <row r="188">
      <c r="A188" s="2">
        <f>IFERROR(__xludf.DUMMYFUNCTION("""COMPUTED_VALUE"""),44622.66666666667)</f>
        <v>44622.66667</v>
      </c>
      <c r="B188" s="1">
        <f>IFERROR(__xludf.DUMMYFUNCTION("""COMPUTED_VALUE"""),134.63)</f>
        <v>134.63</v>
      </c>
      <c r="C188" s="1">
        <f>IFERROR(__xludf.DUMMYFUNCTION("""COMPUTED_VALUE"""),135.26)</f>
        <v>135.26</v>
      </c>
      <c r="D188" s="1">
        <f>IFERROR(__xludf.DUMMYFUNCTION("""COMPUTED_VALUE"""),133.07)</f>
        <v>133.07</v>
      </c>
      <c r="E188" s="1">
        <f>IFERROR(__xludf.DUMMYFUNCTION("""COMPUTED_VALUE"""),134.57)</f>
        <v>134.57</v>
      </c>
      <c r="F188" s="1">
        <f>IFERROR(__xludf.DUMMYFUNCTION("""COMPUTED_VALUE"""),1175990.0)</f>
        <v>1175990</v>
      </c>
    </row>
    <row r="189">
      <c r="A189" s="2">
        <f>IFERROR(__xludf.DUMMYFUNCTION("""COMPUTED_VALUE"""),44623.66666666667)</f>
        <v>44623.66667</v>
      </c>
      <c r="B189" s="1">
        <f>IFERROR(__xludf.DUMMYFUNCTION("""COMPUTED_VALUE"""),136.01)</f>
        <v>136.01</v>
      </c>
      <c r="C189" s="1">
        <f>IFERROR(__xludf.DUMMYFUNCTION("""COMPUTED_VALUE"""),136.44)</f>
        <v>136.44</v>
      </c>
      <c r="D189" s="1">
        <f>IFERROR(__xludf.DUMMYFUNCTION("""COMPUTED_VALUE"""),133.03)</f>
        <v>133.03</v>
      </c>
      <c r="E189" s="1">
        <f>IFERROR(__xludf.DUMMYFUNCTION("""COMPUTED_VALUE"""),133.9)</f>
        <v>133.9</v>
      </c>
      <c r="F189" s="1">
        <f>IFERROR(__xludf.DUMMYFUNCTION("""COMPUTED_VALUE"""),1230162.0)</f>
        <v>1230162</v>
      </c>
    </row>
    <row r="190">
      <c r="A190" s="2">
        <f>IFERROR(__xludf.DUMMYFUNCTION("""COMPUTED_VALUE"""),44624.66666666667)</f>
        <v>44624.66667</v>
      </c>
      <c r="B190" s="1">
        <f>IFERROR(__xludf.DUMMYFUNCTION("""COMPUTED_VALUE"""),132.93)</f>
        <v>132.93</v>
      </c>
      <c r="C190" s="1">
        <f>IFERROR(__xludf.DUMMYFUNCTION("""COMPUTED_VALUE"""),133.85)</f>
        <v>133.85</v>
      </c>
      <c r="D190" s="1">
        <f>IFERROR(__xludf.DUMMYFUNCTION("""COMPUTED_VALUE"""),130.34)</f>
        <v>130.34</v>
      </c>
      <c r="E190" s="1">
        <f>IFERROR(__xludf.DUMMYFUNCTION("""COMPUTED_VALUE"""),131.91)</f>
        <v>131.91</v>
      </c>
      <c r="F190" s="1">
        <f>IFERROR(__xludf.DUMMYFUNCTION("""COMPUTED_VALUE"""),1522532.0)</f>
        <v>1522532</v>
      </c>
    </row>
    <row r="191">
      <c r="A191" s="2">
        <f>IFERROR(__xludf.DUMMYFUNCTION("""COMPUTED_VALUE"""),44627.66666666667)</f>
        <v>44627.66667</v>
      </c>
      <c r="B191" s="1">
        <f>IFERROR(__xludf.DUMMYFUNCTION("""COMPUTED_VALUE"""),131.49)</f>
        <v>131.49</v>
      </c>
      <c r="C191" s="1">
        <f>IFERROR(__xludf.DUMMYFUNCTION("""COMPUTED_VALUE"""),131.74)</f>
        <v>131.74</v>
      </c>
      <c r="D191" s="1">
        <f>IFERROR(__xludf.DUMMYFUNCTION("""COMPUTED_VALUE"""),126.3)</f>
        <v>126.3</v>
      </c>
      <c r="E191" s="1">
        <f>IFERROR(__xludf.DUMMYFUNCTION("""COMPUTED_VALUE"""),126.38)</f>
        <v>126.38</v>
      </c>
      <c r="F191" s="1">
        <f>IFERROR(__xludf.DUMMYFUNCTION("""COMPUTED_VALUE"""),2255647.0)</f>
        <v>2255647</v>
      </c>
    </row>
    <row r="192">
      <c r="A192" s="2">
        <f>IFERROR(__xludf.DUMMYFUNCTION("""COMPUTED_VALUE"""),44628.66666666667)</f>
        <v>44628.66667</v>
      </c>
      <c r="B192" s="1">
        <f>IFERROR(__xludf.DUMMYFUNCTION("""COMPUTED_VALUE"""),126.25)</f>
        <v>126.25</v>
      </c>
      <c r="C192" s="1">
        <f>IFERROR(__xludf.DUMMYFUNCTION("""COMPUTED_VALUE"""),131.25)</f>
        <v>131.25</v>
      </c>
      <c r="D192" s="1">
        <f>IFERROR(__xludf.DUMMYFUNCTION("""COMPUTED_VALUE"""),125.67)</f>
        <v>125.67</v>
      </c>
      <c r="E192" s="1">
        <f>IFERROR(__xludf.DUMMYFUNCTION("""COMPUTED_VALUE"""),127.1)</f>
        <v>127.1</v>
      </c>
      <c r="F192" s="1">
        <f>IFERROR(__xludf.DUMMYFUNCTION("""COMPUTED_VALUE"""),2021355.0)</f>
        <v>2021355</v>
      </c>
    </row>
    <row r="193">
      <c r="A193" s="2">
        <f>IFERROR(__xludf.DUMMYFUNCTION("""COMPUTED_VALUE"""),44629.66666666667)</f>
        <v>44629.66667</v>
      </c>
      <c r="B193" s="1">
        <f>IFERROR(__xludf.DUMMYFUNCTION("""COMPUTED_VALUE"""),131.25)</f>
        <v>131.25</v>
      </c>
      <c r="C193" s="1">
        <f>IFERROR(__xludf.DUMMYFUNCTION("""COMPUTED_VALUE"""),133.74)</f>
        <v>133.74</v>
      </c>
      <c r="D193" s="1">
        <f>IFERROR(__xludf.DUMMYFUNCTION("""COMPUTED_VALUE"""),129.9)</f>
        <v>129.9</v>
      </c>
      <c r="E193" s="1">
        <f>IFERROR(__xludf.DUMMYFUNCTION("""COMPUTED_VALUE"""),133.42)</f>
        <v>133.42</v>
      </c>
      <c r="F193" s="1">
        <f>IFERROR(__xludf.DUMMYFUNCTION("""COMPUTED_VALUE"""),1851270.0)</f>
        <v>1851270</v>
      </c>
    </row>
    <row r="194">
      <c r="A194" s="2">
        <f>IFERROR(__xludf.DUMMYFUNCTION("""COMPUTED_VALUE"""),44630.66666666667)</f>
        <v>44630.66667</v>
      </c>
      <c r="B194" s="1">
        <f>IFERROR(__xludf.DUMMYFUNCTION("""COMPUTED_VALUE"""),131.27)</f>
        <v>131.27</v>
      </c>
      <c r="C194" s="1">
        <f>IFERROR(__xludf.DUMMYFUNCTION("""COMPUTED_VALUE"""),133.27)</f>
        <v>133.27</v>
      </c>
      <c r="D194" s="1">
        <f>IFERROR(__xludf.DUMMYFUNCTION("""COMPUTED_VALUE"""),130.91)</f>
        <v>130.91</v>
      </c>
      <c r="E194" s="1">
        <f>IFERROR(__xludf.DUMMYFUNCTION("""COMPUTED_VALUE"""),132.43)</f>
        <v>132.43</v>
      </c>
      <c r="F194" s="1">
        <f>IFERROR(__xludf.DUMMYFUNCTION("""COMPUTED_VALUE"""),1355070.0)</f>
        <v>1355070</v>
      </c>
    </row>
    <row r="195">
      <c r="A195" s="2">
        <f>IFERROR(__xludf.DUMMYFUNCTION("""COMPUTED_VALUE"""),44631.66666666667)</f>
        <v>44631.66667</v>
      </c>
      <c r="B195" s="1">
        <f>IFERROR(__xludf.DUMMYFUNCTION("""COMPUTED_VALUE"""),133.49)</f>
        <v>133.49</v>
      </c>
      <c r="C195" s="1">
        <f>IFERROR(__xludf.DUMMYFUNCTION("""COMPUTED_VALUE"""),133.8)</f>
        <v>133.8</v>
      </c>
      <c r="D195" s="1">
        <f>IFERROR(__xludf.DUMMYFUNCTION("""COMPUTED_VALUE"""),129.63)</f>
        <v>129.63</v>
      </c>
      <c r="E195" s="1">
        <f>IFERROR(__xludf.DUMMYFUNCTION("""COMPUTED_VALUE"""),129.87)</f>
        <v>129.87</v>
      </c>
      <c r="F195" s="1">
        <f>IFERROR(__xludf.DUMMYFUNCTION("""COMPUTED_VALUE"""),1576322.0)</f>
        <v>1576322</v>
      </c>
    </row>
    <row r="196">
      <c r="A196" s="2">
        <f>IFERROR(__xludf.DUMMYFUNCTION("""COMPUTED_VALUE"""),44634.66666666667)</f>
        <v>44634.66667</v>
      </c>
      <c r="B196" s="1">
        <f>IFERROR(__xludf.DUMMYFUNCTION("""COMPUTED_VALUE"""),130.25)</f>
        <v>130.25</v>
      </c>
      <c r="C196" s="1">
        <f>IFERROR(__xludf.DUMMYFUNCTION("""COMPUTED_VALUE"""),130.41)</f>
        <v>130.41</v>
      </c>
      <c r="D196" s="1">
        <f>IFERROR(__xludf.DUMMYFUNCTION("""COMPUTED_VALUE"""),125.28)</f>
        <v>125.28</v>
      </c>
      <c r="E196" s="1">
        <f>IFERROR(__xludf.DUMMYFUNCTION("""COMPUTED_VALUE"""),125.95)</f>
        <v>125.95</v>
      </c>
      <c r="F196" s="1">
        <f>IFERROR(__xludf.DUMMYFUNCTION("""COMPUTED_VALUE"""),1940563.0)</f>
        <v>1940563</v>
      </c>
    </row>
    <row r="197">
      <c r="A197" s="2">
        <f>IFERROR(__xludf.DUMMYFUNCTION("""COMPUTED_VALUE"""),44635.66666666667)</f>
        <v>44635.66667</v>
      </c>
      <c r="B197" s="1">
        <f>IFERROR(__xludf.DUMMYFUNCTION("""COMPUTED_VALUE"""),126.98)</f>
        <v>126.98</v>
      </c>
      <c r="C197" s="1">
        <f>IFERROR(__xludf.DUMMYFUNCTION("""COMPUTED_VALUE"""),129.85)</f>
        <v>129.85</v>
      </c>
      <c r="D197" s="1">
        <f>IFERROR(__xludf.DUMMYFUNCTION("""COMPUTED_VALUE"""),125.72)</f>
        <v>125.72</v>
      </c>
      <c r="E197" s="1">
        <f>IFERROR(__xludf.DUMMYFUNCTION("""COMPUTED_VALUE"""),129.2)</f>
        <v>129.2</v>
      </c>
      <c r="F197" s="1">
        <f>IFERROR(__xludf.DUMMYFUNCTION("""COMPUTED_VALUE"""),1545976.0)</f>
        <v>1545976</v>
      </c>
    </row>
    <row r="198">
      <c r="A198" s="2">
        <f>IFERROR(__xludf.DUMMYFUNCTION("""COMPUTED_VALUE"""),44636.66666666667)</f>
        <v>44636.66667</v>
      </c>
      <c r="B198" s="1">
        <f>IFERROR(__xludf.DUMMYFUNCTION("""COMPUTED_VALUE"""),130.73)</f>
        <v>130.73</v>
      </c>
      <c r="C198" s="1">
        <f>IFERROR(__xludf.DUMMYFUNCTION("""COMPUTED_VALUE"""),133.33)</f>
        <v>133.33</v>
      </c>
      <c r="D198" s="1">
        <f>IFERROR(__xludf.DUMMYFUNCTION("""COMPUTED_VALUE"""),128.73)</f>
        <v>128.73</v>
      </c>
      <c r="E198" s="1">
        <f>IFERROR(__xludf.DUMMYFUNCTION("""COMPUTED_VALUE"""),133.28)</f>
        <v>133.28</v>
      </c>
      <c r="F198" s="1">
        <f>IFERROR(__xludf.DUMMYFUNCTION("""COMPUTED_VALUE"""),1778849.0)</f>
        <v>1778849</v>
      </c>
    </row>
    <row r="199">
      <c r="A199" s="2">
        <f>IFERROR(__xludf.DUMMYFUNCTION("""COMPUTED_VALUE"""),44637.66666666667)</f>
        <v>44637.66667</v>
      </c>
      <c r="B199" s="1">
        <f>IFERROR(__xludf.DUMMYFUNCTION("""COMPUTED_VALUE"""),133.15)</f>
        <v>133.15</v>
      </c>
      <c r="C199" s="1">
        <f>IFERROR(__xludf.DUMMYFUNCTION("""COMPUTED_VALUE"""),134.08)</f>
        <v>134.08</v>
      </c>
      <c r="D199" s="1">
        <f>IFERROR(__xludf.DUMMYFUNCTION("""COMPUTED_VALUE"""),132.19)</f>
        <v>132.19</v>
      </c>
      <c r="E199" s="1">
        <f>IFERROR(__xludf.DUMMYFUNCTION("""COMPUTED_VALUE"""),133.84)</f>
        <v>133.84</v>
      </c>
      <c r="F199" s="1">
        <f>IFERROR(__xludf.DUMMYFUNCTION("""COMPUTED_VALUE"""),1413196.0)</f>
        <v>1413196</v>
      </c>
    </row>
    <row r="200">
      <c r="A200" s="2">
        <f>IFERROR(__xludf.DUMMYFUNCTION("""COMPUTED_VALUE"""),44638.66666666667)</f>
        <v>44638.66667</v>
      </c>
      <c r="B200" s="1">
        <f>IFERROR(__xludf.DUMMYFUNCTION("""COMPUTED_VALUE"""),133.42)</f>
        <v>133.42</v>
      </c>
      <c r="C200" s="1">
        <f>IFERROR(__xludf.DUMMYFUNCTION("""COMPUTED_VALUE"""),136.24)</f>
        <v>136.24</v>
      </c>
      <c r="D200" s="1">
        <f>IFERROR(__xludf.DUMMYFUNCTION("""COMPUTED_VALUE"""),132.26)</f>
        <v>132.26</v>
      </c>
      <c r="E200" s="1">
        <f>IFERROR(__xludf.DUMMYFUNCTION("""COMPUTED_VALUE"""),136.13)</f>
        <v>136.13</v>
      </c>
      <c r="F200" s="1">
        <f>IFERROR(__xludf.DUMMYFUNCTION("""COMPUTED_VALUE"""),2228345.0)</f>
        <v>2228345</v>
      </c>
    </row>
    <row r="201">
      <c r="A201" s="2">
        <f>IFERROR(__xludf.DUMMYFUNCTION("""COMPUTED_VALUE"""),44641.66666666667)</f>
        <v>44641.66667</v>
      </c>
      <c r="B201" s="1">
        <f>IFERROR(__xludf.DUMMYFUNCTION("""COMPUTED_VALUE"""),136.16)</f>
        <v>136.16</v>
      </c>
      <c r="C201" s="1">
        <f>IFERROR(__xludf.DUMMYFUNCTION("""COMPUTED_VALUE"""),137.05)</f>
        <v>137.05</v>
      </c>
      <c r="D201" s="1">
        <f>IFERROR(__xludf.DUMMYFUNCTION("""COMPUTED_VALUE"""),134.09)</f>
        <v>134.09</v>
      </c>
      <c r="E201" s="1">
        <f>IFERROR(__xludf.DUMMYFUNCTION("""COMPUTED_VALUE"""),136.1)</f>
        <v>136.1</v>
      </c>
      <c r="F201" s="1">
        <f>IFERROR(__xludf.DUMMYFUNCTION("""COMPUTED_VALUE"""),1341584.0)</f>
        <v>1341584</v>
      </c>
    </row>
    <row r="202">
      <c r="A202" s="2">
        <f>IFERROR(__xludf.DUMMYFUNCTION("""COMPUTED_VALUE"""),44642.66666666667)</f>
        <v>44642.66667</v>
      </c>
      <c r="B202" s="1">
        <f>IFERROR(__xludf.DUMMYFUNCTION("""COMPUTED_VALUE"""),136.1)</f>
        <v>136.1</v>
      </c>
      <c r="C202" s="1">
        <f>IFERROR(__xludf.DUMMYFUNCTION("""COMPUTED_VALUE"""),141.05)</f>
        <v>141.05</v>
      </c>
      <c r="D202" s="1">
        <f>IFERROR(__xludf.DUMMYFUNCTION("""COMPUTED_VALUE"""),136.1)</f>
        <v>136.1</v>
      </c>
      <c r="E202" s="1">
        <f>IFERROR(__xludf.DUMMYFUNCTION("""COMPUTED_VALUE"""),139.87)</f>
        <v>139.87</v>
      </c>
      <c r="F202" s="1">
        <f>IFERROR(__xludf.DUMMYFUNCTION("""COMPUTED_VALUE"""),1774777.0)</f>
        <v>1774777</v>
      </c>
    </row>
    <row r="203">
      <c r="A203" s="2">
        <f>IFERROR(__xludf.DUMMYFUNCTION("""COMPUTED_VALUE"""),44643.66666666667)</f>
        <v>44643.66667</v>
      </c>
      <c r="B203" s="1">
        <f>IFERROR(__xludf.DUMMYFUNCTION("""COMPUTED_VALUE"""),138.7)</f>
        <v>138.7</v>
      </c>
      <c r="C203" s="1">
        <f>IFERROR(__xludf.DUMMYFUNCTION("""COMPUTED_VALUE"""),139.59)</f>
        <v>139.59</v>
      </c>
      <c r="D203" s="1">
        <f>IFERROR(__xludf.DUMMYFUNCTION("""COMPUTED_VALUE"""),137.84)</f>
        <v>137.84</v>
      </c>
      <c r="E203" s="1">
        <f>IFERROR(__xludf.DUMMYFUNCTION("""COMPUTED_VALUE"""),138.28)</f>
        <v>138.28</v>
      </c>
      <c r="F203" s="1">
        <f>IFERROR(__xludf.DUMMYFUNCTION("""COMPUTED_VALUE"""),1257670.0)</f>
        <v>1257670</v>
      </c>
    </row>
    <row r="204">
      <c r="A204" s="2">
        <f>IFERROR(__xludf.DUMMYFUNCTION("""COMPUTED_VALUE"""),44644.66666666667)</f>
        <v>44644.66667</v>
      </c>
      <c r="B204" s="1">
        <f>IFERROR(__xludf.DUMMYFUNCTION("""COMPUTED_VALUE"""),139.2)</f>
        <v>139.2</v>
      </c>
      <c r="C204" s="1">
        <f>IFERROR(__xludf.DUMMYFUNCTION("""COMPUTED_VALUE"""),141.62)</f>
        <v>141.62</v>
      </c>
      <c r="D204" s="1">
        <f>IFERROR(__xludf.DUMMYFUNCTION("""COMPUTED_VALUE"""),137.75)</f>
        <v>137.75</v>
      </c>
      <c r="E204" s="1">
        <f>IFERROR(__xludf.DUMMYFUNCTION("""COMPUTED_VALUE"""),141.57)</f>
        <v>141.57</v>
      </c>
      <c r="F204" s="1">
        <f>IFERROR(__xludf.DUMMYFUNCTION("""COMPUTED_VALUE"""),1319828.0)</f>
        <v>1319828</v>
      </c>
    </row>
    <row r="205">
      <c r="A205" s="2">
        <f>IFERROR(__xludf.DUMMYFUNCTION("""COMPUTED_VALUE"""),44645.66666666667)</f>
        <v>44645.66667</v>
      </c>
      <c r="B205" s="1">
        <f>IFERROR(__xludf.DUMMYFUNCTION("""COMPUTED_VALUE"""),141.92)</f>
        <v>141.92</v>
      </c>
      <c r="C205" s="1">
        <f>IFERROR(__xludf.DUMMYFUNCTION("""COMPUTED_VALUE"""),142.04)</f>
        <v>142.04</v>
      </c>
      <c r="D205" s="1">
        <f>IFERROR(__xludf.DUMMYFUNCTION("""COMPUTED_VALUE"""),139.74)</f>
        <v>139.74</v>
      </c>
      <c r="E205" s="1">
        <f>IFERROR(__xludf.DUMMYFUNCTION("""COMPUTED_VALUE"""),141.67)</f>
        <v>141.67</v>
      </c>
      <c r="F205" s="1">
        <f>IFERROR(__xludf.DUMMYFUNCTION("""COMPUTED_VALUE"""),1207154.0)</f>
        <v>1207154</v>
      </c>
    </row>
    <row r="206">
      <c r="A206" s="2">
        <f>IFERROR(__xludf.DUMMYFUNCTION("""COMPUTED_VALUE"""),44648.66666666667)</f>
        <v>44648.66667</v>
      </c>
      <c r="B206" s="1">
        <f>IFERROR(__xludf.DUMMYFUNCTION("""COMPUTED_VALUE"""),140.9)</f>
        <v>140.9</v>
      </c>
      <c r="C206" s="1">
        <f>IFERROR(__xludf.DUMMYFUNCTION("""COMPUTED_VALUE"""),142.0)</f>
        <v>142</v>
      </c>
      <c r="D206" s="1">
        <f>IFERROR(__xludf.DUMMYFUNCTION("""COMPUTED_VALUE"""),139.81)</f>
        <v>139.81</v>
      </c>
      <c r="E206" s="1">
        <f>IFERROR(__xludf.DUMMYFUNCTION("""COMPUTED_VALUE"""),141.46)</f>
        <v>141.46</v>
      </c>
      <c r="F206" s="1">
        <f>IFERROR(__xludf.DUMMYFUNCTION("""COMPUTED_VALUE"""),1752463.0)</f>
        <v>1752463</v>
      </c>
    </row>
    <row r="207">
      <c r="A207" s="2">
        <f>IFERROR(__xludf.DUMMYFUNCTION("""COMPUTED_VALUE"""),44649.66666666667)</f>
        <v>44649.66667</v>
      </c>
      <c r="B207" s="1">
        <f>IFERROR(__xludf.DUMMYFUNCTION("""COMPUTED_VALUE"""),142.65)</f>
        <v>142.65</v>
      </c>
      <c r="C207" s="1">
        <f>IFERROR(__xludf.DUMMYFUNCTION("""COMPUTED_VALUE"""),143.79)</f>
        <v>143.79</v>
      </c>
      <c r="D207" s="1">
        <f>IFERROR(__xludf.DUMMYFUNCTION("""COMPUTED_VALUE"""),142.04)</f>
        <v>142.04</v>
      </c>
      <c r="E207" s="1">
        <f>IFERROR(__xludf.DUMMYFUNCTION("""COMPUTED_VALUE"""),142.51)</f>
        <v>142.51</v>
      </c>
      <c r="F207" s="1">
        <f>IFERROR(__xludf.DUMMYFUNCTION("""COMPUTED_VALUE"""),1715851.0)</f>
        <v>1715851</v>
      </c>
    </row>
    <row r="208">
      <c r="A208" s="2">
        <f>IFERROR(__xludf.DUMMYFUNCTION("""COMPUTED_VALUE"""),44650.66666666667)</f>
        <v>44650.66667</v>
      </c>
      <c r="B208" s="1">
        <f>IFERROR(__xludf.DUMMYFUNCTION("""COMPUTED_VALUE"""),142.46)</f>
        <v>142.46</v>
      </c>
      <c r="C208" s="1">
        <f>IFERROR(__xludf.DUMMYFUNCTION("""COMPUTED_VALUE"""),142.72)</f>
        <v>142.72</v>
      </c>
      <c r="D208" s="1">
        <f>IFERROR(__xludf.DUMMYFUNCTION("""COMPUTED_VALUE"""),141.6)</f>
        <v>141.6</v>
      </c>
      <c r="E208" s="1">
        <f>IFERROR(__xludf.DUMMYFUNCTION("""COMPUTED_VALUE"""),141.94)</f>
        <v>141.94</v>
      </c>
      <c r="F208" s="1">
        <f>IFERROR(__xludf.DUMMYFUNCTION("""COMPUTED_VALUE"""),994238.0)</f>
        <v>994238</v>
      </c>
    </row>
    <row r="209">
      <c r="A209" s="2">
        <f>IFERROR(__xludf.DUMMYFUNCTION("""COMPUTED_VALUE"""),44651.66666666667)</f>
        <v>44651.66667</v>
      </c>
      <c r="B209" s="1">
        <f>IFERROR(__xludf.DUMMYFUNCTION("""COMPUTED_VALUE"""),142.05)</f>
        <v>142.05</v>
      </c>
      <c r="C209" s="1">
        <f>IFERROR(__xludf.DUMMYFUNCTION("""COMPUTED_VALUE"""),142.11)</f>
        <v>142.11</v>
      </c>
      <c r="D209" s="1">
        <f>IFERROR(__xludf.DUMMYFUNCTION("""COMPUTED_VALUE"""),139.02)</f>
        <v>139.02</v>
      </c>
      <c r="E209" s="1">
        <f>IFERROR(__xludf.DUMMYFUNCTION("""COMPUTED_VALUE"""),139.07)</f>
        <v>139.07</v>
      </c>
      <c r="F209" s="1">
        <f>IFERROR(__xludf.DUMMYFUNCTION("""COMPUTED_VALUE"""),1876236.0)</f>
        <v>1876236</v>
      </c>
    </row>
    <row r="210">
      <c r="A210" s="2">
        <f>IFERROR(__xludf.DUMMYFUNCTION("""COMPUTED_VALUE"""),44652.66666666667)</f>
        <v>44652.66667</v>
      </c>
      <c r="B210" s="1">
        <f>IFERROR(__xludf.DUMMYFUNCTION("""COMPUTED_VALUE"""),139.5)</f>
        <v>139.5</v>
      </c>
      <c r="C210" s="1">
        <f>IFERROR(__xludf.DUMMYFUNCTION("""COMPUTED_VALUE"""),140.47)</f>
        <v>140.47</v>
      </c>
      <c r="D210" s="1">
        <f>IFERROR(__xludf.DUMMYFUNCTION("""COMPUTED_VALUE"""),138.31)</f>
        <v>138.31</v>
      </c>
      <c r="E210" s="1">
        <f>IFERROR(__xludf.DUMMYFUNCTION("""COMPUTED_VALUE"""),140.15)</f>
        <v>140.15</v>
      </c>
      <c r="F210" s="1">
        <f>IFERROR(__xludf.DUMMYFUNCTION("""COMPUTED_VALUE"""),1297072.0)</f>
        <v>1297072</v>
      </c>
    </row>
    <row r="211">
      <c r="A211" s="2">
        <f>IFERROR(__xludf.DUMMYFUNCTION("""COMPUTED_VALUE"""),44655.66666666667)</f>
        <v>44655.66667</v>
      </c>
      <c r="B211" s="1">
        <f>IFERROR(__xludf.DUMMYFUNCTION("""COMPUTED_VALUE"""),140.36)</f>
        <v>140.36</v>
      </c>
      <c r="C211" s="1">
        <f>IFERROR(__xludf.DUMMYFUNCTION("""COMPUTED_VALUE"""),143.71)</f>
        <v>143.71</v>
      </c>
      <c r="D211" s="1">
        <f>IFERROR(__xludf.DUMMYFUNCTION("""COMPUTED_VALUE"""),140.31)</f>
        <v>140.31</v>
      </c>
      <c r="E211" s="1">
        <f>IFERROR(__xludf.DUMMYFUNCTION("""COMPUTED_VALUE"""),142.97)</f>
        <v>142.97</v>
      </c>
      <c r="F211" s="1">
        <f>IFERROR(__xludf.DUMMYFUNCTION("""COMPUTED_VALUE"""),1298542.0)</f>
        <v>1298542</v>
      </c>
    </row>
    <row r="212">
      <c r="A212" s="2">
        <f>IFERROR(__xludf.DUMMYFUNCTION("""COMPUTED_VALUE"""),44656.66666666667)</f>
        <v>44656.66667</v>
      </c>
      <c r="B212" s="1">
        <f>IFERROR(__xludf.DUMMYFUNCTION("""COMPUTED_VALUE"""),142.87)</f>
        <v>142.87</v>
      </c>
      <c r="C212" s="1">
        <f>IFERROR(__xludf.DUMMYFUNCTION("""COMPUTED_VALUE"""),142.99)</f>
        <v>142.99</v>
      </c>
      <c r="D212" s="1">
        <f>IFERROR(__xludf.DUMMYFUNCTION("""COMPUTED_VALUE"""),140.38)</f>
        <v>140.38</v>
      </c>
      <c r="E212" s="1">
        <f>IFERROR(__xludf.DUMMYFUNCTION("""COMPUTED_VALUE"""),140.59)</f>
        <v>140.59</v>
      </c>
      <c r="F212" s="1">
        <f>IFERROR(__xludf.DUMMYFUNCTION("""COMPUTED_VALUE"""),1070906.0)</f>
        <v>1070906</v>
      </c>
    </row>
    <row r="213">
      <c r="A213" s="2">
        <f>IFERROR(__xludf.DUMMYFUNCTION("""COMPUTED_VALUE"""),44657.66666666667)</f>
        <v>44657.66667</v>
      </c>
      <c r="B213" s="1">
        <f>IFERROR(__xludf.DUMMYFUNCTION("""COMPUTED_VALUE"""),138.75)</f>
        <v>138.75</v>
      </c>
      <c r="C213" s="1">
        <f>IFERROR(__xludf.DUMMYFUNCTION("""COMPUTED_VALUE"""),139.36)</f>
        <v>139.36</v>
      </c>
      <c r="D213" s="1">
        <f>IFERROR(__xludf.DUMMYFUNCTION("""COMPUTED_VALUE"""),135.52)</f>
        <v>135.52</v>
      </c>
      <c r="E213" s="1">
        <f>IFERROR(__xludf.DUMMYFUNCTION("""COMPUTED_VALUE"""),136.55)</f>
        <v>136.55</v>
      </c>
      <c r="F213" s="1">
        <f>IFERROR(__xludf.DUMMYFUNCTION("""COMPUTED_VALUE"""),1623424.0)</f>
        <v>1623424</v>
      </c>
    </row>
    <row r="214">
      <c r="A214" s="2">
        <f>IFERROR(__xludf.DUMMYFUNCTION("""COMPUTED_VALUE"""),44658.66666666667)</f>
        <v>44658.66667</v>
      </c>
      <c r="B214" s="1">
        <f>IFERROR(__xludf.DUMMYFUNCTION("""COMPUTED_VALUE"""),136.01)</f>
        <v>136.01</v>
      </c>
      <c r="C214" s="1">
        <f>IFERROR(__xludf.DUMMYFUNCTION("""COMPUTED_VALUE"""),137.16)</f>
        <v>137.16</v>
      </c>
      <c r="D214" s="1">
        <f>IFERROR(__xludf.DUMMYFUNCTION("""COMPUTED_VALUE"""),134.23)</f>
        <v>134.23</v>
      </c>
      <c r="E214" s="1">
        <f>IFERROR(__xludf.DUMMYFUNCTION("""COMPUTED_VALUE"""),135.89)</f>
        <v>135.89</v>
      </c>
      <c r="F214" s="1">
        <f>IFERROR(__xludf.DUMMYFUNCTION("""COMPUTED_VALUE"""),1311680.0)</f>
        <v>1311680</v>
      </c>
    </row>
    <row r="215">
      <c r="A215" s="2">
        <f>IFERROR(__xludf.DUMMYFUNCTION("""COMPUTED_VALUE"""),44659.66666666667)</f>
        <v>44659.66667</v>
      </c>
      <c r="B215" s="1">
        <f>IFERROR(__xludf.DUMMYFUNCTION("""COMPUTED_VALUE"""),135.58)</f>
        <v>135.58</v>
      </c>
      <c r="C215" s="1">
        <f>IFERROR(__xludf.DUMMYFUNCTION("""COMPUTED_VALUE"""),135.67)</f>
        <v>135.67</v>
      </c>
      <c r="D215" s="1">
        <f>IFERROR(__xludf.DUMMYFUNCTION("""COMPUTED_VALUE"""),132.97)</f>
        <v>132.97</v>
      </c>
      <c r="E215" s="1">
        <f>IFERROR(__xludf.DUMMYFUNCTION("""COMPUTED_VALUE"""),133.29)</f>
        <v>133.29</v>
      </c>
      <c r="F215" s="1">
        <f>IFERROR(__xludf.DUMMYFUNCTION("""COMPUTED_VALUE"""),1257140.0)</f>
        <v>1257140</v>
      </c>
    </row>
    <row r="216">
      <c r="A216" s="2">
        <f>IFERROR(__xludf.DUMMYFUNCTION("""COMPUTED_VALUE"""),44662.66666666667)</f>
        <v>44662.66667</v>
      </c>
      <c r="B216" s="1">
        <f>IFERROR(__xludf.DUMMYFUNCTION("""COMPUTED_VALUE"""),131.82)</f>
        <v>131.82</v>
      </c>
      <c r="C216" s="1">
        <f>IFERROR(__xludf.DUMMYFUNCTION("""COMPUTED_VALUE"""),132.09)</f>
        <v>132.09</v>
      </c>
      <c r="D216" s="1">
        <f>IFERROR(__xludf.DUMMYFUNCTION("""COMPUTED_VALUE"""),128.67)</f>
        <v>128.67</v>
      </c>
      <c r="E216" s="1">
        <f>IFERROR(__xludf.DUMMYFUNCTION("""COMPUTED_VALUE"""),128.82)</f>
        <v>128.82</v>
      </c>
      <c r="F216" s="1">
        <f>IFERROR(__xludf.DUMMYFUNCTION("""COMPUTED_VALUE"""),1844153.0)</f>
        <v>1844153</v>
      </c>
    </row>
    <row r="217">
      <c r="A217" s="2">
        <f>IFERROR(__xludf.DUMMYFUNCTION("""COMPUTED_VALUE"""),44663.66666666667)</f>
        <v>44663.66667</v>
      </c>
      <c r="B217" s="1">
        <f>IFERROR(__xludf.DUMMYFUNCTION("""COMPUTED_VALUE"""),131.6)</f>
        <v>131.6</v>
      </c>
      <c r="C217" s="1">
        <f>IFERROR(__xludf.DUMMYFUNCTION("""COMPUTED_VALUE"""),131.6)</f>
        <v>131.6</v>
      </c>
      <c r="D217" s="1">
        <f>IFERROR(__xludf.DUMMYFUNCTION("""COMPUTED_VALUE"""),126.79)</f>
        <v>126.79</v>
      </c>
      <c r="E217" s="1">
        <f>IFERROR(__xludf.DUMMYFUNCTION("""COMPUTED_VALUE"""),127.71)</f>
        <v>127.71</v>
      </c>
      <c r="F217" s="1">
        <f>IFERROR(__xludf.DUMMYFUNCTION("""COMPUTED_VALUE"""),1635535.0)</f>
        <v>1635535</v>
      </c>
    </row>
    <row r="218">
      <c r="A218" s="2">
        <f>IFERROR(__xludf.DUMMYFUNCTION("""COMPUTED_VALUE"""),44664.66666666667)</f>
        <v>44664.66667</v>
      </c>
      <c r="B218" s="1">
        <f>IFERROR(__xludf.DUMMYFUNCTION("""COMPUTED_VALUE"""),128.0)</f>
        <v>128</v>
      </c>
      <c r="C218" s="1">
        <f>IFERROR(__xludf.DUMMYFUNCTION("""COMPUTED_VALUE"""),130.33)</f>
        <v>130.33</v>
      </c>
      <c r="D218" s="1">
        <f>IFERROR(__xludf.DUMMYFUNCTION("""COMPUTED_VALUE"""),127.74)</f>
        <v>127.74</v>
      </c>
      <c r="E218" s="1">
        <f>IFERROR(__xludf.DUMMYFUNCTION("""COMPUTED_VALUE"""),129.89)</f>
        <v>129.89</v>
      </c>
      <c r="F218" s="1">
        <f>IFERROR(__xludf.DUMMYFUNCTION("""COMPUTED_VALUE"""),1396362.0)</f>
        <v>1396362</v>
      </c>
    </row>
    <row r="219">
      <c r="A219" s="2">
        <f>IFERROR(__xludf.DUMMYFUNCTION("""COMPUTED_VALUE"""),44665.66666666667)</f>
        <v>44665.66667</v>
      </c>
      <c r="B219" s="1">
        <f>IFERROR(__xludf.DUMMYFUNCTION("""COMPUTED_VALUE"""),130.48)</f>
        <v>130.48</v>
      </c>
      <c r="C219" s="1">
        <f>IFERROR(__xludf.DUMMYFUNCTION("""COMPUTED_VALUE"""),130.48)</f>
        <v>130.48</v>
      </c>
      <c r="D219" s="1">
        <f>IFERROR(__xludf.DUMMYFUNCTION("""COMPUTED_VALUE"""),126.6)</f>
        <v>126.6</v>
      </c>
      <c r="E219" s="1">
        <f>IFERROR(__xludf.DUMMYFUNCTION("""COMPUTED_VALUE"""),126.73)</f>
        <v>126.73</v>
      </c>
      <c r="F219" s="1">
        <f>IFERROR(__xludf.DUMMYFUNCTION("""COMPUTED_VALUE"""),1579899.0)</f>
        <v>1579899</v>
      </c>
    </row>
    <row r="220">
      <c r="A220" s="2">
        <f>IFERROR(__xludf.DUMMYFUNCTION("""COMPUTED_VALUE"""),44669.66666666667)</f>
        <v>44669.66667</v>
      </c>
      <c r="B220" s="1">
        <f>IFERROR(__xludf.DUMMYFUNCTION("""COMPUTED_VALUE"""),127.0)</f>
        <v>127</v>
      </c>
      <c r="C220" s="1">
        <f>IFERROR(__xludf.DUMMYFUNCTION("""COMPUTED_VALUE"""),128.21)</f>
        <v>128.21</v>
      </c>
      <c r="D220" s="1">
        <f>IFERROR(__xludf.DUMMYFUNCTION("""COMPUTED_VALUE"""),126.18)</f>
        <v>126.18</v>
      </c>
      <c r="E220" s="1">
        <f>IFERROR(__xludf.DUMMYFUNCTION("""COMPUTED_VALUE"""),127.68)</f>
        <v>127.68</v>
      </c>
      <c r="F220" s="1">
        <f>IFERROR(__xludf.DUMMYFUNCTION("""COMPUTED_VALUE"""),1040433.0)</f>
        <v>1040433</v>
      </c>
    </row>
    <row r="221">
      <c r="A221" s="2">
        <f>IFERROR(__xludf.DUMMYFUNCTION("""COMPUTED_VALUE"""),44670.66666666667)</f>
        <v>44670.66667</v>
      </c>
      <c r="B221" s="1">
        <f>IFERROR(__xludf.DUMMYFUNCTION("""COMPUTED_VALUE"""),127.69)</f>
        <v>127.69</v>
      </c>
      <c r="C221" s="1">
        <f>IFERROR(__xludf.DUMMYFUNCTION("""COMPUTED_VALUE"""),130.33)</f>
        <v>130.33</v>
      </c>
      <c r="D221" s="1">
        <f>IFERROR(__xludf.DUMMYFUNCTION("""COMPUTED_VALUE"""),127.0)</f>
        <v>127</v>
      </c>
      <c r="E221" s="1">
        <f>IFERROR(__xludf.DUMMYFUNCTION("""COMPUTED_VALUE"""),130.01)</f>
        <v>130.01</v>
      </c>
      <c r="F221" s="1">
        <f>IFERROR(__xludf.DUMMYFUNCTION("""COMPUTED_VALUE"""),1324488.0)</f>
        <v>1324488</v>
      </c>
    </row>
    <row r="222">
      <c r="A222" s="2">
        <f>IFERROR(__xludf.DUMMYFUNCTION("""COMPUTED_VALUE"""),44671.66666666667)</f>
        <v>44671.66667</v>
      </c>
      <c r="B222" s="1">
        <f>IFERROR(__xludf.DUMMYFUNCTION("""COMPUTED_VALUE"""),130.89)</f>
        <v>130.89</v>
      </c>
      <c r="C222" s="1">
        <f>IFERROR(__xludf.DUMMYFUNCTION("""COMPUTED_VALUE"""),131.4)</f>
        <v>131.4</v>
      </c>
      <c r="D222" s="1">
        <f>IFERROR(__xludf.DUMMYFUNCTION("""COMPUTED_VALUE"""),127.5)</f>
        <v>127.5</v>
      </c>
      <c r="E222" s="1">
        <f>IFERROR(__xludf.DUMMYFUNCTION("""COMPUTED_VALUE"""),128.04)</f>
        <v>128.04</v>
      </c>
      <c r="F222" s="1">
        <f>IFERROR(__xludf.DUMMYFUNCTION("""COMPUTED_VALUE"""),1584773.0)</f>
        <v>1584773</v>
      </c>
    </row>
    <row r="223">
      <c r="A223" s="2">
        <f>IFERROR(__xludf.DUMMYFUNCTION("""COMPUTED_VALUE"""),44672.66666666667)</f>
        <v>44672.66667</v>
      </c>
      <c r="B223" s="1">
        <f>IFERROR(__xludf.DUMMYFUNCTION("""COMPUTED_VALUE"""),129.25)</f>
        <v>129.25</v>
      </c>
      <c r="C223" s="1">
        <f>IFERROR(__xludf.DUMMYFUNCTION("""COMPUTED_VALUE"""),130.1)</f>
        <v>130.1</v>
      </c>
      <c r="D223" s="1">
        <f>IFERROR(__xludf.DUMMYFUNCTION("""COMPUTED_VALUE"""),124.53)</f>
        <v>124.53</v>
      </c>
      <c r="E223" s="1">
        <f>IFERROR(__xludf.DUMMYFUNCTION("""COMPUTED_VALUE"""),124.81)</f>
        <v>124.81</v>
      </c>
      <c r="F223" s="1">
        <f>IFERROR(__xludf.DUMMYFUNCTION("""COMPUTED_VALUE"""),1822258.0)</f>
        <v>1822258</v>
      </c>
    </row>
    <row r="224">
      <c r="A224" s="2">
        <f>IFERROR(__xludf.DUMMYFUNCTION("""COMPUTED_VALUE"""),44673.66666666667)</f>
        <v>44673.66667</v>
      </c>
      <c r="B224" s="1">
        <f>IFERROR(__xludf.DUMMYFUNCTION("""COMPUTED_VALUE"""),125.0)</f>
        <v>125</v>
      </c>
      <c r="C224" s="1">
        <f>IFERROR(__xludf.DUMMYFUNCTION("""COMPUTED_VALUE"""),125.4)</f>
        <v>125.4</v>
      </c>
      <c r="D224" s="1">
        <f>IFERROR(__xludf.DUMMYFUNCTION("""COMPUTED_VALUE"""),118.93)</f>
        <v>118.93</v>
      </c>
      <c r="E224" s="1">
        <f>IFERROR(__xludf.DUMMYFUNCTION("""COMPUTED_VALUE"""),119.64)</f>
        <v>119.64</v>
      </c>
      <c r="F224" s="1">
        <f>IFERROR(__xludf.DUMMYFUNCTION("""COMPUTED_VALUE"""),2844186.0)</f>
        <v>2844186</v>
      </c>
    </row>
    <row r="225">
      <c r="A225" s="2">
        <f>IFERROR(__xludf.DUMMYFUNCTION("""COMPUTED_VALUE"""),44676.66666666667)</f>
        <v>44676.66667</v>
      </c>
      <c r="B225" s="1">
        <f>IFERROR(__xludf.DUMMYFUNCTION("""COMPUTED_VALUE"""),119.1)</f>
        <v>119.1</v>
      </c>
      <c r="C225" s="1">
        <f>IFERROR(__xludf.DUMMYFUNCTION("""COMPUTED_VALUE"""),123.28)</f>
        <v>123.28</v>
      </c>
      <c r="D225" s="1">
        <f>IFERROR(__xludf.DUMMYFUNCTION("""COMPUTED_VALUE"""),118.51)</f>
        <v>118.51</v>
      </c>
      <c r="E225" s="1">
        <f>IFERROR(__xludf.DUMMYFUNCTION("""COMPUTED_VALUE"""),123.07)</f>
        <v>123.07</v>
      </c>
      <c r="F225" s="1">
        <f>IFERROR(__xludf.DUMMYFUNCTION("""COMPUTED_VALUE"""),2306413.0)</f>
        <v>2306413</v>
      </c>
    </row>
    <row r="226">
      <c r="A226" s="2">
        <f>IFERROR(__xludf.DUMMYFUNCTION("""COMPUTED_VALUE"""),44677.66666666667)</f>
        <v>44677.66667</v>
      </c>
      <c r="B226" s="1">
        <f>IFERROR(__xludf.DUMMYFUNCTION("""COMPUTED_VALUE"""),122.29)</f>
        <v>122.29</v>
      </c>
      <c r="C226" s="1">
        <f>IFERROR(__xludf.DUMMYFUNCTION("""COMPUTED_VALUE"""),122.51)</f>
        <v>122.51</v>
      </c>
      <c r="D226" s="1">
        <f>IFERROR(__xludf.DUMMYFUNCTION("""COMPUTED_VALUE"""),118.51)</f>
        <v>118.51</v>
      </c>
      <c r="E226" s="1">
        <f>IFERROR(__xludf.DUMMYFUNCTION("""COMPUTED_VALUE"""),118.65)</f>
        <v>118.65</v>
      </c>
      <c r="F226" s="1">
        <f>IFERROR(__xludf.DUMMYFUNCTION("""COMPUTED_VALUE"""),3652744.0)</f>
        <v>3652744</v>
      </c>
    </row>
    <row r="227">
      <c r="A227" s="2">
        <f>IFERROR(__xludf.DUMMYFUNCTION("""COMPUTED_VALUE"""),44678.66666666667)</f>
        <v>44678.66667</v>
      </c>
      <c r="B227" s="1">
        <f>IFERROR(__xludf.DUMMYFUNCTION("""COMPUTED_VALUE"""),114.47)</f>
        <v>114.47</v>
      </c>
      <c r="C227" s="1">
        <f>IFERROR(__xludf.DUMMYFUNCTION("""COMPUTED_VALUE"""),117.24)</f>
        <v>117.24</v>
      </c>
      <c r="D227" s="1">
        <f>IFERROR(__xludf.DUMMYFUNCTION("""COMPUTED_VALUE"""),112.74)</f>
        <v>112.74</v>
      </c>
      <c r="E227" s="1">
        <f>IFERROR(__xludf.DUMMYFUNCTION("""COMPUTED_VALUE"""),114.29)</f>
        <v>114.29</v>
      </c>
      <c r="F227" s="1">
        <f>IFERROR(__xludf.DUMMYFUNCTION("""COMPUTED_VALUE"""),4591029.0)</f>
        <v>4591029</v>
      </c>
    </row>
    <row r="228">
      <c r="A228" s="2">
        <f>IFERROR(__xludf.DUMMYFUNCTION("""COMPUTED_VALUE"""),44679.66666666667)</f>
        <v>44679.66667</v>
      </c>
      <c r="B228" s="1">
        <f>IFERROR(__xludf.DUMMYFUNCTION("""COMPUTED_VALUE"""),116.42)</f>
        <v>116.42</v>
      </c>
      <c r="C228" s="1">
        <f>IFERROR(__xludf.DUMMYFUNCTION("""COMPUTED_VALUE"""),119.65)</f>
        <v>119.65</v>
      </c>
      <c r="D228" s="1">
        <f>IFERROR(__xludf.DUMMYFUNCTION("""COMPUTED_VALUE"""),114.12)</f>
        <v>114.12</v>
      </c>
      <c r="E228" s="1">
        <f>IFERROR(__xludf.DUMMYFUNCTION("""COMPUTED_VALUE"""),118.52)</f>
        <v>118.52</v>
      </c>
      <c r="F228" s="1">
        <f>IFERROR(__xludf.DUMMYFUNCTION("""COMPUTED_VALUE"""),2444232.0)</f>
        <v>2444232</v>
      </c>
    </row>
    <row r="229">
      <c r="A229" s="2">
        <f>IFERROR(__xludf.DUMMYFUNCTION("""COMPUTED_VALUE"""),44680.66666666667)</f>
        <v>44680.66667</v>
      </c>
      <c r="B229" s="1">
        <f>IFERROR(__xludf.DUMMYFUNCTION("""COMPUTED_VALUE"""),116.73)</f>
        <v>116.73</v>
      </c>
      <c r="C229" s="1">
        <f>IFERROR(__xludf.DUMMYFUNCTION("""COMPUTED_VALUE"""),117.92)</f>
        <v>117.92</v>
      </c>
      <c r="D229" s="1">
        <f>IFERROR(__xludf.DUMMYFUNCTION("""COMPUTED_VALUE"""),113.81)</f>
        <v>113.81</v>
      </c>
      <c r="E229" s="1">
        <f>IFERROR(__xludf.DUMMYFUNCTION("""COMPUTED_VALUE"""),114.11)</f>
        <v>114.11</v>
      </c>
      <c r="F229" s="1">
        <f>IFERROR(__xludf.DUMMYFUNCTION("""COMPUTED_VALUE"""),2133800.0)</f>
        <v>2133800</v>
      </c>
    </row>
    <row r="230">
      <c r="A230" s="2">
        <f>IFERROR(__xludf.DUMMYFUNCTION("""COMPUTED_VALUE"""),44683.66666666667)</f>
        <v>44683.66667</v>
      </c>
      <c r="B230" s="1">
        <f>IFERROR(__xludf.DUMMYFUNCTION("""COMPUTED_VALUE"""),113.41)</f>
        <v>113.41</v>
      </c>
      <c r="C230" s="1">
        <f>IFERROR(__xludf.DUMMYFUNCTION("""COMPUTED_VALUE"""),116.75)</f>
        <v>116.75</v>
      </c>
      <c r="D230" s="1">
        <f>IFERROR(__xludf.DUMMYFUNCTION("""COMPUTED_VALUE"""),112.6)</f>
        <v>112.6</v>
      </c>
      <c r="E230" s="1">
        <f>IFERROR(__xludf.DUMMYFUNCTION("""COMPUTED_VALUE"""),116.58)</f>
        <v>116.58</v>
      </c>
      <c r="F230" s="1">
        <f>IFERROR(__xludf.DUMMYFUNCTION("""COMPUTED_VALUE"""),1776651.0)</f>
        <v>1776651</v>
      </c>
    </row>
    <row r="231">
      <c r="A231" s="2">
        <f>IFERROR(__xludf.DUMMYFUNCTION("""COMPUTED_VALUE"""),44684.66666666667)</f>
        <v>44684.66667</v>
      </c>
      <c r="B231" s="1">
        <f>IFERROR(__xludf.DUMMYFUNCTION("""COMPUTED_VALUE"""),116.43)</f>
        <v>116.43</v>
      </c>
      <c r="C231" s="1">
        <f>IFERROR(__xludf.DUMMYFUNCTION("""COMPUTED_VALUE"""),118.44)</f>
        <v>118.44</v>
      </c>
      <c r="D231" s="1">
        <f>IFERROR(__xludf.DUMMYFUNCTION("""COMPUTED_VALUE"""),116.03)</f>
        <v>116.03</v>
      </c>
      <c r="E231" s="1">
        <f>IFERROR(__xludf.DUMMYFUNCTION("""COMPUTED_VALUE"""),117.33)</f>
        <v>117.33</v>
      </c>
      <c r="F231" s="1">
        <f>IFERROR(__xludf.DUMMYFUNCTION("""COMPUTED_VALUE"""),1248368.0)</f>
        <v>1248368</v>
      </c>
    </row>
    <row r="232">
      <c r="A232" s="2">
        <f>IFERROR(__xludf.DUMMYFUNCTION("""COMPUTED_VALUE"""),44685.66666666667)</f>
        <v>44685.66667</v>
      </c>
      <c r="B232" s="1">
        <f>IFERROR(__xludf.DUMMYFUNCTION("""COMPUTED_VALUE"""),117.03)</f>
        <v>117.03</v>
      </c>
      <c r="C232" s="1">
        <f>IFERROR(__xludf.DUMMYFUNCTION("""COMPUTED_VALUE"""),122.85)</f>
        <v>122.85</v>
      </c>
      <c r="D232" s="1">
        <f>IFERROR(__xludf.DUMMYFUNCTION("""COMPUTED_VALUE"""),115.12)</f>
        <v>115.12</v>
      </c>
      <c r="E232" s="1">
        <f>IFERROR(__xludf.DUMMYFUNCTION("""COMPUTED_VALUE"""),122.26)</f>
        <v>122.26</v>
      </c>
      <c r="F232" s="1">
        <f>IFERROR(__xludf.DUMMYFUNCTION("""COMPUTED_VALUE"""),2495764.0)</f>
        <v>2495764</v>
      </c>
    </row>
    <row r="233">
      <c r="A233" s="2">
        <f>IFERROR(__xludf.DUMMYFUNCTION("""COMPUTED_VALUE"""),44686.66666666667)</f>
        <v>44686.66667</v>
      </c>
      <c r="B233" s="1">
        <f>IFERROR(__xludf.DUMMYFUNCTION("""COMPUTED_VALUE"""),120.2)</f>
        <v>120.2</v>
      </c>
      <c r="C233" s="1">
        <f>IFERROR(__xludf.DUMMYFUNCTION("""COMPUTED_VALUE"""),121.04)</f>
        <v>121.04</v>
      </c>
      <c r="D233" s="1">
        <f>IFERROR(__xludf.DUMMYFUNCTION("""COMPUTED_VALUE"""),115.01)</f>
        <v>115.01</v>
      </c>
      <c r="E233" s="1">
        <f>IFERROR(__xludf.DUMMYFUNCTION("""COMPUTED_VALUE"""),116.51)</f>
        <v>116.51</v>
      </c>
      <c r="F233" s="1">
        <f>IFERROR(__xludf.DUMMYFUNCTION("""COMPUTED_VALUE"""),2292029.0)</f>
        <v>2292029</v>
      </c>
    </row>
    <row r="234">
      <c r="A234" s="2">
        <f>IFERROR(__xludf.DUMMYFUNCTION("""COMPUTED_VALUE"""),44687.66666666667)</f>
        <v>44687.66667</v>
      </c>
      <c r="B234" s="1">
        <f>IFERROR(__xludf.DUMMYFUNCTION("""COMPUTED_VALUE"""),115.18)</f>
        <v>115.18</v>
      </c>
      <c r="C234" s="1">
        <f>IFERROR(__xludf.DUMMYFUNCTION("""COMPUTED_VALUE"""),117.57)</f>
        <v>117.57</v>
      </c>
      <c r="D234" s="1">
        <f>IFERROR(__xludf.DUMMYFUNCTION("""COMPUTED_VALUE"""),114.02)</f>
        <v>114.02</v>
      </c>
      <c r="E234" s="1">
        <f>IFERROR(__xludf.DUMMYFUNCTION("""COMPUTED_VALUE"""),115.75)</f>
        <v>115.75</v>
      </c>
      <c r="F234" s="1">
        <f>IFERROR(__xludf.DUMMYFUNCTION("""COMPUTED_VALUE"""),1985479.0)</f>
        <v>1985479</v>
      </c>
    </row>
    <row r="235">
      <c r="A235" s="2">
        <f>IFERROR(__xludf.DUMMYFUNCTION("""COMPUTED_VALUE"""),44690.66666666667)</f>
        <v>44690.66667</v>
      </c>
      <c r="B235" s="1">
        <f>IFERROR(__xludf.DUMMYFUNCTION("""COMPUTED_VALUE"""),113.25)</f>
        <v>113.25</v>
      </c>
      <c r="C235" s="1">
        <f>IFERROR(__xludf.DUMMYFUNCTION("""COMPUTED_VALUE"""),115.08)</f>
        <v>115.08</v>
      </c>
      <c r="D235" s="1">
        <f>IFERROR(__xludf.DUMMYFUNCTION("""COMPUTED_VALUE"""),112.0)</f>
        <v>112</v>
      </c>
      <c r="E235" s="1">
        <f>IFERROR(__xludf.DUMMYFUNCTION("""COMPUTED_VALUE"""),112.51)</f>
        <v>112.51</v>
      </c>
      <c r="F235" s="1">
        <f>IFERROR(__xludf.DUMMYFUNCTION("""COMPUTED_VALUE"""),2040143.0)</f>
        <v>2040143</v>
      </c>
    </row>
    <row r="236">
      <c r="A236" s="2">
        <f>IFERROR(__xludf.DUMMYFUNCTION("""COMPUTED_VALUE"""),44691.66666666667)</f>
        <v>44691.66667</v>
      </c>
      <c r="B236" s="1">
        <f>IFERROR(__xludf.DUMMYFUNCTION("""COMPUTED_VALUE"""),115.51)</f>
        <v>115.51</v>
      </c>
      <c r="C236" s="1">
        <f>IFERROR(__xludf.DUMMYFUNCTION("""COMPUTED_VALUE"""),116.25)</f>
        <v>116.25</v>
      </c>
      <c r="D236" s="1">
        <f>IFERROR(__xludf.DUMMYFUNCTION("""COMPUTED_VALUE"""),112.9)</f>
        <v>112.9</v>
      </c>
      <c r="E236" s="1">
        <f>IFERROR(__xludf.DUMMYFUNCTION("""COMPUTED_VALUE"""),114.4)</f>
        <v>114.4</v>
      </c>
      <c r="F236" s="1">
        <f>IFERROR(__xludf.DUMMYFUNCTION("""COMPUTED_VALUE"""),1995019.0)</f>
        <v>1995019</v>
      </c>
    </row>
    <row r="237">
      <c r="A237" s="2">
        <f>IFERROR(__xludf.DUMMYFUNCTION("""COMPUTED_VALUE"""),44692.66666666667)</f>
        <v>44692.66667</v>
      </c>
      <c r="B237" s="1">
        <f>IFERROR(__xludf.DUMMYFUNCTION("""COMPUTED_VALUE"""),113.24)</f>
        <v>113.24</v>
      </c>
      <c r="C237" s="1">
        <f>IFERROR(__xludf.DUMMYFUNCTION("""COMPUTED_VALUE"""),116.36)</f>
        <v>116.36</v>
      </c>
      <c r="D237" s="1">
        <f>IFERROR(__xludf.DUMMYFUNCTION("""COMPUTED_VALUE"""),113.24)</f>
        <v>113.24</v>
      </c>
      <c r="E237" s="1">
        <f>IFERROR(__xludf.DUMMYFUNCTION("""COMPUTED_VALUE"""),113.6)</f>
        <v>113.6</v>
      </c>
      <c r="F237" s="1">
        <f>IFERROR(__xludf.DUMMYFUNCTION("""COMPUTED_VALUE"""),1876737.0)</f>
        <v>1876737</v>
      </c>
    </row>
    <row r="238">
      <c r="A238" s="2">
        <f>IFERROR(__xludf.DUMMYFUNCTION("""COMPUTED_VALUE"""),44693.66666666667)</f>
        <v>44693.66667</v>
      </c>
      <c r="B238" s="1">
        <f>IFERROR(__xludf.DUMMYFUNCTION("""COMPUTED_VALUE"""),111.38)</f>
        <v>111.38</v>
      </c>
      <c r="C238" s="1">
        <f>IFERROR(__xludf.DUMMYFUNCTION("""COMPUTED_VALUE"""),114.3)</f>
        <v>114.3</v>
      </c>
      <c r="D238" s="1">
        <f>IFERROR(__xludf.DUMMYFUNCTION("""COMPUTED_VALUE"""),109.82)</f>
        <v>109.82</v>
      </c>
      <c r="E238" s="1">
        <f>IFERROR(__xludf.DUMMYFUNCTION("""COMPUTED_VALUE"""),112.84)</f>
        <v>112.84</v>
      </c>
      <c r="F238" s="1">
        <f>IFERROR(__xludf.DUMMYFUNCTION("""COMPUTED_VALUE"""),2691809.0)</f>
        <v>2691809</v>
      </c>
    </row>
    <row r="239">
      <c r="A239" s="2">
        <f>IFERROR(__xludf.DUMMYFUNCTION("""COMPUTED_VALUE"""),44694.66666666667)</f>
        <v>44694.66667</v>
      </c>
      <c r="B239" s="1">
        <f>IFERROR(__xludf.DUMMYFUNCTION("""COMPUTED_VALUE"""),114.53)</f>
        <v>114.53</v>
      </c>
      <c r="C239" s="1">
        <f>IFERROR(__xludf.DUMMYFUNCTION("""COMPUTED_VALUE"""),117.88)</f>
        <v>117.88</v>
      </c>
      <c r="D239" s="1">
        <f>IFERROR(__xludf.DUMMYFUNCTION("""COMPUTED_VALUE"""),113.61)</f>
        <v>113.61</v>
      </c>
      <c r="E239" s="1">
        <f>IFERROR(__xludf.DUMMYFUNCTION("""COMPUTED_VALUE"""),116.05)</f>
        <v>116.05</v>
      </c>
      <c r="F239" s="1">
        <f>IFERROR(__xludf.DUMMYFUNCTION("""COMPUTED_VALUE"""),1751924.0)</f>
        <v>1751924</v>
      </c>
    </row>
    <row r="240">
      <c r="A240" s="2">
        <f>IFERROR(__xludf.DUMMYFUNCTION("""COMPUTED_VALUE"""),44697.66666666667)</f>
        <v>44697.66667</v>
      </c>
      <c r="B240" s="1">
        <f>IFERROR(__xludf.DUMMYFUNCTION("""COMPUTED_VALUE"""),114.96)</f>
        <v>114.96</v>
      </c>
      <c r="C240" s="1">
        <f>IFERROR(__xludf.DUMMYFUNCTION("""COMPUTED_VALUE"""),116.17)</f>
        <v>116.17</v>
      </c>
      <c r="D240" s="1">
        <f>IFERROR(__xludf.DUMMYFUNCTION("""COMPUTED_VALUE"""),113.89)</f>
        <v>113.89</v>
      </c>
      <c r="E240" s="1">
        <f>IFERROR(__xludf.DUMMYFUNCTION("""COMPUTED_VALUE"""),114.45)</f>
        <v>114.45</v>
      </c>
      <c r="F240" s="1">
        <f>IFERROR(__xludf.DUMMYFUNCTION("""COMPUTED_VALUE"""),1299522.0)</f>
        <v>1299522</v>
      </c>
    </row>
    <row r="241">
      <c r="A241" s="2">
        <f>IFERROR(__xludf.DUMMYFUNCTION("""COMPUTED_VALUE"""),44698.66666666667)</f>
        <v>44698.66667</v>
      </c>
      <c r="B241" s="1">
        <f>IFERROR(__xludf.DUMMYFUNCTION("""COMPUTED_VALUE"""),116.84)</f>
        <v>116.84</v>
      </c>
      <c r="C241" s="1">
        <f>IFERROR(__xludf.DUMMYFUNCTION("""COMPUTED_VALUE"""),116.9)</f>
        <v>116.9</v>
      </c>
      <c r="D241" s="1">
        <f>IFERROR(__xludf.DUMMYFUNCTION("""COMPUTED_VALUE"""),114.87)</f>
        <v>114.87</v>
      </c>
      <c r="E241" s="1">
        <f>IFERROR(__xludf.DUMMYFUNCTION("""COMPUTED_VALUE"""),116.47)</f>
        <v>116.47</v>
      </c>
      <c r="F241" s="1">
        <f>IFERROR(__xludf.DUMMYFUNCTION("""COMPUTED_VALUE"""),1152658.0)</f>
        <v>1152658</v>
      </c>
    </row>
    <row r="242">
      <c r="A242" s="2">
        <f>IFERROR(__xludf.DUMMYFUNCTION("""COMPUTED_VALUE"""),44699.66666666667)</f>
        <v>44699.66667</v>
      </c>
      <c r="B242" s="1">
        <f>IFERROR(__xludf.DUMMYFUNCTION("""COMPUTED_VALUE"""),115.0)</f>
        <v>115</v>
      </c>
      <c r="C242" s="1">
        <f>IFERROR(__xludf.DUMMYFUNCTION("""COMPUTED_VALUE"""),115.4)</f>
        <v>115.4</v>
      </c>
      <c r="D242" s="1">
        <f>IFERROR(__xludf.DUMMYFUNCTION("""COMPUTED_VALUE"""),111.56)</f>
        <v>111.56</v>
      </c>
      <c r="E242" s="1">
        <f>IFERROR(__xludf.DUMMYFUNCTION("""COMPUTED_VALUE"""),111.9)</f>
        <v>111.9</v>
      </c>
      <c r="F242" s="1">
        <f>IFERROR(__xludf.DUMMYFUNCTION("""COMPUTED_VALUE"""),1756299.0)</f>
        <v>1756299</v>
      </c>
    </row>
    <row r="243">
      <c r="A243" s="2">
        <f>IFERROR(__xludf.DUMMYFUNCTION("""COMPUTED_VALUE"""),44700.66666666667)</f>
        <v>44700.66667</v>
      </c>
      <c r="B243" s="1">
        <f>IFERROR(__xludf.DUMMYFUNCTION("""COMPUTED_VALUE"""),111.43)</f>
        <v>111.43</v>
      </c>
      <c r="C243" s="1">
        <f>IFERROR(__xludf.DUMMYFUNCTION("""COMPUTED_VALUE"""),113.01)</f>
        <v>113.01</v>
      </c>
      <c r="D243" s="1">
        <f>IFERROR(__xludf.DUMMYFUNCTION("""COMPUTED_VALUE"""),110.0)</f>
        <v>110</v>
      </c>
      <c r="E243" s="1">
        <f>IFERROR(__xludf.DUMMYFUNCTION("""COMPUTED_VALUE"""),110.38)</f>
        <v>110.38</v>
      </c>
      <c r="F243" s="1">
        <f>IFERROR(__xludf.DUMMYFUNCTION("""COMPUTED_VALUE"""),1707220.0)</f>
        <v>1707220</v>
      </c>
    </row>
    <row r="244">
      <c r="A244" s="2">
        <f>IFERROR(__xludf.DUMMYFUNCTION("""COMPUTED_VALUE"""),44701.66666666667)</f>
        <v>44701.66667</v>
      </c>
      <c r="B244" s="1">
        <f>IFERROR(__xludf.DUMMYFUNCTION("""COMPUTED_VALUE"""),111.95)</f>
        <v>111.95</v>
      </c>
      <c r="C244" s="1">
        <f>IFERROR(__xludf.DUMMYFUNCTION("""COMPUTED_VALUE"""),112.18)</f>
        <v>112.18</v>
      </c>
      <c r="D244" s="1">
        <f>IFERROR(__xludf.DUMMYFUNCTION("""COMPUTED_VALUE"""),105.8)</f>
        <v>105.8</v>
      </c>
      <c r="E244" s="1">
        <f>IFERROR(__xludf.DUMMYFUNCTION("""COMPUTED_VALUE"""),108.91)</f>
        <v>108.91</v>
      </c>
      <c r="F244" s="1">
        <f>IFERROR(__xludf.DUMMYFUNCTION("""COMPUTED_VALUE"""),2448148.0)</f>
        <v>2448148</v>
      </c>
    </row>
    <row r="245">
      <c r="A245" s="2">
        <f>IFERROR(__xludf.DUMMYFUNCTION("""COMPUTED_VALUE"""),44704.66666666667)</f>
        <v>44704.66667</v>
      </c>
      <c r="B245" s="1">
        <f>IFERROR(__xludf.DUMMYFUNCTION("""COMPUTED_VALUE"""),109.59)</f>
        <v>109.59</v>
      </c>
      <c r="C245" s="1">
        <f>IFERROR(__xludf.DUMMYFUNCTION("""COMPUTED_VALUE"""),112.15)</f>
        <v>112.15</v>
      </c>
      <c r="D245" s="1">
        <f>IFERROR(__xludf.DUMMYFUNCTION("""COMPUTED_VALUE"""),108.74)</f>
        <v>108.74</v>
      </c>
      <c r="E245" s="1">
        <f>IFERROR(__xludf.DUMMYFUNCTION("""COMPUTED_VALUE"""),111.49)</f>
        <v>111.49</v>
      </c>
      <c r="F245" s="1">
        <f>IFERROR(__xludf.DUMMYFUNCTION("""COMPUTED_VALUE"""),1859247.0)</f>
        <v>1859247</v>
      </c>
    </row>
    <row r="246">
      <c r="A246" s="2">
        <f>IFERROR(__xludf.DUMMYFUNCTION("""COMPUTED_VALUE"""),44705.66666666667)</f>
        <v>44705.66667</v>
      </c>
      <c r="B246" s="1">
        <f>IFERROR(__xludf.DUMMYFUNCTION("""COMPUTED_VALUE"""),105.77)</f>
        <v>105.77</v>
      </c>
      <c r="C246" s="1">
        <f>IFERROR(__xludf.DUMMYFUNCTION("""COMPUTED_VALUE"""),106.46)</f>
        <v>106.46</v>
      </c>
      <c r="D246" s="1">
        <f>IFERROR(__xludf.DUMMYFUNCTION("""COMPUTED_VALUE"""),101.88)</f>
        <v>101.88</v>
      </c>
      <c r="E246" s="1">
        <f>IFERROR(__xludf.DUMMYFUNCTION("""COMPUTED_VALUE"""),105.97)</f>
        <v>105.97</v>
      </c>
      <c r="F246" s="1">
        <f>IFERROR(__xludf.DUMMYFUNCTION("""COMPUTED_VALUE"""),3838989.0)</f>
        <v>3838989</v>
      </c>
    </row>
    <row r="247">
      <c r="A247" s="2">
        <f>IFERROR(__xludf.DUMMYFUNCTION("""COMPUTED_VALUE"""),44706.66666666667)</f>
        <v>44706.66667</v>
      </c>
      <c r="B247" s="1">
        <f>IFERROR(__xludf.DUMMYFUNCTION("""COMPUTED_VALUE"""),104.99)</f>
        <v>104.99</v>
      </c>
      <c r="C247" s="1">
        <f>IFERROR(__xludf.DUMMYFUNCTION("""COMPUTED_VALUE"""),106.5)</f>
        <v>106.5</v>
      </c>
      <c r="D247" s="1">
        <f>IFERROR(__xludf.DUMMYFUNCTION("""COMPUTED_VALUE"""),103.86)</f>
        <v>103.86</v>
      </c>
      <c r="E247" s="1">
        <f>IFERROR(__xludf.DUMMYFUNCTION("""COMPUTED_VALUE"""),105.81)</f>
        <v>105.81</v>
      </c>
      <c r="F247" s="1">
        <f>IFERROR(__xludf.DUMMYFUNCTION("""COMPUTED_VALUE"""),2012867.0)</f>
        <v>2012867</v>
      </c>
    </row>
    <row r="248">
      <c r="A248" s="2">
        <f>IFERROR(__xludf.DUMMYFUNCTION("""COMPUTED_VALUE"""),44707.66666666667)</f>
        <v>44707.66667</v>
      </c>
      <c r="B248" s="1">
        <f>IFERROR(__xludf.DUMMYFUNCTION("""COMPUTED_VALUE"""),105.68)</f>
        <v>105.68</v>
      </c>
      <c r="C248" s="1">
        <f>IFERROR(__xludf.DUMMYFUNCTION("""COMPUTED_VALUE"""),108.65)</f>
        <v>108.65</v>
      </c>
      <c r="D248" s="1">
        <f>IFERROR(__xludf.DUMMYFUNCTION("""COMPUTED_VALUE"""),105.22)</f>
        <v>105.22</v>
      </c>
      <c r="E248" s="1">
        <f>IFERROR(__xludf.DUMMYFUNCTION("""COMPUTED_VALUE"""),107.79)</f>
        <v>107.79</v>
      </c>
      <c r="F248" s="1">
        <f>IFERROR(__xludf.DUMMYFUNCTION("""COMPUTED_VALUE"""),1897361.0)</f>
        <v>1897361</v>
      </c>
    </row>
    <row r="249">
      <c r="A249" s="2">
        <f>IFERROR(__xludf.DUMMYFUNCTION("""COMPUTED_VALUE"""),44708.66666666667)</f>
        <v>44708.66667</v>
      </c>
      <c r="B249" s="1">
        <f>IFERROR(__xludf.DUMMYFUNCTION("""COMPUTED_VALUE"""),109.48)</f>
        <v>109.48</v>
      </c>
      <c r="C249" s="1">
        <f>IFERROR(__xludf.DUMMYFUNCTION("""COMPUTED_VALUE"""),112.32)</f>
        <v>112.32</v>
      </c>
      <c r="D249" s="1">
        <f>IFERROR(__xludf.DUMMYFUNCTION("""COMPUTED_VALUE"""),109.14)</f>
        <v>109.14</v>
      </c>
      <c r="E249" s="1">
        <f>IFERROR(__xludf.DUMMYFUNCTION("""COMPUTED_VALUE"""),112.32)</f>
        <v>112.32</v>
      </c>
      <c r="F249" s="1">
        <f>IFERROR(__xludf.DUMMYFUNCTION("""COMPUTED_VALUE"""),1895706.0)</f>
        <v>1895706</v>
      </c>
    </row>
    <row r="250">
      <c r="A250" s="2">
        <f>IFERROR(__xludf.DUMMYFUNCTION("""COMPUTED_VALUE"""),44712.66666666667)</f>
        <v>44712.66667</v>
      </c>
      <c r="B250" s="1">
        <f>IFERROR(__xludf.DUMMYFUNCTION("""COMPUTED_VALUE"""),112.75)</f>
        <v>112.75</v>
      </c>
      <c r="C250" s="1">
        <f>IFERROR(__xludf.DUMMYFUNCTION("""COMPUTED_VALUE"""),115.74)</f>
        <v>115.74</v>
      </c>
      <c r="D250" s="1">
        <f>IFERROR(__xludf.DUMMYFUNCTION("""COMPUTED_VALUE"""),112.08)</f>
        <v>112.08</v>
      </c>
      <c r="E250" s="1">
        <f>IFERROR(__xludf.DUMMYFUNCTION("""COMPUTED_VALUE"""),113.76)</f>
        <v>113.76</v>
      </c>
      <c r="F250" s="1">
        <f>IFERROR(__xludf.DUMMYFUNCTION("""COMPUTED_VALUE"""),2500613.0)</f>
        <v>2500613</v>
      </c>
    </row>
    <row r="251">
      <c r="A251" s="2">
        <f>IFERROR(__xludf.DUMMYFUNCTION("""COMPUTED_VALUE"""),44713.66666666667)</f>
        <v>44713.66667</v>
      </c>
      <c r="B251" s="1">
        <f>IFERROR(__xludf.DUMMYFUNCTION("""COMPUTED_VALUE"""),114.86)</f>
        <v>114.86</v>
      </c>
      <c r="C251" s="1">
        <f>IFERROR(__xludf.DUMMYFUNCTION("""COMPUTED_VALUE"""),117.1)</f>
        <v>117.1</v>
      </c>
      <c r="D251" s="1">
        <f>IFERROR(__xludf.DUMMYFUNCTION("""COMPUTED_VALUE"""),113.25)</f>
        <v>113.25</v>
      </c>
      <c r="E251" s="1">
        <f>IFERROR(__xludf.DUMMYFUNCTION("""COMPUTED_VALUE"""),113.89)</f>
        <v>113.89</v>
      </c>
      <c r="F251" s="1">
        <f>IFERROR(__xludf.DUMMYFUNCTION("""COMPUTED_VALUE"""),1830276.0)</f>
        <v>1830276</v>
      </c>
    </row>
    <row r="252">
      <c r="A252" s="2">
        <f>IFERROR(__xludf.DUMMYFUNCTION("""COMPUTED_VALUE"""),44714.66666666667)</f>
        <v>44714.66667</v>
      </c>
      <c r="B252" s="1">
        <f>IFERROR(__xludf.DUMMYFUNCTION("""COMPUTED_VALUE"""),114.0)</f>
        <v>114</v>
      </c>
      <c r="C252" s="1">
        <f>IFERROR(__xludf.DUMMYFUNCTION("""COMPUTED_VALUE"""),117.9)</f>
        <v>117.9</v>
      </c>
      <c r="D252" s="1">
        <f>IFERROR(__xludf.DUMMYFUNCTION("""COMPUTED_VALUE"""),112.95)</f>
        <v>112.95</v>
      </c>
      <c r="E252" s="1">
        <f>IFERROR(__xludf.DUMMYFUNCTION("""COMPUTED_VALUE"""),117.62)</f>
        <v>117.62</v>
      </c>
      <c r="F252" s="1">
        <f>IFERROR(__xludf.DUMMYFUNCTION("""COMPUTED_VALUE"""),1899614.0)</f>
        <v>1899614</v>
      </c>
    </row>
    <row r="253">
      <c r="A253" s="2">
        <f>IFERROR(__xludf.DUMMYFUNCTION("""COMPUTED_VALUE"""),44715.66666666667)</f>
        <v>44715.66667</v>
      </c>
      <c r="B253" s="1">
        <f>IFERROR(__xludf.DUMMYFUNCTION("""COMPUTED_VALUE"""),116.06)</f>
        <v>116.06</v>
      </c>
      <c r="C253" s="1">
        <f>IFERROR(__xludf.DUMMYFUNCTION("""COMPUTED_VALUE"""),116.32)</f>
        <v>116.32</v>
      </c>
      <c r="D253" s="1">
        <f>IFERROR(__xludf.DUMMYFUNCTION("""COMPUTED_VALUE"""),113.52)</f>
        <v>113.52</v>
      </c>
      <c r="E253" s="1">
        <f>IFERROR(__xludf.DUMMYFUNCTION("""COMPUTED_VALUE"""),114.54)</f>
        <v>114.54</v>
      </c>
      <c r="F253" s="1">
        <f>IFERROR(__xludf.DUMMYFUNCTION("""COMPUTED_VALUE"""),1306773.0)</f>
        <v>1306773</v>
      </c>
    </row>
    <row r="254">
      <c r="A254" s="2">
        <f>IFERROR(__xludf.DUMMYFUNCTION("""COMPUTED_VALUE"""),44718.66666666667)</f>
        <v>44718.66667</v>
      </c>
      <c r="B254" s="1">
        <f>IFERROR(__xludf.DUMMYFUNCTION("""COMPUTED_VALUE"""),116.7)</f>
        <v>116.7</v>
      </c>
      <c r="C254" s="1">
        <f>IFERROR(__xludf.DUMMYFUNCTION("""COMPUTED_VALUE"""),119.35)</f>
        <v>119.35</v>
      </c>
      <c r="D254" s="1">
        <f>IFERROR(__xludf.DUMMYFUNCTION("""COMPUTED_VALUE"""),116.16)</f>
        <v>116.16</v>
      </c>
      <c r="E254" s="1">
        <f>IFERROR(__xludf.DUMMYFUNCTION("""COMPUTED_VALUE"""),116.82)</f>
        <v>116.82</v>
      </c>
      <c r="F254" s="1">
        <f>IFERROR(__xludf.DUMMYFUNCTION("""COMPUTED_VALUE"""),1677077.0)</f>
        <v>1677077</v>
      </c>
    </row>
    <row r="255">
      <c r="A255" s="2">
        <f>IFERROR(__xludf.DUMMYFUNCTION("""COMPUTED_VALUE"""),44719.66666666667)</f>
        <v>44719.66667</v>
      </c>
      <c r="B255" s="1">
        <f>IFERROR(__xludf.DUMMYFUNCTION("""COMPUTED_VALUE"""),115.48)</f>
        <v>115.48</v>
      </c>
      <c r="C255" s="1">
        <f>IFERROR(__xludf.DUMMYFUNCTION("""COMPUTED_VALUE"""),117.69)</f>
        <v>117.69</v>
      </c>
      <c r="D255" s="1">
        <f>IFERROR(__xludf.DUMMYFUNCTION("""COMPUTED_VALUE"""),115.05)</f>
        <v>115.05</v>
      </c>
      <c r="E255" s="1">
        <f>IFERROR(__xludf.DUMMYFUNCTION("""COMPUTED_VALUE"""),117.15)</f>
        <v>117.15</v>
      </c>
      <c r="F255" s="1">
        <f>IFERROR(__xludf.DUMMYFUNCTION("""COMPUTED_VALUE"""),1579523.0)</f>
        <v>1579523</v>
      </c>
    </row>
    <row r="256">
      <c r="A256" s="2">
        <f>IFERROR(__xludf.DUMMYFUNCTION("""COMPUTED_VALUE"""),44720.66666666667)</f>
        <v>44720.66667</v>
      </c>
      <c r="B256" s="1">
        <f>IFERROR(__xludf.DUMMYFUNCTION("""COMPUTED_VALUE"""),116.76)</f>
        <v>116.76</v>
      </c>
      <c r="C256" s="1">
        <f>IFERROR(__xludf.DUMMYFUNCTION("""COMPUTED_VALUE"""),118.57)</f>
        <v>118.57</v>
      </c>
      <c r="D256" s="1">
        <f>IFERROR(__xludf.DUMMYFUNCTION("""COMPUTED_VALUE"""),116.6)</f>
        <v>116.6</v>
      </c>
      <c r="E256" s="1">
        <f>IFERROR(__xludf.DUMMYFUNCTION("""COMPUTED_VALUE"""),117.19)</f>
        <v>117.19</v>
      </c>
      <c r="F256" s="1">
        <f>IFERROR(__xludf.DUMMYFUNCTION("""COMPUTED_VALUE"""),1305387.0)</f>
        <v>1305387</v>
      </c>
    </row>
    <row r="257">
      <c r="A257" s="2">
        <f>IFERROR(__xludf.DUMMYFUNCTION("""COMPUTED_VALUE"""),44721.66666666667)</f>
        <v>44721.66667</v>
      </c>
      <c r="B257" s="1">
        <f>IFERROR(__xludf.DUMMYFUNCTION("""COMPUTED_VALUE"""),116.33)</f>
        <v>116.33</v>
      </c>
      <c r="C257" s="1">
        <f>IFERROR(__xludf.DUMMYFUNCTION("""COMPUTED_VALUE"""),118.3)</f>
        <v>118.3</v>
      </c>
      <c r="D257" s="1">
        <f>IFERROR(__xludf.DUMMYFUNCTION("""COMPUTED_VALUE"""),114.78)</f>
        <v>114.78</v>
      </c>
      <c r="E257" s="1">
        <f>IFERROR(__xludf.DUMMYFUNCTION("""COMPUTED_VALUE"""),114.84)</f>
        <v>114.84</v>
      </c>
      <c r="F257" s="1">
        <f>IFERROR(__xludf.DUMMYFUNCTION("""COMPUTED_VALUE"""),1289898.0)</f>
        <v>1289898</v>
      </c>
    </row>
    <row r="258">
      <c r="A258" s="2">
        <f>IFERROR(__xludf.DUMMYFUNCTION("""COMPUTED_VALUE"""),44722.66666666667)</f>
        <v>44722.66667</v>
      </c>
      <c r="B258" s="1">
        <f>IFERROR(__xludf.DUMMYFUNCTION("""COMPUTED_VALUE"""),112.45)</f>
        <v>112.45</v>
      </c>
      <c r="C258" s="1">
        <f>IFERROR(__xludf.DUMMYFUNCTION("""COMPUTED_VALUE"""),113.28)</f>
        <v>113.28</v>
      </c>
      <c r="D258" s="1">
        <f>IFERROR(__xludf.DUMMYFUNCTION("""COMPUTED_VALUE"""),110.37)</f>
        <v>110.37</v>
      </c>
      <c r="E258" s="1">
        <f>IFERROR(__xludf.DUMMYFUNCTION("""COMPUTED_VALUE"""),111.16)</f>
        <v>111.16</v>
      </c>
      <c r="F258" s="1">
        <f>IFERROR(__xludf.DUMMYFUNCTION("""COMPUTED_VALUE"""),2074092.0)</f>
        <v>2074092</v>
      </c>
    </row>
    <row r="259">
      <c r="A259" s="2">
        <f>IFERROR(__xludf.DUMMYFUNCTION("""COMPUTED_VALUE"""),44725.66666666667)</f>
        <v>44725.66667</v>
      </c>
      <c r="B259" s="1">
        <f>IFERROR(__xludf.DUMMYFUNCTION("""COMPUTED_VALUE"""),106.79)</f>
        <v>106.79</v>
      </c>
      <c r="C259" s="1">
        <f>IFERROR(__xludf.DUMMYFUNCTION("""COMPUTED_VALUE"""),108.79)</f>
        <v>108.79</v>
      </c>
      <c r="D259" s="1">
        <f>IFERROR(__xludf.DUMMYFUNCTION("""COMPUTED_VALUE"""),106.12)</f>
        <v>106.12</v>
      </c>
      <c r="E259" s="1">
        <f>IFERROR(__xludf.DUMMYFUNCTION("""COMPUTED_VALUE"""),106.39)</f>
        <v>106.39</v>
      </c>
      <c r="F259" s="1">
        <f>IFERROR(__xludf.DUMMYFUNCTION("""COMPUTED_VALUE"""),2362596.0)</f>
        <v>2362596</v>
      </c>
    </row>
    <row r="260">
      <c r="A260" s="2">
        <f>IFERROR(__xludf.DUMMYFUNCTION("""COMPUTED_VALUE"""),44726.66666666667)</f>
        <v>44726.66667</v>
      </c>
      <c r="B260" s="1">
        <f>IFERROR(__xludf.DUMMYFUNCTION("""COMPUTED_VALUE"""),106.54)</f>
        <v>106.54</v>
      </c>
      <c r="C260" s="1">
        <f>IFERROR(__xludf.DUMMYFUNCTION("""COMPUTED_VALUE"""),107.92)</f>
        <v>107.92</v>
      </c>
      <c r="D260" s="1">
        <f>IFERROR(__xludf.DUMMYFUNCTION("""COMPUTED_VALUE"""),105.8)</f>
        <v>105.8</v>
      </c>
      <c r="E260" s="1">
        <f>IFERROR(__xludf.DUMMYFUNCTION("""COMPUTED_VALUE"""),106.72)</f>
        <v>106.72</v>
      </c>
      <c r="F260" s="1">
        <f>IFERROR(__xludf.DUMMYFUNCTION("""COMPUTED_VALUE"""),1685313.0)</f>
        <v>1685313</v>
      </c>
    </row>
    <row r="261">
      <c r="A261" s="2">
        <f>IFERROR(__xludf.DUMMYFUNCTION("""COMPUTED_VALUE"""),44727.66666666667)</f>
        <v>44727.66667</v>
      </c>
      <c r="B261" s="1">
        <f>IFERROR(__xludf.DUMMYFUNCTION("""COMPUTED_VALUE"""),108.55)</f>
        <v>108.55</v>
      </c>
      <c r="C261" s="1">
        <f>IFERROR(__xludf.DUMMYFUNCTION("""COMPUTED_VALUE"""),111.42)</f>
        <v>111.42</v>
      </c>
      <c r="D261" s="1">
        <f>IFERROR(__xludf.DUMMYFUNCTION("""COMPUTED_VALUE"""),107.67)</f>
        <v>107.67</v>
      </c>
      <c r="E261" s="1">
        <f>IFERROR(__xludf.DUMMYFUNCTION("""COMPUTED_VALUE"""),109.76)</f>
        <v>109.76</v>
      </c>
      <c r="F261" s="1">
        <f>IFERROR(__xludf.DUMMYFUNCTION("""COMPUTED_VALUE"""),1984909.0)</f>
        <v>1984909</v>
      </c>
    </row>
    <row r="262">
      <c r="A262" s="2">
        <f>IFERROR(__xludf.DUMMYFUNCTION("""COMPUTED_VALUE"""),44728.66666666667)</f>
        <v>44728.66667</v>
      </c>
      <c r="B262" s="1">
        <f>IFERROR(__xludf.DUMMYFUNCTION("""COMPUTED_VALUE"""),107.22)</f>
        <v>107.22</v>
      </c>
      <c r="C262" s="1">
        <f>IFERROR(__xludf.DUMMYFUNCTION("""COMPUTED_VALUE"""),108.65)</f>
        <v>108.65</v>
      </c>
      <c r="D262" s="1">
        <f>IFERROR(__xludf.DUMMYFUNCTION("""COMPUTED_VALUE"""),105.14)</f>
        <v>105.14</v>
      </c>
      <c r="E262" s="1">
        <f>IFERROR(__xludf.DUMMYFUNCTION("""COMPUTED_VALUE"""),106.03)</f>
        <v>106.03</v>
      </c>
      <c r="F262" s="1">
        <f>IFERROR(__xludf.DUMMYFUNCTION("""COMPUTED_VALUE"""),2584248.0)</f>
        <v>2584248</v>
      </c>
    </row>
    <row r="263">
      <c r="A263" s="2">
        <f>IFERROR(__xludf.DUMMYFUNCTION("""COMPUTED_VALUE"""),44729.66666666667)</f>
        <v>44729.66667</v>
      </c>
      <c r="B263" s="1">
        <f>IFERROR(__xludf.DUMMYFUNCTION("""COMPUTED_VALUE"""),106.03)</f>
        <v>106.03</v>
      </c>
      <c r="C263" s="1">
        <f>IFERROR(__xludf.DUMMYFUNCTION("""COMPUTED_VALUE"""),108.7)</f>
        <v>108.7</v>
      </c>
      <c r="D263" s="1">
        <f>IFERROR(__xludf.DUMMYFUNCTION("""COMPUTED_VALUE"""),105.05)</f>
        <v>105.05</v>
      </c>
      <c r="E263" s="1">
        <f>IFERROR(__xludf.DUMMYFUNCTION("""COMPUTED_VALUE"""),107.14)</f>
        <v>107.14</v>
      </c>
      <c r="F263" s="1">
        <f>IFERROR(__xludf.DUMMYFUNCTION("""COMPUTED_VALUE"""),2568826.0)</f>
        <v>2568826</v>
      </c>
    </row>
    <row r="264">
      <c r="A264" s="2">
        <f>IFERROR(__xludf.DUMMYFUNCTION("""COMPUTED_VALUE"""),44733.66666666667)</f>
        <v>44733.66667</v>
      </c>
      <c r="B264" s="1">
        <f>IFERROR(__xludf.DUMMYFUNCTION("""COMPUTED_VALUE"""),108.93)</f>
        <v>108.93</v>
      </c>
      <c r="C264" s="1">
        <f>IFERROR(__xludf.DUMMYFUNCTION("""COMPUTED_VALUE"""),112.49)</f>
        <v>112.49</v>
      </c>
      <c r="D264" s="1">
        <f>IFERROR(__xludf.DUMMYFUNCTION("""COMPUTED_VALUE"""),108.6)</f>
        <v>108.6</v>
      </c>
      <c r="E264" s="1">
        <f>IFERROR(__xludf.DUMMYFUNCTION("""COMPUTED_VALUE"""),111.54)</f>
        <v>111.54</v>
      </c>
      <c r="F264" s="1">
        <f>IFERROR(__xludf.DUMMYFUNCTION("""COMPUTED_VALUE"""),2370790.0)</f>
        <v>2370790</v>
      </c>
    </row>
    <row r="265">
      <c r="A265" s="2">
        <f>IFERROR(__xludf.DUMMYFUNCTION("""COMPUTED_VALUE"""),44734.66666666667)</f>
        <v>44734.66667</v>
      </c>
      <c r="B265" s="1">
        <f>IFERROR(__xludf.DUMMYFUNCTION("""COMPUTED_VALUE"""),110.56)</f>
        <v>110.56</v>
      </c>
      <c r="C265" s="1">
        <f>IFERROR(__xludf.DUMMYFUNCTION("""COMPUTED_VALUE"""),113.35)</f>
        <v>113.35</v>
      </c>
      <c r="D265" s="1">
        <f>IFERROR(__xludf.DUMMYFUNCTION("""COMPUTED_VALUE"""),110.38)</f>
        <v>110.38</v>
      </c>
      <c r="E265" s="1">
        <f>IFERROR(__xludf.DUMMYFUNCTION("""COMPUTED_VALUE"""),111.49)</f>
        <v>111.49</v>
      </c>
      <c r="F265" s="1">
        <f>IFERROR(__xludf.DUMMYFUNCTION("""COMPUTED_VALUE"""),1538707.0)</f>
        <v>1538707</v>
      </c>
    </row>
    <row r="266">
      <c r="A266" s="2">
        <f>IFERROR(__xludf.DUMMYFUNCTION("""COMPUTED_VALUE"""),44735.66666666667)</f>
        <v>44735.66667</v>
      </c>
      <c r="B266" s="1">
        <f>IFERROR(__xludf.DUMMYFUNCTION("""COMPUTED_VALUE"""),112.23)</f>
        <v>112.23</v>
      </c>
      <c r="C266" s="1">
        <f>IFERROR(__xludf.DUMMYFUNCTION("""COMPUTED_VALUE"""),112.74)</f>
        <v>112.74</v>
      </c>
      <c r="D266" s="1">
        <f>IFERROR(__xludf.DUMMYFUNCTION("""COMPUTED_VALUE"""),110.5)</f>
        <v>110.5</v>
      </c>
      <c r="E266" s="1">
        <f>IFERROR(__xludf.DUMMYFUNCTION("""COMPUTED_VALUE"""),112.24)</f>
        <v>112.24</v>
      </c>
      <c r="F266" s="1">
        <f>IFERROR(__xludf.DUMMYFUNCTION("""COMPUTED_VALUE"""),1418096.0)</f>
        <v>1418096</v>
      </c>
    </row>
    <row r="267">
      <c r="A267" s="2">
        <f>IFERROR(__xludf.DUMMYFUNCTION("""COMPUTED_VALUE"""),44736.66666666667)</f>
        <v>44736.66667</v>
      </c>
      <c r="B267" s="1">
        <f>IFERROR(__xludf.DUMMYFUNCTION("""COMPUTED_VALUE"""),113.0)</f>
        <v>113</v>
      </c>
      <c r="C267" s="1">
        <f>IFERROR(__xludf.DUMMYFUNCTION("""COMPUTED_VALUE"""),118.08)</f>
        <v>118.08</v>
      </c>
      <c r="D267" s="1">
        <f>IFERROR(__xludf.DUMMYFUNCTION("""COMPUTED_VALUE"""),112.95)</f>
        <v>112.95</v>
      </c>
      <c r="E267" s="1">
        <f>IFERROR(__xludf.DUMMYFUNCTION("""COMPUTED_VALUE"""),117.98)</f>
        <v>117.98</v>
      </c>
      <c r="F267" s="1">
        <f>IFERROR(__xludf.DUMMYFUNCTION("""COMPUTED_VALUE"""),2058184.0)</f>
        <v>2058184</v>
      </c>
    </row>
    <row r="268">
      <c r="A268" s="2">
        <f>IFERROR(__xludf.DUMMYFUNCTION("""COMPUTED_VALUE"""),44739.66666666667)</f>
        <v>44739.66667</v>
      </c>
      <c r="B268" s="1">
        <f>IFERROR(__xludf.DUMMYFUNCTION("""COMPUTED_VALUE"""),118.27)</f>
        <v>118.27</v>
      </c>
      <c r="C268" s="1">
        <f>IFERROR(__xludf.DUMMYFUNCTION("""COMPUTED_VALUE"""),118.58)</f>
        <v>118.58</v>
      </c>
      <c r="D268" s="1">
        <f>IFERROR(__xludf.DUMMYFUNCTION("""COMPUTED_VALUE"""),115.18)</f>
        <v>115.18</v>
      </c>
      <c r="E268" s="1">
        <f>IFERROR(__xludf.DUMMYFUNCTION("""COMPUTED_VALUE"""),115.83)</f>
        <v>115.83</v>
      </c>
      <c r="F268" s="1">
        <f>IFERROR(__xludf.DUMMYFUNCTION("""COMPUTED_VALUE"""),1821038.0)</f>
        <v>1821038</v>
      </c>
    </row>
    <row r="269">
      <c r="A269" s="2">
        <f>IFERROR(__xludf.DUMMYFUNCTION("""COMPUTED_VALUE"""),44740.66666666667)</f>
        <v>44740.66667</v>
      </c>
      <c r="B269" s="1">
        <f>IFERROR(__xludf.DUMMYFUNCTION("""COMPUTED_VALUE"""),115.8)</f>
        <v>115.8</v>
      </c>
      <c r="C269" s="1">
        <f>IFERROR(__xludf.DUMMYFUNCTION("""COMPUTED_VALUE"""),117.31)</f>
        <v>117.31</v>
      </c>
      <c r="D269" s="1">
        <f>IFERROR(__xludf.DUMMYFUNCTION("""COMPUTED_VALUE"""),111.85)</f>
        <v>111.85</v>
      </c>
      <c r="E269" s="1">
        <f>IFERROR(__xludf.DUMMYFUNCTION("""COMPUTED_VALUE"""),112.01)</f>
        <v>112.01</v>
      </c>
      <c r="F269" s="1">
        <f>IFERROR(__xludf.DUMMYFUNCTION("""COMPUTED_VALUE"""),1794048.0)</f>
        <v>1794048</v>
      </c>
    </row>
    <row r="270">
      <c r="A270" s="2">
        <f>IFERROR(__xludf.DUMMYFUNCTION("""COMPUTED_VALUE"""),44741.66666666667)</f>
        <v>44741.66667</v>
      </c>
      <c r="B270" s="1">
        <f>IFERROR(__xludf.DUMMYFUNCTION("""COMPUTED_VALUE"""),111.55)</f>
        <v>111.55</v>
      </c>
      <c r="C270" s="1">
        <f>IFERROR(__xludf.DUMMYFUNCTION("""COMPUTED_VALUE"""),113.16)</f>
        <v>113.16</v>
      </c>
      <c r="D270" s="1">
        <f>IFERROR(__xludf.DUMMYFUNCTION("""COMPUTED_VALUE"""),110.87)</f>
        <v>110.87</v>
      </c>
      <c r="E270" s="1">
        <f>IFERROR(__xludf.DUMMYFUNCTION("""COMPUTED_VALUE"""),111.7)</f>
        <v>111.7</v>
      </c>
      <c r="F270" s="1">
        <f>IFERROR(__xludf.DUMMYFUNCTION("""COMPUTED_VALUE"""),1235841.0)</f>
        <v>1235841</v>
      </c>
    </row>
    <row r="271">
      <c r="A271" s="2">
        <f>IFERROR(__xludf.DUMMYFUNCTION("""COMPUTED_VALUE"""),44742.66666666667)</f>
        <v>44742.66667</v>
      </c>
      <c r="B271" s="1">
        <f>IFERROR(__xludf.DUMMYFUNCTION("""COMPUTED_VALUE"""),110.0)</f>
        <v>110</v>
      </c>
      <c r="C271" s="1">
        <f>IFERROR(__xludf.DUMMYFUNCTION("""COMPUTED_VALUE"""),110.89)</f>
        <v>110.89</v>
      </c>
      <c r="D271" s="1">
        <f>IFERROR(__xludf.DUMMYFUNCTION("""COMPUTED_VALUE"""),106.75)</f>
        <v>106.75</v>
      </c>
      <c r="E271" s="1">
        <f>IFERROR(__xludf.DUMMYFUNCTION("""COMPUTED_VALUE"""),108.96)</f>
        <v>108.96</v>
      </c>
      <c r="F271" s="1">
        <f>IFERROR(__xludf.DUMMYFUNCTION("""COMPUTED_VALUE"""),2158453.0)</f>
        <v>2158453</v>
      </c>
    </row>
    <row r="272">
      <c r="A272" s="2">
        <f>IFERROR(__xludf.DUMMYFUNCTION("""COMPUTED_VALUE"""),44743.66666666667)</f>
        <v>44743.66667</v>
      </c>
      <c r="B272" s="1">
        <f>IFERROR(__xludf.DUMMYFUNCTION("""COMPUTED_VALUE"""),107.93)</f>
        <v>107.93</v>
      </c>
      <c r="C272" s="1">
        <f>IFERROR(__xludf.DUMMYFUNCTION("""COMPUTED_VALUE"""),109.25)</f>
        <v>109.25</v>
      </c>
      <c r="D272" s="1">
        <f>IFERROR(__xludf.DUMMYFUNCTION("""COMPUTED_VALUE"""),106.73)</f>
        <v>106.73</v>
      </c>
      <c r="E272" s="1">
        <f>IFERROR(__xludf.DUMMYFUNCTION("""COMPUTED_VALUE"""),108.74)</f>
        <v>108.74</v>
      </c>
      <c r="F272" s="1">
        <f>IFERROR(__xludf.DUMMYFUNCTION("""COMPUTED_VALUE"""),1773783.0)</f>
        <v>1773783</v>
      </c>
    </row>
    <row r="273">
      <c r="A273" s="2">
        <f>IFERROR(__xludf.DUMMYFUNCTION("""COMPUTED_VALUE"""),44747.66666666667)</f>
        <v>44747.66667</v>
      </c>
      <c r="B273" s="1">
        <f>IFERROR(__xludf.DUMMYFUNCTION("""COMPUTED_VALUE"""),107.1)</f>
        <v>107.1</v>
      </c>
      <c r="C273" s="1">
        <f>IFERROR(__xludf.DUMMYFUNCTION("""COMPUTED_VALUE"""),113.38)</f>
        <v>113.38</v>
      </c>
      <c r="D273" s="1">
        <f>IFERROR(__xludf.DUMMYFUNCTION("""COMPUTED_VALUE"""),105.73)</f>
        <v>105.73</v>
      </c>
      <c r="E273" s="1">
        <f>IFERROR(__xludf.DUMMYFUNCTION("""COMPUTED_VALUE"""),113.26)</f>
        <v>113.26</v>
      </c>
      <c r="F273" s="1">
        <f>IFERROR(__xludf.DUMMYFUNCTION("""COMPUTED_VALUE"""),1969982.0)</f>
        <v>1969982</v>
      </c>
    </row>
    <row r="274">
      <c r="A274" s="2">
        <f>IFERROR(__xludf.DUMMYFUNCTION("""COMPUTED_VALUE"""),44748.66666666667)</f>
        <v>44748.66667</v>
      </c>
      <c r="B274" s="1">
        <f>IFERROR(__xludf.DUMMYFUNCTION("""COMPUTED_VALUE"""),113.3)</f>
        <v>113.3</v>
      </c>
      <c r="C274" s="1">
        <f>IFERROR(__xludf.DUMMYFUNCTION("""COMPUTED_VALUE"""),115.59)</f>
        <v>115.59</v>
      </c>
      <c r="D274" s="1">
        <f>IFERROR(__xludf.DUMMYFUNCTION("""COMPUTED_VALUE"""),111.48)</f>
        <v>111.48</v>
      </c>
      <c r="E274" s="1">
        <f>IFERROR(__xludf.DUMMYFUNCTION("""COMPUTED_VALUE"""),114.57)</f>
        <v>114.57</v>
      </c>
      <c r="F274" s="1">
        <f>IFERROR(__xludf.DUMMYFUNCTION("""COMPUTED_VALUE"""),1871569.0)</f>
        <v>1871569</v>
      </c>
    </row>
    <row r="275">
      <c r="A275" s="2">
        <f>IFERROR(__xludf.DUMMYFUNCTION("""COMPUTED_VALUE"""),44749.66666666667)</f>
        <v>44749.66667</v>
      </c>
      <c r="B275" s="1">
        <f>IFERROR(__xludf.DUMMYFUNCTION("""COMPUTED_VALUE"""),115.08)</f>
        <v>115.08</v>
      </c>
      <c r="C275" s="1">
        <f>IFERROR(__xludf.DUMMYFUNCTION("""COMPUTED_VALUE"""),119.19)</f>
        <v>119.19</v>
      </c>
      <c r="D275" s="1">
        <f>IFERROR(__xludf.DUMMYFUNCTION("""COMPUTED_VALUE"""),114.83)</f>
        <v>114.83</v>
      </c>
      <c r="E275" s="1">
        <f>IFERROR(__xludf.DUMMYFUNCTION("""COMPUTED_VALUE"""),118.78)</f>
        <v>118.78</v>
      </c>
      <c r="F275" s="1">
        <f>IFERROR(__xludf.DUMMYFUNCTION("""COMPUTED_VALUE"""),2046794.0)</f>
        <v>2046794</v>
      </c>
    </row>
    <row r="276">
      <c r="A276" s="2">
        <f>IFERROR(__xludf.DUMMYFUNCTION("""COMPUTED_VALUE"""),44750.66666666667)</f>
        <v>44750.66667</v>
      </c>
      <c r="B276" s="1">
        <f>IFERROR(__xludf.DUMMYFUNCTION("""COMPUTED_VALUE"""),117.25)</f>
        <v>117.25</v>
      </c>
      <c r="C276" s="1">
        <f>IFERROR(__xludf.DUMMYFUNCTION("""COMPUTED_VALUE"""),119.69)</f>
        <v>119.69</v>
      </c>
      <c r="D276" s="1">
        <f>IFERROR(__xludf.DUMMYFUNCTION("""COMPUTED_VALUE"""),116.9)</f>
        <v>116.9</v>
      </c>
      <c r="E276" s="1">
        <f>IFERROR(__xludf.DUMMYFUNCTION("""COMPUTED_VALUE"""),119.35)</f>
        <v>119.35</v>
      </c>
      <c r="F276" s="1">
        <f>IFERROR(__xludf.DUMMYFUNCTION("""COMPUTED_VALUE"""),1911908.0)</f>
        <v>1911908</v>
      </c>
    </row>
    <row r="277">
      <c r="A277" s="2">
        <f>IFERROR(__xludf.DUMMYFUNCTION("""COMPUTED_VALUE"""),44753.66666666667)</f>
        <v>44753.66667</v>
      </c>
      <c r="B277" s="1">
        <f>IFERROR(__xludf.DUMMYFUNCTION("""COMPUTED_VALUE"""),118.0)</f>
        <v>118</v>
      </c>
      <c r="C277" s="1">
        <f>IFERROR(__xludf.DUMMYFUNCTION("""COMPUTED_VALUE"""),118.0)</f>
        <v>118</v>
      </c>
      <c r="D277" s="1">
        <f>IFERROR(__xludf.DUMMYFUNCTION("""COMPUTED_VALUE"""),115.33)</f>
        <v>115.33</v>
      </c>
      <c r="E277" s="1">
        <f>IFERROR(__xludf.DUMMYFUNCTION("""COMPUTED_VALUE"""),115.68)</f>
        <v>115.68</v>
      </c>
      <c r="F277" s="1">
        <f>IFERROR(__xludf.DUMMYFUNCTION("""COMPUTED_VALUE"""),1562185.0)</f>
        <v>1562185</v>
      </c>
    </row>
    <row r="278">
      <c r="A278" s="2">
        <f>IFERROR(__xludf.DUMMYFUNCTION("""COMPUTED_VALUE"""),44754.66666666667)</f>
        <v>44754.66667</v>
      </c>
      <c r="B278" s="1">
        <f>IFERROR(__xludf.DUMMYFUNCTION("""COMPUTED_VALUE"""),116.22)</f>
        <v>116.22</v>
      </c>
      <c r="C278" s="1">
        <f>IFERROR(__xludf.DUMMYFUNCTION("""COMPUTED_VALUE"""),116.97)</f>
        <v>116.97</v>
      </c>
      <c r="D278" s="1">
        <f>IFERROR(__xludf.DUMMYFUNCTION("""COMPUTED_VALUE"""),113.69)</f>
        <v>113.69</v>
      </c>
      <c r="E278" s="1">
        <f>IFERROR(__xludf.DUMMYFUNCTION("""COMPUTED_VALUE"""),114.02)</f>
        <v>114.02</v>
      </c>
      <c r="F278" s="1">
        <f>IFERROR(__xludf.DUMMYFUNCTION("""COMPUTED_VALUE"""),1497985.0)</f>
        <v>1497985</v>
      </c>
    </row>
    <row r="279">
      <c r="A279" s="2">
        <f>IFERROR(__xludf.DUMMYFUNCTION("""COMPUTED_VALUE"""),44755.66666666667)</f>
        <v>44755.66667</v>
      </c>
      <c r="B279" s="1">
        <f>IFERROR(__xludf.DUMMYFUNCTION("""COMPUTED_VALUE"""),111.7)</f>
        <v>111.7</v>
      </c>
      <c r="C279" s="1">
        <f>IFERROR(__xludf.DUMMYFUNCTION("""COMPUTED_VALUE"""),114.2)</f>
        <v>114.2</v>
      </c>
      <c r="D279" s="1">
        <f>IFERROR(__xludf.DUMMYFUNCTION("""COMPUTED_VALUE"""),111.2)</f>
        <v>111.2</v>
      </c>
      <c r="E279" s="1">
        <f>IFERROR(__xludf.DUMMYFUNCTION("""COMPUTED_VALUE"""),111.35)</f>
        <v>111.35</v>
      </c>
      <c r="F279" s="1">
        <f>IFERROR(__xludf.DUMMYFUNCTION("""COMPUTED_VALUE"""),2186101.0)</f>
        <v>2186101</v>
      </c>
    </row>
    <row r="280">
      <c r="A280" s="2">
        <f>IFERROR(__xludf.DUMMYFUNCTION("""COMPUTED_VALUE"""),44756.66666666667)</f>
        <v>44756.66667</v>
      </c>
      <c r="B280" s="1">
        <f>IFERROR(__xludf.DUMMYFUNCTION("""COMPUTED_VALUE"""),110.21)</f>
        <v>110.21</v>
      </c>
      <c r="C280" s="1">
        <f>IFERROR(__xludf.DUMMYFUNCTION("""COMPUTED_VALUE"""),111.09)</f>
        <v>111.09</v>
      </c>
      <c r="D280" s="1">
        <f>IFERROR(__xludf.DUMMYFUNCTION("""COMPUTED_VALUE"""),108.37)</f>
        <v>108.37</v>
      </c>
      <c r="E280" s="1">
        <f>IFERROR(__xludf.DUMMYFUNCTION("""COMPUTED_VALUE"""),110.37)</f>
        <v>110.37</v>
      </c>
      <c r="F280" s="1">
        <f>IFERROR(__xludf.DUMMYFUNCTION("""COMPUTED_VALUE"""),1850152.0)</f>
        <v>1850152</v>
      </c>
    </row>
    <row r="281">
      <c r="A281" s="2">
        <f>IFERROR(__xludf.DUMMYFUNCTION("""COMPUTED_VALUE"""),44757.66666666667)</f>
        <v>44757.66667</v>
      </c>
      <c r="B281" s="1">
        <f>IFERROR(__xludf.DUMMYFUNCTION("""COMPUTED_VALUE"""),112.0)</f>
        <v>112</v>
      </c>
      <c r="C281" s="1">
        <f>IFERROR(__xludf.DUMMYFUNCTION("""COMPUTED_VALUE"""),113.14)</f>
        <v>113.14</v>
      </c>
      <c r="D281" s="1">
        <f>IFERROR(__xludf.DUMMYFUNCTION("""COMPUTED_VALUE"""),110.9)</f>
        <v>110.9</v>
      </c>
      <c r="E281" s="1">
        <f>IFERROR(__xludf.DUMMYFUNCTION("""COMPUTED_VALUE"""),111.78)</f>
        <v>111.78</v>
      </c>
      <c r="F281" s="1">
        <f>IFERROR(__xludf.DUMMYFUNCTION("""COMPUTED_VALUE"""),2338456.0)</f>
        <v>2338456</v>
      </c>
    </row>
    <row r="282">
      <c r="A282" s="2">
        <f>IFERROR(__xludf.DUMMYFUNCTION("""COMPUTED_VALUE"""),44760.66666666667)</f>
        <v>44760.66667</v>
      </c>
      <c r="B282" s="1">
        <f>IFERROR(__xludf.DUMMYFUNCTION("""COMPUTED_VALUE"""),112.64)</f>
        <v>112.64</v>
      </c>
      <c r="C282" s="1">
        <f>IFERROR(__xludf.DUMMYFUNCTION("""COMPUTED_VALUE"""),113.68)</f>
        <v>113.68</v>
      </c>
      <c r="D282" s="1">
        <f>IFERROR(__xludf.DUMMYFUNCTION("""COMPUTED_VALUE"""),108.37)</f>
        <v>108.37</v>
      </c>
      <c r="E282" s="1">
        <f>IFERROR(__xludf.DUMMYFUNCTION("""COMPUTED_VALUE"""),109.03)</f>
        <v>109.03</v>
      </c>
      <c r="F282" s="1">
        <f>IFERROR(__xludf.DUMMYFUNCTION("""COMPUTED_VALUE"""),4.3164588E7)</f>
        <v>43164588</v>
      </c>
    </row>
    <row r="283">
      <c r="A283" s="2">
        <f>IFERROR(__xludf.DUMMYFUNCTION("""COMPUTED_VALUE"""),44761.66666666667)</f>
        <v>44761.66667</v>
      </c>
      <c r="B283" s="1">
        <f>IFERROR(__xludf.DUMMYFUNCTION("""COMPUTED_VALUE"""),110.85)</f>
        <v>110.85</v>
      </c>
      <c r="C283" s="1">
        <f>IFERROR(__xludf.DUMMYFUNCTION("""COMPUTED_VALUE"""),114.02)</f>
        <v>114.02</v>
      </c>
      <c r="D283" s="1">
        <f>IFERROR(__xludf.DUMMYFUNCTION("""COMPUTED_VALUE"""),109.56)</f>
        <v>109.56</v>
      </c>
      <c r="E283" s="1">
        <f>IFERROR(__xludf.DUMMYFUNCTION("""COMPUTED_VALUE"""),113.81)</f>
        <v>113.81</v>
      </c>
      <c r="F283" s="1">
        <f>IFERROR(__xludf.DUMMYFUNCTION("""COMPUTED_VALUE"""),3.6530945E7)</f>
        <v>36530945</v>
      </c>
    </row>
    <row r="284">
      <c r="A284" s="2">
        <f>IFERROR(__xludf.DUMMYFUNCTION("""COMPUTED_VALUE"""),44762.66666666667)</f>
        <v>44762.66667</v>
      </c>
      <c r="B284" s="1">
        <f>IFERROR(__xludf.DUMMYFUNCTION("""COMPUTED_VALUE"""),113.17)</f>
        <v>113.17</v>
      </c>
      <c r="C284" s="1">
        <f>IFERROR(__xludf.DUMMYFUNCTION("""COMPUTED_VALUE"""),115.4)</f>
        <v>115.4</v>
      </c>
      <c r="D284" s="1">
        <f>IFERROR(__xludf.DUMMYFUNCTION("""COMPUTED_VALUE"""),112.48)</f>
        <v>112.48</v>
      </c>
      <c r="E284" s="1">
        <f>IFERROR(__xludf.DUMMYFUNCTION("""COMPUTED_VALUE"""),113.9)</f>
        <v>113.9</v>
      </c>
      <c r="F284" s="1">
        <f>IFERROR(__xludf.DUMMYFUNCTION("""COMPUTED_VALUE"""),3.5600426E7)</f>
        <v>35600426</v>
      </c>
    </row>
    <row r="285">
      <c r="A285" s="2">
        <f>IFERROR(__xludf.DUMMYFUNCTION("""COMPUTED_VALUE"""),44763.66666666667)</f>
        <v>44763.66667</v>
      </c>
      <c r="B285" s="1">
        <f>IFERROR(__xludf.DUMMYFUNCTION("""COMPUTED_VALUE"""),114.28)</f>
        <v>114.28</v>
      </c>
      <c r="C285" s="1">
        <f>IFERROR(__xludf.DUMMYFUNCTION("""COMPUTED_VALUE"""),114.55)</f>
        <v>114.55</v>
      </c>
      <c r="D285" s="1">
        <f>IFERROR(__xludf.DUMMYFUNCTION("""COMPUTED_VALUE"""),111.11)</f>
        <v>111.11</v>
      </c>
      <c r="E285" s="1">
        <f>IFERROR(__xludf.DUMMYFUNCTION("""COMPUTED_VALUE"""),114.34)</f>
        <v>114.34</v>
      </c>
      <c r="F285" s="1">
        <f>IFERROR(__xludf.DUMMYFUNCTION("""COMPUTED_VALUE"""),3.2676166E7)</f>
        <v>32676166</v>
      </c>
    </row>
    <row r="286">
      <c r="A286" s="2">
        <f>IFERROR(__xludf.DUMMYFUNCTION("""COMPUTED_VALUE"""),44764.66666666667)</f>
        <v>44764.66667</v>
      </c>
      <c r="B286" s="1">
        <f>IFERROR(__xludf.DUMMYFUNCTION("""COMPUTED_VALUE"""),111.0)</f>
        <v>111</v>
      </c>
      <c r="C286" s="1">
        <f>IFERROR(__xludf.DUMMYFUNCTION("""COMPUTED_VALUE"""),112.34)</f>
        <v>112.34</v>
      </c>
      <c r="D286" s="1">
        <f>IFERROR(__xludf.DUMMYFUNCTION("""COMPUTED_VALUE"""),106.5)</f>
        <v>106.5</v>
      </c>
      <c r="E286" s="1">
        <f>IFERROR(__xludf.DUMMYFUNCTION("""COMPUTED_VALUE"""),107.9)</f>
        <v>107.9</v>
      </c>
      <c r="F286" s="1">
        <f>IFERROR(__xludf.DUMMYFUNCTION("""COMPUTED_VALUE"""),4.8901184E7)</f>
        <v>48901184</v>
      </c>
    </row>
    <row r="287">
      <c r="A287" s="2">
        <f>IFERROR(__xludf.DUMMYFUNCTION("""COMPUTED_VALUE"""),44767.66666666667)</f>
        <v>44767.66667</v>
      </c>
      <c r="B287" s="1">
        <f>IFERROR(__xludf.DUMMYFUNCTION("""COMPUTED_VALUE"""),108.41)</f>
        <v>108.41</v>
      </c>
      <c r="C287" s="1">
        <f>IFERROR(__xludf.DUMMYFUNCTION("""COMPUTED_VALUE"""),109.87)</f>
        <v>109.87</v>
      </c>
      <c r="D287" s="1">
        <f>IFERROR(__xludf.DUMMYFUNCTION("""COMPUTED_VALUE"""),106.3)</f>
        <v>106.3</v>
      </c>
      <c r="E287" s="1">
        <f>IFERROR(__xludf.DUMMYFUNCTION("""COMPUTED_VALUE"""),107.51)</f>
        <v>107.51</v>
      </c>
      <c r="F287" s="1">
        <f>IFERROR(__xludf.DUMMYFUNCTION("""COMPUTED_VALUE"""),3.4690894E7)</f>
        <v>34690894</v>
      </c>
    </row>
    <row r="288">
      <c r="A288" s="2">
        <f>IFERROR(__xludf.DUMMYFUNCTION("""COMPUTED_VALUE"""),44768.66666666667)</f>
        <v>44768.66667</v>
      </c>
      <c r="B288" s="1">
        <f>IFERROR(__xludf.DUMMYFUNCTION("""COMPUTED_VALUE"""),106.6)</f>
        <v>106.6</v>
      </c>
      <c r="C288" s="1">
        <f>IFERROR(__xludf.DUMMYFUNCTION("""COMPUTED_VALUE"""),107.2)</f>
        <v>107.2</v>
      </c>
      <c r="D288" s="1">
        <f>IFERROR(__xludf.DUMMYFUNCTION("""COMPUTED_VALUE"""),104.07)</f>
        <v>104.07</v>
      </c>
      <c r="E288" s="1">
        <f>IFERROR(__xludf.DUMMYFUNCTION("""COMPUTED_VALUE"""),105.02)</f>
        <v>105.02</v>
      </c>
      <c r="F288" s="1">
        <f>IFERROR(__xludf.DUMMYFUNCTION("""COMPUTED_VALUE"""),4.7990963E7)</f>
        <v>47990963</v>
      </c>
    </row>
    <row r="289">
      <c r="A289" s="2">
        <f>IFERROR(__xludf.DUMMYFUNCTION("""COMPUTED_VALUE"""),44769.66666666667)</f>
        <v>44769.66667</v>
      </c>
      <c r="B289" s="1">
        <f>IFERROR(__xludf.DUMMYFUNCTION("""COMPUTED_VALUE"""),109.26)</f>
        <v>109.26</v>
      </c>
      <c r="C289" s="1">
        <f>IFERROR(__xludf.DUMMYFUNCTION("""COMPUTED_VALUE"""),113.91)</f>
        <v>113.91</v>
      </c>
      <c r="D289" s="1">
        <f>IFERROR(__xludf.DUMMYFUNCTION("""COMPUTED_VALUE"""),108.01)</f>
        <v>108.01</v>
      </c>
      <c r="E289" s="1">
        <f>IFERROR(__xludf.DUMMYFUNCTION("""COMPUTED_VALUE"""),113.06)</f>
        <v>113.06</v>
      </c>
      <c r="F289" s="1">
        <f>IFERROR(__xludf.DUMMYFUNCTION("""COMPUTED_VALUE"""),5.9858495E7)</f>
        <v>59858495</v>
      </c>
    </row>
    <row r="290">
      <c r="A290" s="2">
        <f>IFERROR(__xludf.DUMMYFUNCTION("""COMPUTED_VALUE"""),44770.66666666667)</f>
        <v>44770.66667</v>
      </c>
      <c r="B290" s="1">
        <f>IFERROR(__xludf.DUMMYFUNCTION("""COMPUTED_VALUE"""),112.37)</f>
        <v>112.37</v>
      </c>
      <c r="C290" s="1">
        <f>IFERROR(__xludf.DUMMYFUNCTION("""COMPUTED_VALUE"""),114.34)</f>
        <v>114.34</v>
      </c>
      <c r="D290" s="1">
        <f>IFERROR(__xludf.DUMMYFUNCTION("""COMPUTED_VALUE"""),111.46)</f>
        <v>111.46</v>
      </c>
      <c r="E290" s="1">
        <f>IFERROR(__xludf.DUMMYFUNCTION("""COMPUTED_VALUE"""),114.22)</f>
        <v>114.22</v>
      </c>
      <c r="F290" s="1">
        <f>IFERROR(__xludf.DUMMYFUNCTION("""COMPUTED_VALUE"""),3.2816568E7)</f>
        <v>32816568</v>
      </c>
    </row>
    <row r="291">
      <c r="A291" s="2">
        <f>IFERROR(__xludf.DUMMYFUNCTION("""COMPUTED_VALUE"""),44771.66666666667)</f>
        <v>44771.66667</v>
      </c>
      <c r="B291" s="1">
        <f>IFERROR(__xludf.DUMMYFUNCTION("""COMPUTED_VALUE"""),113.08)</f>
        <v>113.08</v>
      </c>
      <c r="C291" s="1">
        <f>IFERROR(__xludf.DUMMYFUNCTION("""COMPUTED_VALUE"""),116.71)</f>
        <v>116.71</v>
      </c>
      <c r="D291" s="1">
        <f>IFERROR(__xludf.DUMMYFUNCTION("""COMPUTED_VALUE"""),113.06)</f>
        <v>113.06</v>
      </c>
      <c r="E291" s="1">
        <f>IFERROR(__xludf.DUMMYFUNCTION("""COMPUTED_VALUE"""),116.32)</f>
        <v>116.32</v>
      </c>
      <c r="F291" s="1">
        <f>IFERROR(__xludf.DUMMYFUNCTION("""COMPUTED_VALUE"""),3.7223391E7)</f>
        <v>37223391</v>
      </c>
    </row>
    <row r="292">
      <c r="A292" s="2">
        <f>IFERROR(__xludf.DUMMYFUNCTION("""COMPUTED_VALUE"""),44774.66666666667)</f>
        <v>44774.66667</v>
      </c>
      <c r="B292" s="1">
        <f>IFERROR(__xludf.DUMMYFUNCTION("""COMPUTED_VALUE"""),115.3)</f>
        <v>115.3</v>
      </c>
      <c r="C292" s="1">
        <f>IFERROR(__xludf.DUMMYFUNCTION("""COMPUTED_VALUE"""),116.72)</f>
        <v>116.72</v>
      </c>
      <c r="D292" s="1">
        <f>IFERROR(__xludf.DUMMYFUNCTION("""COMPUTED_VALUE"""),114.34)</f>
        <v>114.34</v>
      </c>
      <c r="E292" s="1">
        <f>IFERROR(__xludf.DUMMYFUNCTION("""COMPUTED_VALUE"""),114.86)</f>
        <v>114.86</v>
      </c>
      <c r="F292" s="1">
        <f>IFERROR(__xludf.DUMMYFUNCTION("""COMPUTED_VALUE"""),2.6034288E7)</f>
        <v>26034288</v>
      </c>
    </row>
    <row r="293">
      <c r="A293" s="2">
        <f>IFERROR(__xludf.DUMMYFUNCTION("""COMPUTED_VALUE"""),44775.66666666667)</f>
        <v>44775.66667</v>
      </c>
      <c r="B293" s="1">
        <f>IFERROR(__xludf.DUMMYFUNCTION("""COMPUTED_VALUE"""),114.0)</f>
        <v>114</v>
      </c>
      <c r="C293" s="1">
        <f>IFERROR(__xludf.DUMMYFUNCTION("""COMPUTED_VALUE"""),116.35)</f>
        <v>116.35</v>
      </c>
      <c r="D293" s="1">
        <f>IFERROR(__xludf.DUMMYFUNCTION("""COMPUTED_VALUE"""),113.72)</f>
        <v>113.72</v>
      </c>
      <c r="E293" s="1">
        <f>IFERROR(__xludf.DUMMYFUNCTION("""COMPUTED_VALUE"""),115.13)</f>
        <v>115.13</v>
      </c>
      <c r="F293" s="1">
        <f>IFERROR(__xludf.DUMMYFUNCTION("""COMPUTED_VALUE"""),2.0236029E7)</f>
        <v>20236029</v>
      </c>
    </row>
    <row r="294">
      <c r="A294" s="2">
        <f>IFERROR(__xludf.DUMMYFUNCTION("""COMPUTED_VALUE"""),44776.66666666667)</f>
        <v>44776.66667</v>
      </c>
      <c r="B294" s="1">
        <f>IFERROR(__xludf.DUMMYFUNCTION("""COMPUTED_VALUE"""),115.71)</f>
        <v>115.71</v>
      </c>
      <c r="C294" s="1">
        <f>IFERROR(__xludf.DUMMYFUNCTION("""COMPUTED_VALUE"""),118.62)</f>
        <v>118.62</v>
      </c>
      <c r="D294" s="1">
        <f>IFERROR(__xludf.DUMMYFUNCTION("""COMPUTED_VALUE"""),115.48)</f>
        <v>115.48</v>
      </c>
      <c r="E294" s="1">
        <f>IFERROR(__xludf.DUMMYFUNCTION("""COMPUTED_VALUE"""),118.08)</f>
        <v>118.08</v>
      </c>
      <c r="F294" s="1">
        <f>IFERROR(__xludf.DUMMYFUNCTION("""COMPUTED_VALUE"""),2.8499014E7)</f>
        <v>28499014</v>
      </c>
    </row>
    <row r="295">
      <c r="A295" s="2">
        <f>IFERROR(__xludf.DUMMYFUNCTION("""COMPUTED_VALUE"""),44777.66666666667)</f>
        <v>44777.66667</v>
      </c>
      <c r="B295" s="1">
        <f>IFERROR(__xludf.DUMMYFUNCTION("""COMPUTED_VALUE"""),117.48)</f>
        <v>117.48</v>
      </c>
      <c r="C295" s="1">
        <f>IFERROR(__xludf.DUMMYFUNCTION("""COMPUTED_VALUE"""),118.78)</f>
        <v>118.78</v>
      </c>
      <c r="D295" s="1">
        <f>IFERROR(__xludf.DUMMYFUNCTION("""COMPUTED_VALUE"""),116.89)</f>
        <v>116.89</v>
      </c>
      <c r="E295" s="1">
        <f>IFERROR(__xludf.DUMMYFUNCTION("""COMPUTED_VALUE"""),118.19)</f>
        <v>118.19</v>
      </c>
      <c r="F295" s="1">
        <f>IFERROR(__xludf.DUMMYFUNCTION("""COMPUTED_VALUE"""),2.1602925E7)</f>
        <v>21602925</v>
      </c>
    </row>
    <row r="296">
      <c r="A296" s="2">
        <f>IFERROR(__xludf.DUMMYFUNCTION("""COMPUTED_VALUE"""),44778.66666666667)</f>
        <v>44778.66667</v>
      </c>
      <c r="B296" s="1">
        <f>IFERROR(__xludf.DUMMYFUNCTION("""COMPUTED_VALUE"""),116.23)</f>
        <v>116.23</v>
      </c>
      <c r="C296" s="1">
        <f>IFERROR(__xludf.DUMMYFUNCTION("""COMPUTED_VALUE"""),118.11)</f>
        <v>118.11</v>
      </c>
      <c r="D296" s="1">
        <f>IFERROR(__xludf.DUMMYFUNCTION("""COMPUTED_VALUE"""),116.0)</f>
        <v>116</v>
      </c>
      <c r="E296" s="1">
        <f>IFERROR(__xludf.DUMMYFUNCTION("""COMPUTED_VALUE"""),117.47)</f>
        <v>117.47</v>
      </c>
      <c r="F296" s="1">
        <f>IFERROR(__xludf.DUMMYFUNCTION("""COMPUTED_VALUE"""),1.915952E7)</f>
        <v>19159520</v>
      </c>
    </row>
    <row r="297">
      <c r="A297" s="2">
        <f>IFERROR(__xludf.DUMMYFUNCTION("""COMPUTED_VALUE"""),44781.66666666667)</f>
        <v>44781.66667</v>
      </c>
      <c r="B297" s="1">
        <f>IFERROR(__xludf.DUMMYFUNCTION("""COMPUTED_VALUE"""),118.39)</f>
        <v>118.39</v>
      </c>
      <c r="C297" s="1">
        <f>IFERROR(__xludf.DUMMYFUNCTION("""COMPUTED_VALUE"""),120.15)</f>
        <v>120.15</v>
      </c>
      <c r="D297" s="1">
        <f>IFERROR(__xludf.DUMMYFUNCTION("""COMPUTED_VALUE"""),116.88)</f>
        <v>116.88</v>
      </c>
      <c r="E297" s="1">
        <f>IFERROR(__xludf.DUMMYFUNCTION("""COMPUTED_VALUE"""),117.3)</f>
        <v>117.3</v>
      </c>
      <c r="F297" s="1">
        <f>IFERROR(__xludf.DUMMYFUNCTION("""COMPUTED_VALUE"""),1.9169479E7)</f>
        <v>19169479</v>
      </c>
    </row>
    <row r="298">
      <c r="A298" s="2">
        <f>IFERROR(__xludf.DUMMYFUNCTION("""COMPUTED_VALUE"""),44782.66666666667)</f>
        <v>44782.66667</v>
      </c>
      <c r="B298" s="1">
        <f>IFERROR(__xludf.DUMMYFUNCTION("""COMPUTED_VALUE"""),117.14)</f>
        <v>117.14</v>
      </c>
      <c r="C298" s="1">
        <f>IFERROR(__xludf.DUMMYFUNCTION("""COMPUTED_VALUE"""),117.32)</f>
        <v>117.32</v>
      </c>
      <c r="D298" s="1">
        <f>IFERROR(__xludf.DUMMYFUNCTION("""COMPUTED_VALUE"""),115.71)</f>
        <v>115.71</v>
      </c>
      <c r="E298" s="1">
        <f>IFERROR(__xludf.DUMMYFUNCTION("""COMPUTED_VALUE"""),116.63)</f>
        <v>116.63</v>
      </c>
      <c r="F298" s="1">
        <f>IFERROR(__xludf.DUMMYFUNCTION("""COMPUTED_VALUE"""),1.9086465E7)</f>
        <v>19086465</v>
      </c>
    </row>
    <row r="299">
      <c r="A299" s="2">
        <f>IFERROR(__xludf.DUMMYFUNCTION("""COMPUTED_VALUE"""),44783.66666666667)</f>
        <v>44783.66667</v>
      </c>
      <c r="B299" s="1">
        <f>IFERROR(__xludf.DUMMYFUNCTION("""COMPUTED_VALUE"""),118.78)</f>
        <v>118.78</v>
      </c>
      <c r="C299" s="1">
        <f>IFERROR(__xludf.DUMMYFUNCTION("""COMPUTED_VALUE"""),120.92)</f>
        <v>120.92</v>
      </c>
      <c r="D299" s="1">
        <f>IFERROR(__xludf.DUMMYFUNCTION("""COMPUTED_VALUE"""),118.41)</f>
        <v>118.41</v>
      </c>
      <c r="E299" s="1">
        <f>IFERROR(__xludf.DUMMYFUNCTION("""COMPUTED_VALUE"""),119.7)</f>
        <v>119.7</v>
      </c>
      <c r="F299" s="1">
        <f>IFERROR(__xludf.DUMMYFUNCTION("""COMPUTED_VALUE"""),3.093035E7)</f>
        <v>30930350</v>
      </c>
    </row>
    <row r="300">
      <c r="A300" s="2">
        <f>IFERROR(__xludf.DUMMYFUNCTION("""COMPUTED_VALUE"""),44784.66666666667)</f>
        <v>44784.66667</v>
      </c>
      <c r="B300" s="1">
        <f>IFERROR(__xludf.DUMMYFUNCTION("""COMPUTED_VALUE"""),121.28)</f>
        <v>121.28</v>
      </c>
      <c r="C300" s="1">
        <f>IFERROR(__xludf.DUMMYFUNCTION("""COMPUTED_VALUE"""),121.49)</f>
        <v>121.49</v>
      </c>
      <c r="D300" s="1">
        <f>IFERROR(__xludf.DUMMYFUNCTION("""COMPUTED_VALUE"""),118.56)</f>
        <v>118.56</v>
      </c>
      <c r="E300" s="1">
        <f>IFERROR(__xludf.DUMMYFUNCTION("""COMPUTED_VALUE"""),118.84)</f>
        <v>118.84</v>
      </c>
      <c r="F300" s="1">
        <f>IFERROR(__xludf.DUMMYFUNCTION("""COMPUTED_VALUE"""),2.4293654E7)</f>
        <v>24293654</v>
      </c>
    </row>
    <row r="301">
      <c r="A301" s="2">
        <f>IFERROR(__xludf.DUMMYFUNCTION("""COMPUTED_VALUE"""),44785.66666666667)</f>
        <v>44785.66667</v>
      </c>
      <c r="B301" s="1">
        <f>IFERROR(__xludf.DUMMYFUNCTION("""COMPUTED_VALUE"""),120.26)</f>
        <v>120.26</v>
      </c>
      <c r="C301" s="1">
        <f>IFERROR(__xludf.DUMMYFUNCTION("""COMPUTED_VALUE"""),121.68)</f>
        <v>121.68</v>
      </c>
      <c r="D301" s="1">
        <f>IFERROR(__xludf.DUMMYFUNCTION("""COMPUTED_VALUE"""),119.46)</f>
        <v>119.46</v>
      </c>
      <c r="E301" s="1">
        <f>IFERROR(__xludf.DUMMYFUNCTION("""COMPUTED_VALUE"""),121.68)</f>
        <v>121.68</v>
      </c>
      <c r="F301" s="1">
        <f>IFERROR(__xludf.DUMMYFUNCTION("""COMPUTED_VALUE"""),1.9096268E7)</f>
        <v>19096268</v>
      </c>
    </row>
    <row r="302">
      <c r="A302" s="2">
        <f>IFERROR(__xludf.DUMMYFUNCTION("""COMPUTED_VALUE"""),44788.66666666667)</f>
        <v>44788.66667</v>
      </c>
      <c r="B302" s="1">
        <f>IFERROR(__xludf.DUMMYFUNCTION("""COMPUTED_VALUE"""),121.13)</f>
        <v>121.13</v>
      </c>
      <c r="C302" s="1">
        <f>IFERROR(__xludf.DUMMYFUNCTION("""COMPUTED_VALUE"""),122.3)</f>
        <v>122.3</v>
      </c>
      <c r="D302" s="1">
        <f>IFERROR(__xludf.DUMMYFUNCTION("""COMPUTED_VALUE"""),120.61)</f>
        <v>120.61</v>
      </c>
      <c r="E302" s="1">
        <f>IFERROR(__xludf.DUMMYFUNCTION("""COMPUTED_VALUE"""),122.08)</f>
        <v>122.08</v>
      </c>
      <c r="F302" s="1">
        <f>IFERROR(__xludf.DUMMYFUNCTION("""COMPUTED_VALUE"""),1.9494825E7)</f>
        <v>19494825</v>
      </c>
    </row>
    <row r="303">
      <c r="A303" s="2">
        <f>IFERROR(__xludf.DUMMYFUNCTION("""COMPUTED_VALUE"""),44789.66666666667)</f>
        <v>44789.66667</v>
      </c>
      <c r="B303" s="1">
        <f>IFERROR(__xludf.DUMMYFUNCTION("""COMPUTED_VALUE"""),121.52)</f>
        <v>121.52</v>
      </c>
      <c r="C303" s="1">
        <f>IFERROR(__xludf.DUMMYFUNCTION("""COMPUTED_VALUE"""),122.43)</f>
        <v>122.43</v>
      </c>
      <c r="D303" s="1">
        <f>IFERROR(__xludf.DUMMYFUNCTION("""COMPUTED_VALUE"""),120.64)</f>
        <v>120.64</v>
      </c>
      <c r="E303" s="1">
        <f>IFERROR(__xludf.DUMMYFUNCTION("""COMPUTED_VALUE"""),121.7)</f>
        <v>121.7</v>
      </c>
      <c r="F303" s="1">
        <f>IFERROR(__xludf.DUMMYFUNCTION("""COMPUTED_VALUE"""),1.904123E7)</f>
        <v>19041230</v>
      </c>
    </row>
    <row r="304">
      <c r="A304" s="2">
        <f>IFERROR(__xludf.DUMMYFUNCTION("""COMPUTED_VALUE"""),44790.66666666667)</f>
        <v>44790.66667</v>
      </c>
      <c r="B304" s="1">
        <f>IFERROR(__xludf.DUMMYFUNCTION("""COMPUTED_VALUE"""),120.12)</f>
        <v>120.12</v>
      </c>
      <c r="C304" s="1">
        <f>IFERROR(__xludf.DUMMYFUNCTION("""COMPUTED_VALUE"""),121.29)</f>
        <v>121.29</v>
      </c>
      <c r="D304" s="1">
        <f>IFERROR(__xludf.DUMMYFUNCTION("""COMPUTED_VALUE"""),119.38)</f>
        <v>119.38</v>
      </c>
      <c r="E304" s="1">
        <f>IFERROR(__xludf.DUMMYFUNCTION("""COMPUTED_VALUE"""),119.55)</f>
        <v>119.55</v>
      </c>
      <c r="F304" s="1">
        <f>IFERROR(__xludf.DUMMYFUNCTION("""COMPUTED_VALUE"""),2.2846958E7)</f>
        <v>22846958</v>
      </c>
    </row>
    <row r="305">
      <c r="A305" s="2">
        <f>IFERROR(__xludf.DUMMYFUNCTION("""COMPUTED_VALUE"""),44791.66666666667)</f>
        <v>44791.66667</v>
      </c>
      <c r="B305" s="1">
        <f>IFERROR(__xludf.DUMMYFUNCTION("""COMPUTED_VALUE"""),119.43)</f>
        <v>119.43</v>
      </c>
      <c r="C305" s="1">
        <f>IFERROR(__xludf.DUMMYFUNCTION("""COMPUTED_VALUE"""),120.82)</f>
        <v>120.82</v>
      </c>
      <c r="D305" s="1">
        <f>IFERROR(__xludf.DUMMYFUNCTION("""COMPUTED_VALUE"""),118.72)</f>
        <v>118.72</v>
      </c>
      <c r="E305" s="1">
        <f>IFERROR(__xludf.DUMMYFUNCTION("""COMPUTED_VALUE"""),120.17)</f>
        <v>120.17</v>
      </c>
      <c r="F305" s="1">
        <f>IFERROR(__xludf.DUMMYFUNCTION("""COMPUTED_VALUE"""),1.798766E7)</f>
        <v>17987660</v>
      </c>
    </row>
    <row r="306">
      <c r="A306" s="2">
        <f>IFERROR(__xludf.DUMMYFUNCTION("""COMPUTED_VALUE"""),44792.66666666667)</f>
        <v>44792.66667</v>
      </c>
      <c r="B306" s="1">
        <f>IFERROR(__xludf.DUMMYFUNCTION("""COMPUTED_VALUE"""),119.06)</f>
        <v>119.06</v>
      </c>
      <c r="C306" s="1">
        <f>IFERROR(__xludf.DUMMYFUNCTION("""COMPUTED_VALUE"""),119.15)</f>
        <v>119.15</v>
      </c>
      <c r="D306" s="1">
        <f>IFERROR(__xludf.DUMMYFUNCTION("""COMPUTED_VALUE"""),116.76)</f>
        <v>116.76</v>
      </c>
      <c r="E306" s="1">
        <f>IFERROR(__xludf.DUMMYFUNCTION("""COMPUTED_VALUE"""),117.21)</f>
        <v>117.21</v>
      </c>
      <c r="F306" s="1">
        <f>IFERROR(__xludf.DUMMYFUNCTION("""COMPUTED_VALUE"""),2.1809528E7)</f>
        <v>21809528</v>
      </c>
    </row>
    <row r="307">
      <c r="A307" s="2">
        <f>IFERROR(__xludf.DUMMYFUNCTION("""COMPUTED_VALUE"""),44795.66666666667)</f>
        <v>44795.66667</v>
      </c>
      <c r="B307" s="1">
        <f>IFERROR(__xludf.DUMMYFUNCTION("""COMPUTED_VALUE"""),115.2)</f>
        <v>115.2</v>
      </c>
      <c r="C307" s="1">
        <f>IFERROR(__xludf.DUMMYFUNCTION("""COMPUTED_VALUE"""),115.63)</f>
        <v>115.63</v>
      </c>
      <c r="D307" s="1">
        <f>IFERROR(__xludf.DUMMYFUNCTION("""COMPUTED_VALUE"""),113.85)</f>
        <v>113.85</v>
      </c>
      <c r="E307" s="1">
        <f>IFERROR(__xludf.DUMMYFUNCTION("""COMPUTED_VALUE"""),114.24)</f>
        <v>114.24</v>
      </c>
      <c r="F307" s="1">
        <f>IFERROR(__xludf.DUMMYFUNCTION("""COMPUTED_VALUE"""),2.1456648E7)</f>
        <v>21456648</v>
      </c>
    </row>
    <row r="308">
      <c r="A308" s="2">
        <f>IFERROR(__xludf.DUMMYFUNCTION("""COMPUTED_VALUE"""),44796.66666666667)</f>
        <v>44796.66667</v>
      </c>
      <c r="B308" s="1">
        <f>IFERROR(__xludf.DUMMYFUNCTION("""COMPUTED_VALUE"""),113.48)</f>
        <v>113.48</v>
      </c>
      <c r="C308" s="1">
        <f>IFERROR(__xludf.DUMMYFUNCTION("""COMPUTED_VALUE"""),115.01)</f>
        <v>115.01</v>
      </c>
      <c r="D308" s="1">
        <f>IFERROR(__xludf.DUMMYFUNCTION("""COMPUTED_VALUE"""),113.43)</f>
        <v>113.43</v>
      </c>
      <c r="E308" s="1">
        <f>IFERROR(__xludf.DUMMYFUNCTION("""COMPUTED_VALUE"""),113.86)</f>
        <v>113.86</v>
      </c>
      <c r="F308" s="1">
        <f>IFERROR(__xludf.DUMMYFUNCTION("""COMPUTED_VALUE"""),1.5870373E7)</f>
        <v>15870373</v>
      </c>
    </row>
    <row r="309">
      <c r="A309" s="2">
        <f>IFERROR(__xludf.DUMMYFUNCTION("""COMPUTED_VALUE"""),44797.66666666667)</f>
        <v>44797.66667</v>
      </c>
      <c r="B309" s="1">
        <f>IFERROR(__xludf.DUMMYFUNCTION("""COMPUTED_VALUE"""),113.5)</f>
        <v>113.5</v>
      </c>
      <c r="C309" s="1">
        <f>IFERROR(__xludf.DUMMYFUNCTION("""COMPUTED_VALUE"""),114.78)</f>
        <v>114.78</v>
      </c>
      <c r="D309" s="1">
        <f>IFERROR(__xludf.DUMMYFUNCTION("""COMPUTED_VALUE"""),112.87)</f>
        <v>112.87</v>
      </c>
      <c r="E309" s="1">
        <f>IFERROR(__xludf.DUMMYFUNCTION("""COMPUTED_VALUE"""),113.69)</f>
        <v>113.69</v>
      </c>
      <c r="F309" s="1">
        <f>IFERROR(__xludf.DUMMYFUNCTION("""COMPUTED_VALUE"""),1.7734624E7)</f>
        <v>17734624</v>
      </c>
    </row>
    <row r="310">
      <c r="A310" s="2">
        <f>IFERROR(__xludf.DUMMYFUNCTION("""COMPUTED_VALUE"""),44798.66666666667)</f>
        <v>44798.66667</v>
      </c>
      <c r="B310" s="1">
        <f>IFERROR(__xludf.DUMMYFUNCTION("""COMPUTED_VALUE"""),114.24)</f>
        <v>114.24</v>
      </c>
      <c r="C310" s="1">
        <f>IFERROR(__xludf.DUMMYFUNCTION("""COMPUTED_VALUE"""),116.72)</f>
        <v>116.72</v>
      </c>
      <c r="D310" s="1">
        <f>IFERROR(__xludf.DUMMYFUNCTION("""COMPUTED_VALUE"""),114.11)</f>
        <v>114.11</v>
      </c>
      <c r="E310" s="1">
        <f>IFERROR(__xludf.DUMMYFUNCTION("""COMPUTED_VALUE"""),116.65)</f>
        <v>116.65</v>
      </c>
      <c r="F310" s="1">
        <f>IFERROR(__xludf.DUMMYFUNCTION("""COMPUTED_VALUE"""),1.6956794E7)</f>
        <v>16956794</v>
      </c>
    </row>
    <row r="311">
      <c r="A311" s="2">
        <f>IFERROR(__xludf.DUMMYFUNCTION("""COMPUTED_VALUE"""),44799.66666666667)</f>
        <v>44799.66667</v>
      </c>
      <c r="B311" s="1">
        <f>IFERROR(__xludf.DUMMYFUNCTION("""COMPUTED_VALUE"""),114.72)</f>
        <v>114.72</v>
      </c>
      <c r="C311" s="1">
        <f>IFERROR(__xludf.DUMMYFUNCTION("""COMPUTED_VALUE"""),115.12)</f>
        <v>115.12</v>
      </c>
      <c r="D311" s="1">
        <f>IFERROR(__xludf.DUMMYFUNCTION("""COMPUTED_VALUE"""),110.19)</f>
        <v>110.19</v>
      </c>
      <c r="E311" s="1">
        <f>IFERROR(__xludf.DUMMYFUNCTION("""COMPUTED_VALUE"""),110.34)</f>
        <v>110.34</v>
      </c>
      <c r="F311" s="1">
        <f>IFERROR(__xludf.DUMMYFUNCTION("""COMPUTED_VALUE"""),3.7245697E7)</f>
        <v>37245697</v>
      </c>
    </row>
    <row r="312">
      <c r="A312" s="2">
        <f>IFERROR(__xludf.DUMMYFUNCTION("""COMPUTED_VALUE"""),44802.66666666667)</f>
        <v>44802.66667</v>
      </c>
      <c r="B312" s="1">
        <f>IFERROR(__xludf.DUMMYFUNCTION("""COMPUTED_VALUE"""),109.99)</f>
        <v>109.99</v>
      </c>
      <c r="C312" s="1">
        <f>IFERROR(__xludf.DUMMYFUNCTION("""COMPUTED_VALUE"""),110.95)</f>
        <v>110.95</v>
      </c>
      <c r="D312" s="1">
        <f>IFERROR(__xludf.DUMMYFUNCTION("""COMPUTED_VALUE"""),108.8)</f>
        <v>108.8</v>
      </c>
      <c r="E312" s="1">
        <f>IFERROR(__xludf.DUMMYFUNCTION("""COMPUTED_VALUE"""),109.42)</f>
        <v>109.42</v>
      </c>
      <c r="F312" s="1">
        <f>IFERROR(__xludf.DUMMYFUNCTION("""COMPUTED_VALUE"""),2.1191157E7)</f>
        <v>21191157</v>
      </c>
    </row>
    <row r="313">
      <c r="A313" s="2">
        <f>IFERROR(__xludf.DUMMYFUNCTION("""COMPUTED_VALUE"""),44803.66666666667)</f>
        <v>44803.66667</v>
      </c>
      <c r="B313" s="1">
        <f>IFERROR(__xludf.DUMMYFUNCTION("""COMPUTED_VALUE"""),110.17)</f>
        <v>110.17</v>
      </c>
      <c r="C313" s="1">
        <f>IFERROR(__xludf.DUMMYFUNCTION("""COMPUTED_VALUE"""),110.5)</f>
        <v>110.5</v>
      </c>
      <c r="D313" s="1">
        <f>IFERROR(__xludf.DUMMYFUNCTION("""COMPUTED_VALUE"""),107.8)</f>
        <v>107.8</v>
      </c>
      <c r="E313" s="1">
        <f>IFERROR(__xludf.DUMMYFUNCTION("""COMPUTED_VALUE"""),108.94)</f>
        <v>108.94</v>
      </c>
      <c r="F313" s="1">
        <f>IFERROR(__xludf.DUMMYFUNCTION("""COMPUTED_VALUE"""),2.7513255E7)</f>
        <v>27513255</v>
      </c>
    </row>
    <row r="314">
      <c r="A314" s="2">
        <f>IFERROR(__xludf.DUMMYFUNCTION("""COMPUTED_VALUE"""),44804.66666666667)</f>
        <v>44804.66667</v>
      </c>
      <c r="B314" s="1">
        <f>IFERROR(__xludf.DUMMYFUNCTION("""COMPUTED_VALUE"""),110.65)</f>
        <v>110.65</v>
      </c>
      <c r="C314" s="1">
        <f>IFERROR(__xludf.DUMMYFUNCTION("""COMPUTED_VALUE"""),110.85)</f>
        <v>110.85</v>
      </c>
      <c r="D314" s="1">
        <f>IFERROR(__xludf.DUMMYFUNCTION("""COMPUTED_VALUE"""),108.13)</f>
        <v>108.13</v>
      </c>
      <c r="E314" s="1">
        <f>IFERROR(__xludf.DUMMYFUNCTION("""COMPUTED_VALUE"""),108.22)</f>
        <v>108.22</v>
      </c>
      <c r="F314" s="1">
        <f>IFERROR(__xludf.DUMMYFUNCTION("""COMPUTED_VALUE"""),2.8626972E7)</f>
        <v>28626972</v>
      </c>
    </row>
    <row r="315">
      <c r="A315" s="2">
        <f>IFERROR(__xludf.DUMMYFUNCTION("""COMPUTED_VALUE"""),44805.66666666667)</f>
        <v>44805.66667</v>
      </c>
      <c r="B315" s="1">
        <f>IFERROR(__xludf.DUMMYFUNCTION("""COMPUTED_VALUE"""),108.28)</f>
        <v>108.28</v>
      </c>
      <c r="C315" s="1">
        <f>IFERROR(__xludf.DUMMYFUNCTION("""COMPUTED_VALUE"""),110.45)</f>
        <v>110.45</v>
      </c>
      <c r="D315" s="1">
        <f>IFERROR(__xludf.DUMMYFUNCTION("""COMPUTED_VALUE"""),107.36)</f>
        <v>107.36</v>
      </c>
      <c r="E315" s="1">
        <f>IFERROR(__xludf.DUMMYFUNCTION("""COMPUTED_VALUE"""),109.74)</f>
        <v>109.74</v>
      </c>
      <c r="F315" s="1">
        <f>IFERROR(__xludf.DUMMYFUNCTION("""COMPUTED_VALUE"""),2.8360926E7)</f>
        <v>28360926</v>
      </c>
    </row>
    <row r="316">
      <c r="A316" s="2">
        <f>IFERROR(__xludf.DUMMYFUNCTION("""COMPUTED_VALUE"""),44806.66666666667)</f>
        <v>44806.66667</v>
      </c>
      <c r="B316" s="1">
        <f>IFERROR(__xludf.DUMMYFUNCTION("""COMPUTED_VALUE"""),110.59)</f>
        <v>110.59</v>
      </c>
      <c r="C316" s="1">
        <f>IFERROR(__xludf.DUMMYFUNCTION("""COMPUTED_VALUE"""),110.74)</f>
        <v>110.74</v>
      </c>
      <c r="D316" s="1">
        <f>IFERROR(__xludf.DUMMYFUNCTION("""COMPUTED_VALUE"""),107.26)</f>
        <v>107.26</v>
      </c>
      <c r="E316" s="1">
        <f>IFERROR(__xludf.DUMMYFUNCTION("""COMPUTED_VALUE"""),107.85)</f>
        <v>107.85</v>
      </c>
      <c r="F316" s="1">
        <f>IFERROR(__xludf.DUMMYFUNCTION("""COMPUTED_VALUE"""),2.4160711E7)</f>
        <v>24160711</v>
      </c>
    </row>
    <row r="317">
      <c r="A317" s="2">
        <f>IFERROR(__xludf.DUMMYFUNCTION("""COMPUTED_VALUE"""),44810.66666666667)</f>
        <v>44810.66667</v>
      </c>
      <c r="B317" s="1">
        <f>IFERROR(__xludf.DUMMYFUNCTION("""COMPUTED_VALUE"""),107.3)</f>
        <v>107.3</v>
      </c>
      <c r="C317" s="1">
        <f>IFERROR(__xludf.DUMMYFUNCTION("""COMPUTED_VALUE"""),108.03)</f>
        <v>108.03</v>
      </c>
      <c r="D317" s="1">
        <f>IFERROR(__xludf.DUMMYFUNCTION("""COMPUTED_VALUE"""),105.78)</f>
        <v>105.78</v>
      </c>
      <c r="E317" s="1">
        <f>IFERROR(__xludf.DUMMYFUNCTION("""COMPUTED_VALUE"""),106.81)</f>
        <v>106.81</v>
      </c>
      <c r="F317" s="1">
        <f>IFERROR(__xludf.DUMMYFUNCTION("""COMPUTED_VALUE"""),2.506828E7)</f>
        <v>25068280</v>
      </c>
    </row>
    <row r="318">
      <c r="A318" s="2">
        <f>IFERROR(__xludf.DUMMYFUNCTION("""COMPUTED_VALUE"""),44811.66666666667)</f>
        <v>44811.66667</v>
      </c>
      <c r="B318" s="1">
        <f>IFERROR(__xludf.DUMMYFUNCTION("""COMPUTED_VALUE"""),107.06)</f>
        <v>107.06</v>
      </c>
      <c r="C318" s="1">
        <f>IFERROR(__xludf.DUMMYFUNCTION("""COMPUTED_VALUE"""),109.98)</f>
        <v>109.98</v>
      </c>
      <c r="D318" s="1">
        <f>IFERROR(__xludf.DUMMYFUNCTION("""COMPUTED_VALUE"""),106.9)</f>
        <v>106.9</v>
      </c>
      <c r="E318" s="1">
        <f>IFERROR(__xludf.DUMMYFUNCTION("""COMPUTED_VALUE"""),109.45)</f>
        <v>109.45</v>
      </c>
      <c r="F318" s="1">
        <f>IFERROR(__xludf.DUMMYFUNCTION("""COMPUTED_VALUE"""),2.3166967E7)</f>
        <v>23166967</v>
      </c>
    </row>
    <row r="319">
      <c r="A319" s="2">
        <f>IFERROR(__xludf.DUMMYFUNCTION("""COMPUTED_VALUE"""),44812.66666666667)</f>
        <v>44812.66667</v>
      </c>
      <c r="B319" s="1">
        <f>IFERROR(__xludf.DUMMYFUNCTION("""COMPUTED_VALUE"""),108.04)</f>
        <v>108.04</v>
      </c>
      <c r="C319" s="1">
        <f>IFERROR(__xludf.DUMMYFUNCTION("""COMPUTED_VALUE"""),109.6)</f>
        <v>109.6</v>
      </c>
      <c r="D319" s="1">
        <f>IFERROR(__xludf.DUMMYFUNCTION("""COMPUTED_VALUE"""),107.16)</f>
        <v>107.16</v>
      </c>
      <c r="E319" s="1">
        <f>IFERROR(__xludf.DUMMYFUNCTION("""COMPUTED_VALUE"""),108.38)</f>
        <v>108.38</v>
      </c>
      <c r="F319" s="1">
        <f>IFERROR(__xludf.DUMMYFUNCTION("""COMPUTED_VALUE"""),2.4238293E7)</f>
        <v>24238293</v>
      </c>
    </row>
    <row r="320">
      <c r="A320" s="2">
        <f>IFERROR(__xludf.DUMMYFUNCTION("""COMPUTED_VALUE"""),44813.66666666667)</f>
        <v>44813.66667</v>
      </c>
      <c r="B320" s="1">
        <f>IFERROR(__xludf.DUMMYFUNCTION("""COMPUTED_VALUE"""),109.07)</f>
        <v>109.07</v>
      </c>
      <c r="C320" s="1">
        <f>IFERROR(__xludf.DUMMYFUNCTION("""COMPUTED_VALUE"""),110.99)</f>
        <v>110.99</v>
      </c>
      <c r="D320" s="1">
        <f>IFERROR(__xludf.DUMMYFUNCTION("""COMPUTED_VALUE"""),109.02)</f>
        <v>109.02</v>
      </c>
      <c r="E320" s="1">
        <f>IFERROR(__xludf.DUMMYFUNCTION("""COMPUTED_VALUE"""),110.65)</f>
        <v>110.65</v>
      </c>
      <c r="F320" s="1">
        <f>IFERROR(__xludf.DUMMYFUNCTION("""COMPUTED_VALUE"""),2.3213585E7)</f>
        <v>23213585</v>
      </c>
    </row>
    <row r="321">
      <c r="A321" s="2">
        <f>IFERROR(__xludf.DUMMYFUNCTION("""COMPUTED_VALUE"""),44816.66666666667)</f>
        <v>44816.66667</v>
      </c>
      <c r="B321" s="1">
        <f>IFERROR(__xludf.DUMMYFUNCTION("""COMPUTED_VALUE"""),110.99)</f>
        <v>110.99</v>
      </c>
      <c r="C321" s="1">
        <f>IFERROR(__xludf.DUMMYFUNCTION("""COMPUTED_VALUE"""),111.62)</f>
        <v>111.62</v>
      </c>
      <c r="D321" s="1">
        <f>IFERROR(__xludf.DUMMYFUNCTION("""COMPUTED_VALUE"""),109.93)</f>
        <v>109.93</v>
      </c>
      <c r="E321" s="1">
        <f>IFERROR(__xludf.DUMMYFUNCTION("""COMPUTED_VALUE"""),110.86)</f>
        <v>110.86</v>
      </c>
      <c r="F321" s="1">
        <f>IFERROR(__xludf.DUMMYFUNCTION("""COMPUTED_VALUE"""),2.2966752E7)</f>
        <v>22966752</v>
      </c>
    </row>
    <row r="322">
      <c r="A322" s="2">
        <f>IFERROR(__xludf.DUMMYFUNCTION("""COMPUTED_VALUE"""),44817.66666666667)</f>
        <v>44817.66667</v>
      </c>
      <c r="B322" s="1">
        <f>IFERROR(__xludf.DUMMYFUNCTION("""COMPUTED_VALUE"""),107.8)</f>
        <v>107.8</v>
      </c>
      <c r="C322" s="1">
        <f>IFERROR(__xludf.DUMMYFUNCTION("""COMPUTED_VALUE"""),108.3)</f>
        <v>108.3</v>
      </c>
      <c r="D322" s="1">
        <f>IFERROR(__xludf.DUMMYFUNCTION("""COMPUTED_VALUE"""),104.09)</f>
        <v>104.09</v>
      </c>
      <c r="E322" s="1">
        <f>IFERROR(__xludf.DUMMYFUNCTION("""COMPUTED_VALUE"""),104.32)</f>
        <v>104.32</v>
      </c>
      <c r="F322" s="1">
        <f>IFERROR(__xludf.DUMMYFUNCTION("""COMPUTED_VALUE"""),3.8172871E7)</f>
        <v>38172871</v>
      </c>
    </row>
    <row r="323">
      <c r="A323" s="2">
        <f>IFERROR(__xludf.DUMMYFUNCTION("""COMPUTED_VALUE"""),44818.66666666667)</f>
        <v>44818.66667</v>
      </c>
      <c r="B323" s="1">
        <f>IFERROR(__xludf.DUMMYFUNCTION("""COMPUTED_VALUE"""),104.57)</f>
        <v>104.57</v>
      </c>
      <c r="C323" s="1">
        <f>IFERROR(__xludf.DUMMYFUNCTION("""COMPUTED_VALUE"""),105.28)</f>
        <v>105.28</v>
      </c>
      <c r="D323" s="1">
        <f>IFERROR(__xludf.DUMMYFUNCTION("""COMPUTED_VALUE"""),103.66)</f>
        <v>103.66</v>
      </c>
      <c r="E323" s="1">
        <f>IFERROR(__xludf.DUMMYFUNCTION("""COMPUTED_VALUE"""),105.0)</f>
        <v>105</v>
      </c>
      <c r="F323" s="1">
        <f>IFERROR(__xludf.DUMMYFUNCTION("""COMPUTED_VALUE"""),2.6395134E7)</f>
        <v>26395134</v>
      </c>
    </row>
    <row r="324">
      <c r="A324" s="2">
        <f>IFERROR(__xludf.DUMMYFUNCTION("""COMPUTED_VALUE"""),44819.66666666667)</f>
        <v>44819.66667</v>
      </c>
      <c r="B324" s="1">
        <f>IFERROR(__xludf.DUMMYFUNCTION("""COMPUTED_VALUE"""),104.03)</f>
        <v>104.03</v>
      </c>
      <c r="C324" s="1">
        <f>IFERROR(__xludf.DUMMYFUNCTION("""COMPUTED_VALUE"""),105.27)</f>
        <v>105.27</v>
      </c>
      <c r="D324" s="1">
        <f>IFERROR(__xludf.DUMMYFUNCTION("""COMPUTED_VALUE"""),102.35)</f>
        <v>102.35</v>
      </c>
      <c r="E324" s="1">
        <f>IFERROR(__xludf.DUMMYFUNCTION("""COMPUTED_VALUE"""),102.91)</f>
        <v>102.91</v>
      </c>
      <c r="F324" s="1">
        <f>IFERROR(__xludf.DUMMYFUNCTION("""COMPUTED_VALUE"""),3.4188284E7)</f>
        <v>34188284</v>
      </c>
    </row>
    <row r="325">
      <c r="A325" s="2">
        <f>IFERROR(__xludf.DUMMYFUNCTION("""COMPUTED_VALUE"""),44820.66666666667)</f>
        <v>44820.66667</v>
      </c>
      <c r="B325" s="1">
        <f>IFERROR(__xludf.DUMMYFUNCTION("""COMPUTED_VALUE"""),102.07)</f>
        <v>102.07</v>
      </c>
      <c r="C325" s="1">
        <f>IFERROR(__xludf.DUMMYFUNCTION("""COMPUTED_VALUE"""),103.13)</f>
        <v>103.13</v>
      </c>
      <c r="D325" s="1">
        <f>IFERROR(__xludf.DUMMYFUNCTION("""COMPUTED_VALUE"""),100.94)</f>
        <v>100.94</v>
      </c>
      <c r="E325" s="1">
        <f>IFERROR(__xludf.DUMMYFUNCTION("""COMPUTED_VALUE"""),102.8)</f>
        <v>102.8</v>
      </c>
      <c r="F325" s="1">
        <f>IFERROR(__xludf.DUMMYFUNCTION("""COMPUTED_VALUE"""),4.2797172E7)</f>
        <v>42797172</v>
      </c>
    </row>
    <row r="326">
      <c r="A326" s="2">
        <f>IFERROR(__xludf.DUMMYFUNCTION("""COMPUTED_VALUE"""),44823.66666666667)</f>
        <v>44823.66667</v>
      </c>
      <c r="B326" s="1">
        <f>IFERROR(__xludf.DUMMYFUNCTION("""COMPUTED_VALUE"""),101.75)</f>
        <v>101.75</v>
      </c>
      <c r="C326" s="1">
        <f>IFERROR(__xludf.DUMMYFUNCTION("""COMPUTED_VALUE"""),103.33)</f>
        <v>103.33</v>
      </c>
      <c r="D326" s="1">
        <f>IFERROR(__xludf.DUMMYFUNCTION("""COMPUTED_VALUE"""),101.55)</f>
        <v>101.55</v>
      </c>
      <c r="E326" s="1">
        <f>IFERROR(__xludf.DUMMYFUNCTION("""COMPUTED_VALUE"""),103.07)</f>
        <v>103.07</v>
      </c>
      <c r="F326" s="1">
        <f>IFERROR(__xludf.DUMMYFUNCTION("""COMPUTED_VALUE"""),2.3036811E7)</f>
        <v>23036811</v>
      </c>
    </row>
    <row r="327">
      <c r="A327" s="2">
        <f>IFERROR(__xludf.DUMMYFUNCTION("""COMPUTED_VALUE"""),44824.66666666667)</f>
        <v>44824.66667</v>
      </c>
      <c r="B327" s="1">
        <f>IFERROR(__xludf.DUMMYFUNCTION("""COMPUTED_VALUE"""),102.08)</f>
        <v>102.08</v>
      </c>
      <c r="C327" s="1">
        <f>IFERROR(__xludf.DUMMYFUNCTION("""COMPUTED_VALUE"""),102.37)</f>
        <v>102.37</v>
      </c>
      <c r="D327" s="1">
        <f>IFERROR(__xludf.DUMMYFUNCTION("""COMPUTED_VALUE"""),100.52)</f>
        <v>100.52</v>
      </c>
      <c r="E327" s="1">
        <f>IFERROR(__xludf.DUMMYFUNCTION("""COMPUTED_VALUE"""),101.14)</f>
        <v>101.14</v>
      </c>
      <c r="F327" s="1">
        <f>IFERROR(__xludf.DUMMYFUNCTION("""COMPUTED_VALUE"""),2.6517123E7)</f>
        <v>26517123</v>
      </c>
    </row>
    <row r="328">
      <c r="A328" s="2">
        <f>IFERROR(__xludf.DUMMYFUNCTION("""COMPUTED_VALUE"""),44825.66666666667)</f>
        <v>44825.66667</v>
      </c>
      <c r="B328" s="1">
        <f>IFERROR(__xludf.DUMMYFUNCTION("""COMPUTED_VALUE"""),101.67)</f>
        <v>101.67</v>
      </c>
      <c r="C328" s="1">
        <f>IFERROR(__xludf.DUMMYFUNCTION("""COMPUTED_VALUE"""),102.88)</f>
        <v>102.88</v>
      </c>
      <c r="D328" s="1">
        <f>IFERROR(__xludf.DUMMYFUNCTION("""COMPUTED_VALUE"""),99.27)</f>
        <v>99.27</v>
      </c>
      <c r="E328" s="1">
        <f>IFERROR(__xludf.DUMMYFUNCTION("""COMPUTED_VALUE"""),99.28)</f>
        <v>99.28</v>
      </c>
      <c r="F328" s="1">
        <f>IFERROR(__xludf.DUMMYFUNCTION("""COMPUTED_VALUE"""),3.1487265E7)</f>
        <v>31487265</v>
      </c>
    </row>
    <row r="329">
      <c r="A329" s="2">
        <f>IFERROR(__xludf.DUMMYFUNCTION("""COMPUTED_VALUE"""),44826.66666666667)</f>
        <v>44826.66667</v>
      </c>
      <c r="B329" s="1">
        <f>IFERROR(__xludf.DUMMYFUNCTION("""COMPUTED_VALUE"""),98.82)</f>
        <v>98.82</v>
      </c>
      <c r="C329" s="1">
        <f>IFERROR(__xludf.DUMMYFUNCTION("""COMPUTED_VALUE"""),101.24)</f>
        <v>101.24</v>
      </c>
      <c r="D329" s="1">
        <f>IFERROR(__xludf.DUMMYFUNCTION("""COMPUTED_VALUE"""),98.79)</f>
        <v>98.79</v>
      </c>
      <c r="E329" s="1">
        <f>IFERROR(__xludf.DUMMYFUNCTION("""COMPUTED_VALUE"""),100.14)</f>
        <v>100.14</v>
      </c>
      <c r="F329" s="1">
        <f>IFERROR(__xludf.DUMMYFUNCTION("""COMPUTED_VALUE"""),3.4298619E7)</f>
        <v>34298619</v>
      </c>
    </row>
    <row r="330">
      <c r="A330" s="2">
        <f>IFERROR(__xludf.DUMMYFUNCTION("""COMPUTED_VALUE"""),44827.66666666667)</f>
        <v>44827.66667</v>
      </c>
      <c r="B330" s="1">
        <f>IFERROR(__xludf.DUMMYFUNCTION("""COMPUTED_VALUE"""),99.63)</f>
        <v>99.63</v>
      </c>
      <c r="C330" s="1">
        <f>IFERROR(__xludf.DUMMYFUNCTION("""COMPUTED_VALUE"""),99.66)</f>
        <v>99.66</v>
      </c>
      <c r="D330" s="1">
        <f>IFERROR(__xludf.DUMMYFUNCTION("""COMPUTED_VALUE"""),97.47)</f>
        <v>97.47</v>
      </c>
      <c r="E330" s="1">
        <f>IFERROR(__xludf.DUMMYFUNCTION("""COMPUTED_VALUE"""),98.74)</f>
        <v>98.74</v>
      </c>
      <c r="F330" s="1">
        <f>IFERROR(__xludf.DUMMYFUNCTION("""COMPUTED_VALUE"""),3.1625437E7)</f>
        <v>31625437</v>
      </c>
    </row>
    <row r="331">
      <c r="A331" s="2">
        <f>IFERROR(__xludf.DUMMYFUNCTION("""COMPUTED_VALUE"""),44830.66666666667)</f>
        <v>44830.66667</v>
      </c>
      <c r="B331" s="1">
        <f>IFERROR(__xludf.DUMMYFUNCTION("""COMPUTED_VALUE"""),98.1)</f>
        <v>98.1</v>
      </c>
      <c r="C331" s="1">
        <f>IFERROR(__xludf.DUMMYFUNCTION("""COMPUTED_VALUE"""),99.88)</f>
        <v>99.88</v>
      </c>
      <c r="D331" s="1">
        <f>IFERROR(__xludf.DUMMYFUNCTION("""COMPUTED_VALUE"""),97.8)</f>
        <v>97.8</v>
      </c>
      <c r="E331" s="1">
        <f>IFERROR(__xludf.DUMMYFUNCTION("""COMPUTED_VALUE"""),98.17)</f>
        <v>98.17</v>
      </c>
      <c r="F331" s="1">
        <f>IFERROR(__xludf.DUMMYFUNCTION("""COMPUTED_VALUE"""),2.7072662E7)</f>
        <v>27072662</v>
      </c>
    </row>
    <row r="332">
      <c r="A332" s="2">
        <f>IFERROR(__xludf.DUMMYFUNCTION("""COMPUTED_VALUE"""),44831.66666666667)</f>
        <v>44831.66667</v>
      </c>
      <c r="B332" s="1">
        <f>IFERROR(__xludf.DUMMYFUNCTION("""COMPUTED_VALUE"""),99.43)</f>
        <v>99.43</v>
      </c>
      <c r="C332" s="1">
        <f>IFERROR(__xludf.DUMMYFUNCTION("""COMPUTED_VALUE"""),100.0)</f>
        <v>100</v>
      </c>
      <c r="D332" s="1">
        <f>IFERROR(__xludf.DUMMYFUNCTION("""COMPUTED_VALUE"""),96.87)</f>
        <v>96.87</v>
      </c>
      <c r="E332" s="1">
        <f>IFERROR(__xludf.DUMMYFUNCTION("""COMPUTED_VALUE"""),97.5)</f>
        <v>97.5</v>
      </c>
      <c r="F332" s="1">
        <f>IFERROR(__xludf.DUMMYFUNCTION("""COMPUTED_VALUE"""),3.0072781E7)</f>
        <v>30072781</v>
      </c>
    </row>
    <row r="333">
      <c r="A333" s="2">
        <f>IFERROR(__xludf.DUMMYFUNCTION("""COMPUTED_VALUE"""),44832.66666666667)</f>
        <v>44832.66667</v>
      </c>
      <c r="B333" s="1">
        <f>IFERROR(__xludf.DUMMYFUNCTION("""COMPUTED_VALUE"""),97.65)</f>
        <v>97.65</v>
      </c>
      <c r="C333" s="1">
        <f>IFERROR(__xludf.DUMMYFUNCTION("""COMPUTED_VALUE"""),100.7)</f>
        <v>100.7</v>
      </c>
      <c r="D333" s="1">
        <f>IFERROR(__xludf.DUMMYFUNCTION("""COMPUTED_VALUE"""),97.11)</f>
        <v>97.11</v>
      </c>
      <c r="E333" s="1">
        <f>IFERROR(__xludf.DUMMYFUNCTION("""COMPUTED_VALUE"""),100.05)</f>
        <v>100.05</v>
      </c>
      <c r="F333" s="1">
        <f>IFERROR(__xludf.DUMMYFUNCTION("""COMPUTED_VALUE"""),3.2466323E7)</f>
        <v>32466323</v>
      </c>
    </row>
    <row r="334">
      <c r="A334" s="2">
        <f>IFERROR(__xludf.DUMMYFUNCTION("""COMPUTED_VALUE"""),44833.66666666667)</f>
        <v>44833.66667</v>
      </c>
      <c r="B334" s="1">
        <f>IFERROR(__xludf.DUMMYFUNCTION("""COMPUTED_VALUE"""),98.64)</f>
        <v>98.64</v>
      </c>
      <c r="C334" s="1">
        <f>IFERROR(__xludf.DUMMYFUNCTION("""COMPUTED_VALUE"""),98.64)</f>
        <v>98.64</v>
      </c>
      <c r="D334" s="1">
        <f>IFERROR(__xludf.DUMMYFUNCTION("""COMPUTED_VALUE"""),95.96)</f>
        <v>95.96</v>
      </c>
      <c r="E334" s="1">
        <f>IFERROR(__xludf.DUMMYFUNCTION("""COMPUTED_VALUE"""),97.42)</f>
        <v>97.42</v>
      </c>
      <c r="F334" s="1">
        <f>IFERROR(__xludf.DUMMYFUNCTION("""COMPUTED_VALUE"""),3.1047224E7)</f>
        <v>31047224</v>
      </c>
    </row>
    <row r="335">
      <c r="A335" s="2">
        <f>IFERROR(__xludf.DUMMYFUNCTION("""COMPUTED_VALUE"""),44834.66666666667)</f>
        <v>44834.66667</v>
      </c>
      <c r="B335" s="1">
        <f>IFERROR(__xludf.DUMMYFUNCTION("""COMPUTED_VALUE"""),97.05)</f>
        <v>97.05</v>
      </c>
      <c r="C335" s="1">
        <f>IFERROR(__xludf.DUMMYFUNCTION("""COMPUTED_VALUE"""),98.9)</f>
        <v>98.9</v>
      </c>
      <c r="D335" s="1">
        <f>IFERROR(__xludf.DUMMYFUNCTION("""COMPUTED_VALUE"""),95.56)</f>
        <v>95.56</v>
      </c>
      <c r="E335" s="1">
        <f>IFERROR(__xludf.DUMMYFUNCTION("""COMPUTED_VALUE"""),95.65)</f>
        <v>95.65</v>
      </c>
      <c r="F335" s="1">
        <f>IFERROR(__xludf.DUMMYFUNCTION("""COMPUTED_VALUE"""),3.2941493E7)</f>
        <v>32941493</v>
      </c>
    </row>
    <row r="336">
      <c r="A336" s="2">
        <f>IFERROR(__xludf.DUMMYFUNCTION("""COMPUTED_VALUE"""),44837.66666666667)</f>
        <v>44837.66667</v>
      </c>
      <c r="B336" s="1">
        <f>IFERROR(__xludf.DUMMYFUNCTION("""COMPUTED_VALUE"""),96.76)</f>
        <v>96.76</v>
      </c>
      <c r="C336" s="1">
        <f>IFERROR(__xludf.DUMMYFUNCTION("""COMPUTED_VALUE"""),99.29)</f>
        <v>99.29</v>
      </c>
      <c r="D336" s="1">
        <f>IFERROR(__xludf.DUMMYFUNCTION("""COMPUTED_VALUE"""),96.52)</f>
        <v>96.52</v>
      </c>
      <c r="E336" s="1">
        <f>IFERROR(__xludf.DUMMYFUNCTION("""COMPUTED_VALUE"""),98.64)</f>
        <v>98.64</v>
      </c>
      <c r="F336" s="1">
        <f>IFERROR(__xludf.DUMMYFUNCTION("""COMPUTED_VALUE"""),2.7982031E7)</f>
        <v>27982031</v>
      </c>
    </row>
    <row r="337">
      <c r="A337" s="2">
        <f>IFERROR(__xludf.DUMMYFUNCTION("""COMPUTED_VALUE"""),44838.66666666667)</f>
        <v>44838.66667</v>
      </c>
      <c r="B337" s="1">
        <f>IFERROR(__xludf.DUMMYFUNCTION("""COMPUTED_VALUE"""),100.44)</f>
        <v>100.44</v>
      </c>
      <c r="C337" s="1">
        <f>IFERROR(__xludf.DUMMYFUNCTION("""COMPUTED_VALUE"""),101.84)</f>
        <v>101.84</v>
      </c>
      <c r="D337" s="1">
        <f>IFERROR(__xludf.DUMMYFUNCTION("""COMPUTED_VALUE"""),100.38)</f>
        <v>100.38</v>
      </c>
      <c r="E337" s="1">
        <f>IFERROR(__xludf.DUMMYFUNCTION("""COMPUTED_VALUE"""),101.64)</f>
        <v>101.64</v>
      </c>
      <c r="F337" s="1">
        <f>IFERROR(__xludf.DUMMYFUNCTION("""COMPUTED_VALUE"""),2.8850773E7)</f>
        <v>28850773</v>
      </c>
    </row>
    <row r="338">
      <c r="A338" s="2">
        <f>IFERROR(__xludf.DUMMYFUNCTION("""COMPUTED_VALUE"""),44839.66666666667)</f>
        <v>44839.66667</v>
      </c>
      <c r="B338" s="1">
        <f>IFERROR(__xludf.DUMMYFUNCTION("""COMPUTED_VALUE"""),99.83)</f>
        <v>99.83</v>
      </c>
      <c r="C338" s="1">
        <f>IFERROR(__xludf.DUMMYFUNCTION("""COMPUTED_VALUE"""),101.93)</f>
        <v>101.93</v>
      </c>
      <c r="D338" s="1">
        <f>IFERROR(__xludf.DUMMYFUNCTION("""COMPUTED_VALUE"""),98.8)</f>
        <v>98.8</v>
      </c>
      <c r="E338" s="1">
        <f>IFERROR(__xludf.DUMMYFUNCTION("""COMPUTED_VALUE"""),101.43)</f>
        <v>101.43</v>
      </c>
      <c r="F338" s="1">
        <f>IFERROR(__xludf.DUMMYFUNCTION("""COMPUTED_VALUE"""),2.2176903E7)</f>
        <v>22176903</v>
      </c>
    </row>
    <row r="339">
      <c r="A339" s="2">
        <f>IFERROR(__xludf.DUMMYFUNCTION("""COMPUTED_VALUE"""),44840.66666666667)</f>
        <v>44840.66667</v>
      </c>
      <c r="B339" s="1">
        <f>IFERROR(__xludf.DUMMYFUNCTION("""COMPUTED_VALUE"""),100.68)</f>
        <v>100.68</v>
      </c>
      <c r="C339" s="1">
        <f>IFERROR(__xludf.DUMMYFUNCTION("""COMPUTED_VALUE"""),102.93)</f>
        <v>102.93</v>
      </c>
      <c r="D339" s="1">
        <f>IFERROR(__xludf.DUMMYFUNCTION("""COMPUTED_VALUE"""),100.59)</f>
        <v>100.59</v>
      </c>
      <c r="E339" s="1">
        <f>IFERROR(__xludf.DUMMYFUNCTION("""COMPUTED_VALUE"""),101.42)</f>
        <v>101.42</v>
      </c>
      <c r="F339" s="1">
        <f>IFERROR(__xludf.DUMMYFUNCTION("""COMPUTED_VALUE"""),2.2323989E7)</f>
        <v>22323989</v>
      </c>
    </row>
    <row r="340">
      <c r="A340" s="2">
        <f>IFERROR(__xludf.DUMMYFUNCTION("""COMPUTED_VALUE"""),44841.66666666667)</f>
        <v>44841.66667</v>
      </c>
      <c r="B340" s="1">
        <f>IFERROR(__xludf.DUMMYFUNCTION("""COMPUTED_VALUE"""),99.85)</f>
        <v>99.85</v>
      </c>
      <c r="C340" s="1">
        <f>IFERROR(__xludf.DUMMYFUNCTION("""COMPUTED_VALUE"""),100.53)</f>
        <v>100.53</v>
      </c>
      <c r="D340" s="1">
        <f>IFERROR(__xludf.DUMMYFUNCTION("""COMPUTED_VALUE"""),98.3)</f>
        <v>98.3</v>
      </c>
      <c r="E340" s="1">
        <f>IFERROR(__xludf.DUMMYFUNCTION("""COMPUTED_VALUE"""),98.68)</f>
        <v>98.68</v>
      </c>
      <c r="F340" s="1">
        <f>IFERROR(__xludf.DUMMYFUNCTION("""COMPUTED_VALUE"""),2.7502765E7)</f>
        <v>27502765</v>
      </c>
    </row>
    <row r="341">
      <c r="A341" s="2">
        <f>IFERROR(__xludf.DUMMYFUNCTION("""COMPUTED_VALUE"""),44844.66666666667)</f>
        <v>44844.66667</v>
      </c>
      <c r="B341" s="1">
        <f>IFERROR(__xludf.DUMMYFUNCTION("""COMPUTED_VALUE"""),99.0)</f>
        <v>99</v>
      </c>
      <c r="C341" s="1">
        <f>IFERROR(__xludf.DUMMYFUNCTION("""COMPUTED_VALUE"""),99.1)</f>
        <v>99.1</v>
      </c>
      <c r="D341" s="1">
        <f>IFERROR(__xludf.DUMMYFUNCTION("""COMPUTED_VALUE"""),97.01)</f>
        <v>97.01</v>
      </c>
      <c r="E341" s="1">
        <f>IFERROR(__xludf.DUMMYFUNCTION("""COMPUTED_VALUE"""),97.86)</f>
        <v>97.86</v>
      </c>
      <c r="F341" s="1">
        <f>IFERROR(__xludf.DUMMYFUNCTION("""COMPUTED_VALUE"""),1.8225094E7)</f>
        <v>18225094</v>
      </c>
    </row>
    <row r="342">
      <c r="A342" s="2">
        <f>IFERROR(__xludf.DUMMYFUNCTION("""COMPUTED_VALUE"""),44845.66666666667)</f>
        <v>44845.66667</v>
      </c>
      <c r="B342" s="1">
        <f>IFERROR(__xludf.DUMMYFUNCTION("""COMPUTED_VALUE"""),97.43)</f>
        <v>97.43</v>
      </c>
      <c r="C342" s="1">
        <f>IFERROR(__xludf.DUMMYFUNCTION("""COMPUTED_VALUE"""),99.25)</f>
        <v>99.25</v>
      </c>
      <c r="D342" s="1">
        <f>IFERROR(__xludf.DUMMYFUNCTION("""COMPUTED_VALUE"""),96.31)</f>
        <v>96.31</v>
      </c>
      <c r="E342" s="1">
        <f>IFERROR(__xludf.DUMMYFUNCTION("""COMPUTED_VALUE"""),97.18)</f>
        <v>97.18</v>
      </c>
      <c r="F342" s="1">
        <f>IFERROR(__xludf.DUMMYFUNCTION("""COMPUTED_VALUE"""),2.6507103E7)</f>
        <v>26507103</v>
      </c>
    </row>
    <row r="343">
      <c r="A343" s="2">
        <f>IFERROR(__xludf.DUMMYFUNCTION("""COMPUTED_VALUE"""),44846.66666666667)</f>
        <v>44846.66667</v>
      </c>
      <c r="B343" s="1">
        <f>IFERROR(__xludf.DUMMYFUNCTION("""COMPUTED_VALUE"""),97.3)</f>
        <v>97.3</v>
      </c>
      <c r="C343" s="1">
        <f>IFERROR(__xludf.DUMMYFUNCTION("""COMPUTED_VALUE"""),98.75)</f>
        <v>98.75</v>
      </c>
      <c r="D343" s="1">
        <f>IFERROR(__xludf.DUMMYFUNCTION("""COMPUTED_VALUE"""),96.74)</f>
        <v>96.74</v>
      </c>
      <c r="E343" s="1">
        <f>IFERROR(__xludf.DUMMYFUNCTION("""COMPUTED_VALUE"""),97.56)</f>
        <v>97.56</v>
      </c>
      <c r="F343" s="1">
        <f>IFERROR(__xludf.DUMMYFUNCTION("""COMPUTED_VALUE"""),2.1876362E7)</f>
        <v>21876362</v>
      </c>
    </row>
    <row r="344">
      <c r="A344" s="2">
        <f>IFERROR(__xludf.DUMMYFUNCTION("""COMPUTED_VALUE"""),44847.66666666667)</f>
        <v>44847.66667</v>
      </c>
      <c r="B344" s="1">
        <f>IFERROR(__xludf.DUMMYFUNCTION("""COMPUTED_VALUE"""),95.15)</f>
        <v>95.15</v>
      </c>
      <c r="C344" s="1">
        <f>IFERROR(__xludf.DUMMYFUNCTION("""COMPUTED_VALUE"""),99.78)</f>
        <v>99.78</v>
      </c>
      <c r="D344" s="1">
        <f>IFERROR(__xludf.DUMMYFUNCTION("""COMPUTED_VALUE"""),94.38)</f>
        <v>94.38</v>
      </c>
      <c r="E344" s="1">
        <f>IFERROR(__xludf.DUMMYFUNCTION("""COMPUTED_VALUE"""),99.06)</f>
        <v>99.06</v>
      </c>
      <c r="F344" s="1">
        <f>IFERROR(__xludf.DUMMYFUNCTION("""COMPUTED_VALUE"""),3.4574549E7)</f>
        <v>34574549</v>
      </c>
    </row>
    <row r="345">
      <c r="A345" s="2">
        <f>IFERROR(__xludf.DUMMYFUNCTION("""COMPUTED_VALUE"""),44848.66666666667)</f>
        <v>44848.66667</v>
      </c>
      <c r="B345" s="1">
        <f>IFERROR(__xludf.DUMMYFUNCTION("""COMPUTED_VALUE"""),99.99)</f>
        <v>99.99</v>
      </c>
      <c r="C345" s="1">
        <f>IFERROR(__xludf.DUMMYFUNCTION("""COMPUTED_VALUE"""),100.69)</f>
        <v>100.69</v>
      </c>
      <c r="D345" s="1">
        <f>IFERROR(__xludf.DUMMYFUNCTION("""COMPUTED_VALUE"""),96.37)</f>
        <v>96.37</v>
      </c>
      <c r="E345" s="1">
        <f>IFERROR(__xludf.DUMMYFUNCTION("""COMPUTED_VALUE"""),96.56)</f>
        <v>96.56</v>
      </c>
      <c r="F345" s="1">
        <f>IFERROR(__xludf.DUMMYFUNCTION("""COMPUTED_VALUE"""),2.5410674E7)</f>
        <v>25410674</v>
      </c>
    </row>
    <row r="346">
      <c r="A346" s="2">
        <f>IFERROR(__xludf.DUMMYFUNCTION("""COMPUTED_VALUE"""),44851.66666666667)</f>
        <v>44851.66667</v>
      </c>
      <c r="B346" s="1">
        <f>IFERROR(__xludf.DUMMYFUNCTION("""COMPUTED_VALUE"""),98.86)</f>
        <v>98.86</v>
      </c>
      <c r="C346" s="1">
        <f>IFERROR(__xludf.DUMMYFUNCTION("""COMPUTED_VALUE"""),100.93)</f>
        <v>100.93</v>
      </c>
      <c r="D346" s="1">
        <f>IFERROR(__xludf.DUMMYFUNCTION("""COMPUTED_VALUE"""),98.83)</f>
        <v>98.83</v>
      </c>
      <c r="E346" s="1">
        <f>IFERROR(__xludf.DUMMYFUNCTION("""COMPUTED_VALUE"""),99.97)</f>
        <v>99.97</v>
      </c>
      <c r="F346" s="1">
        <f>IFERROR(__xludf.DUMMYFUNCTION("""COMPUTED_VALUE"""),2.8419192E7)</f>
        <v>28419192</v>
      </c>
    </row>
    <row r="347">
      <c r="A347" s="2">
        <f>IFERROR(__xludf.DUMMYFUNCTION("""COMPUTED_VALUE"""),44852.66666666667)</f>
        <v>44852.66667</v>
      </c>
      <c r="B347" s="1">
        <f>IFERROR(__xludf.DUMMYFUNCTION("""COMPUTED_VALUE"""),103.13)</f>
        <v>103.13</v>
      </c>
      <c r="C347" s="1">
        <f>IFERROR(__xludf.DUMMYFUNCTION("""COMPUTED_VALUE"""),103.47)</f>
        <v>103.47</v>
      </c>
      <c r="D347" s="1">
        <f>IFERROR(__xludf.DUMMYFUNCTION("""COMPUTED_VALUE"""),99.97)</f>
        <v>99.97</v>
      </c>
      <c r="E347" s="1">
        <f>IFERROR(__xludf.DUMMYFUNCTION("""COMPUTED_VALUE"""),100.77)</f>
        <v>100.77</v>
      </c>
      <c r="F347" s="1">
        <f>IFERROR(__xludf.DUMMYFUNCTION("""COMPUTED_VALUE"""),2.4060671E7)</f>
        <v>24060671</v>
      </c>
    </row>
    <row r="348">
      <c r="A348" s="2">
        <f>IFERROR(__xludf.DUMMYFUNCTION("""COMPUTED_VALUE"""),44853.66666666667)</f>
        <v>44853.66667</v>
      </c>
      <c r="B348" s="1">
        <f>IFERROR(__xludf.DUMMYFUNCTION("""COMPUTED_VALUE"""),100.01)</f>
        <v>100.01</v>
      </c>
      <c r="C348" s="1">
        <f>IFERROR(__xludf.DUMMYFUNCTION("""COMPUTED_VALUE"""),101.02)</f>
        <v>101.02</v>
      </c>
      <c r="D348" s="1">
        <f>IFERROR(__xludf.DUMMYFUNCTION("""COMPUTED_VALUE"""),98.92)</f>
        <v>98.92</v>
      </c>
      <c r="E348" s="1">
        <f>IFERROR(__xludf.DUMMYFUNCTION("""COMPUTED_VALUE"""),99.63)</f>
        <v>99.63</v>
      </c>
      <c r="F348" s="1">
        <f>IFERROR(__xludf.DUMMYFUNCTION("""COMPUTED_VALUE"""),2.3811064E7)</f>
        <v>23811064</v>
      </c>
    </row>
    <row r="349">
      <c r="A349" s="2">
        <f>IFERROR(__xludf.DUMMYFUNCTION("""COMPUTED_VALUE"""),44854.66666666667)</f>
        <v>44854.66667</v>
      </c>
      <c r="B349" s="1">
        <f>IFERROR(__xludf.DUMMYFUNCTION("""COMPUTED_VALUE"""),100.0)</f>
        <v>100</v>
      </c>
      <c r="C349" s="1">
        <f>IFERROR(__xludf.DUMMYFUNCTION("""COMPUTED_VALUE"""),102.32)</f>
        <v>102.32</v>
      </c>
      <c r="D349" s="1">
        <f>IFERROR(__xludf.DUMMYFUNCTION("""COMPUTED_VALUE"""),99.39)</f>
        <v>99.39</v>
      </c>
      <c r="E349" s="1">
        <f>IFERROR(__xludf.DUMMYFUNCTION("""COMPUTED_VALUE"""),99.97)</f>
        <v>99.97</v>
      </c>
      <c r="F349" s="1">
        <f>IFERROR(__xludf.DUMMYFUNCTION("""COMPUTED_VALUE"""),2.5323202E7)</f>
        <v>25323202</v>
      </c>
    </row>
    <row r="350">
      <c r="A350" s="2">
        <f>IFERROR(__xludf.DUMMYFUNCTION("""COMPUTED_VALUE"""),44855.66666666667)</f>
        <v>44855.66667</v>
      </c>
      <c r="B350" s="1">
        <f>IFERROR(__xludf.DUMMYFUNCTION("""COMPUTED_VALUE"""),97.85)</f>
        <v>97.85</v>
      </c>
      <c r="C350" s="1">
        <f>IFERROR(__xludf.DUMMYFUNCTION("""COMPUTED_VALUE"""),101.31)</f>
        <v>101.31</v>
      </c>
      <c r="D350" s="1">
        <f>IFERROR(__xludf.DUMMYFUNCTION("""COMPUTED_VALUE"""),97.72)</f>
        <v>97.72</v>
      </c>
      <c r="E350" s="1">
        <f>IFERROR(__xludf.DUMMYFUNCTION("""COMPUTED_VALUE"""),101.13)</f>
        <v>101.13</v>
      </c>
      <c r="F350" s="1">
        <f>IFERROR(__xludf.DUMMYFUNCTION("""COMPUTED_VALUE"""),3.2458722E7)</f>
        <v>32458722</v>
      </c>
    </row>
    <row r="351">
      <c r="A351" s="2">
        <f>IFERROR(__xludf.DUMMYFUNCTION("""COMPUTED_VALUE"""),44858.66666666667)</f>
        <v>44858.66667</v>
      </c>
      <c r="B351" s="1">
        <f>IFERROR(__xludf.DUMMYFUNCTION("""COMPUTED_VALUE"""),101.8)</f>
        <v>101.8</v>
      </c>
      <c r="C351" s="1">
        <f>IFERROR(__xludf.DUMMYFUNCTION("""COMPUTED_VALUE"""),102.75)</f>
        <v>102.75</v>
      </c>
      <c r="D351" s="1">
        <f>IFERROR(__xludf.DUMMYFUNCTION("""COMPUTED_VALUE"""),99.98)</f>
        <v>99.98</v>
      </c>
      <c r="E351" s="1">
        <f>IFERROR(__xludf.DUMMYFUNCTION("""COMPUTED_VALUE"""),102.52)</f>
        <v>102.52</v>
      </c>
      <c r="F351" s="1">
        <f>IFERROR(__xludf.DUMMYFUNCTION("""COMPUTED_VALUE"""),2.7176417E7)</f>
        <v>27176417</v>
      </c>
    </row>
    <row r="352">
      <c r="A352" s="2">
        <f>IFERROR(__xludf.DUMMYFUNCTION("""COMPUTED_VALUE"""),44859.66666666667)</f>
        <v>44859.66667</v>
      </c>
      <c r="B352" s="1">
        <f>IFERROR(__xludf.DUMMYFUNCTION("""COMPUTED_VALUE"""),102.9)</f>
        <v>102.9</v>
      </c>
      <c r="C352" s="1">
        <f>IFERROR(__xludf.DUMMYFUNCTION("""COMPUTED_VALUE"""),104.82)</f>
        <v>104.82</v>
      </c>
      <c r="D352" s="1">
        <f>IFERROR(__xludf.DUMMYFUNCTION("""COMPUTED_VALUE"""),102.72)</f>
        <v>102.72</v>
      </c>
      <c r="E352" s="1">
        <f>IFERROR(__xludf.DUMMYFUNCTION("""COMPUTED_VALUE"""),104.48)</f>
        <v>104.48</v>
      </c>
      <c r="F352" s="1">
        <f>IFERROR(__xludf.DUMMYFUNCTION("""COMPUTED_VALUE"""),4.0611375E7)</f>
        <v>40611375</v>
      </c>
    </row>
    <row r="353">
      <c r="A353" s="2">
        <f>IFERROR(__xludf.DUMMYFUNCTION("""COMPUTED_VALUE"""),44860.66666666667)</f>
        <v>44860.66667</v>
      </c>
      <c r="B353" s="1">
        <f>IFERROR(__xludf.DUMMYFUNCTION("""COMPUTED_VALUE"""),96.43)</f>
        <v>96.43</v>
      </c>
      <c r="C353" s="1">
        <f>IFERROR(__xludf.DUMMYFUNCTION("""COMPUTED_VALUE"""),98.31)</f>
        <v>98.31</v>
      </c>
      <c r="D353" s="1">
        <f>IFERROR(__xludf.DUMMYFUNCTION("""COMPUTED_VALUE"""),94.69)</f>
        <v>94.69</v>
      </c>
      <c r="E353" s="1">
        <f>IFERROR(__xludf.DUMMYFUNCTION("""COMPUTED_VALUE"""),94.93)</f>
        <v>94.93</v>
      </c>
      <c r="F353" s="1">
        <f>IFERROR(__xludf.DUMMYFUNCTION("""COMPUTED_VALUE"""),8.8279042E7)</f>
        <v>88279042</v>
      </c>
    </row>
    <row r="354">
      <c r="A354" s="2">
        <f>IFERROR(__xludf.DUMMYFUNCTION("""COMPUTED_VALUE"""),44861.66666666667)</f>
        <v>44861.66667</v>
      </c>
      <c r="B354" s="1">
        <f>IFERROR(__xludf.DUMMYFUNCTION("""COMPUTED_VALUE"""),94.52)</f>
        <v>94.52</v>
      </c>
      <c r="C354" s="1">
        <f>IFERROR(__xludf.DUMMYFUNCTION("""COMPUTED_VALUE"""),95.43)</f>
        <v>95.43</v>
      </c>
      <c r="D354" s="1">
        <f>IFERROR(__xludf.DUMMYFUNCTION("""COMPUTED_VALUE"""),91.8)</f>
        <v>91.8</v>
      </c>
      <c r="E354" s="1">
        <f>IFERROR(__xludf.DUMMYFUNCTION("""COMPUTED_VALUE"""),92.22)</f>
        <v>92.22</v>
      </c>
      <c r="F354" s="1">
        <f>IFERROR(__xludf.DUMMYFUNCTION("""COMPUTED_VALUE"""),6.0710859E7)</f>
        <v>60710859</v>
      </c>
    </row>
    <row r="355">
      <c r="A355" s="2">
        <f>IFERROR(__xludf.DUMMYFUNCTION("""COMPUTED_VALUE"""),44862.66666666667)</f>
        <v>44862.66667</v>
      </c>
      <c r="B355" s="1">
        <f>IFERROR(__xludf.DUMMYFUNCTION("""COMPUTED_VALUE"""),92.27)</f>
        <v>92.27</v>
      </c>
      <c r="C355" s="1">
        <f>IFERROR(__xludf.DUMMYFUNCTION("""COMPUTED_VALUE"""),96.55)</f>
        <v>96.55</v>
      </c>
      <c r="D355" s="1">
        <f>IFERROR(__xludf.DUMMYFUNCTION("""COMPUTED_VALUE"""),92.13)</f>
        <v>92.13</v>
      </c>
      <c r="E355" s="1">
        <f>IFERROR(__xludf.DUMMYFUNCTION("""COMPUTED_VALUE"""),96.29)</f>
        <v>96.29</v>
      </c>
      <c r="F355" s="1">
        <f>IFERROR(__xludf.DUMMYFUNCTION("""COMPUTED_VALUE"""),4.3697286E7)</f>
        <v>43697286</v>
      </c>
    </row>
    <row r="356">
      <c r="A356" s="2">
        <f>IFERROR(__xludf.DUMMYFUNCTION("""COMPUTED_VALUE"""),44865.66666666667)</f>
        <v>44865.66667</v>
      </c>
      <c r="B356" s="1">
        <f>IFERROR(__xludf.DUMMYFUNCTION("""COMPUTED_VALUE"""),95.42)</f>
        <v>95.42</v>
      </c>
      <c r="C356" s="1">
        <f>IFERROR(__xludf.DUMMYFUNCTION("""COMPUTED_VALUE"""),96.03)</f>
        <v>96.03</v>
      </c>
      <c r="D356" s="1">
        <f>IFERROR(__xludf.DUMMYFUNCTION("""COMPUTED_VALUE"""),93.98)</f>
        <v>93.98</v>
      </c>
      <c r="E356" s="1">
        <f>IFERROR(__xludf.DUMMYFUNCTION("""COMPUTED_VALUE"""),94.51)</f>
        <v>94.51</v>
      </c>
      <c r="F356" s="1">
        <f>IFERROR(__xludf.DUMMYFUNCTION("""COMPUTED_VALUE"""),3.1675036E7)</f>
        <v>31675036</v>
      </c>
    </row>
    <row r="357">
      <c r="A357" s="2">
        <f>IFERROR(__xludf.DUMMYFUNCTION("""COMPUTED_VALUE"""),44866.66666666667)</f>
        <v>44866.66667</v>
      </c>
      <c r="B357" s="1">
        <f>IFERROR(__xludf.DUMMYFUNCTION("""COMPUTED_VALUE"""),95.45)</f>
        <v>95.45</v>
      </c>
      <c r="C357" s="1">
        <f>IFERROR(__xludf.DUMMYFUNCTION("""COMPUTED_VALUE"""),96.03)</f>
        <v>96.03</v>
      </c>
      <c r="D357" s="1">
        <f>IFERROR(__xludf.DUMMYFUNCTION("""COMPUTED_VALUE"""),90.37)</f>
        <v>90.37</v>
      </c>
      <c r="E357" s="1">
        <f>IFERROR(__xludf.DUMMYFUNCTION("""COMPUTED_VALUE"""),90.47)</f>
        <v>90.47</v>
      </c>
      <c r="F357" s="1">
        <f>IFERROR(__xludf.DUMMYFUNCTION("""COMPUTED_VALUE"""),4.7161351E7)</f>
        <v>47161351</v>
      </c>
    </row>
    <row r="358">
      <c r="A358" s="2">
        <f>IFERROR(__xludf.DUMMYFUNCTION("""COMPUTED_VALUE"""),44867.66666666667)</f>
        <v>44867.66667</v>
      </c>
      <c r="B358" s="1">
        <f>IFERROR(__xludf.DUMMYFUNCTION("""COMPUTED_VALUE"""),90.94)</f>
        <v>90.94</v>
      </c>
      <c r="C358" s="1">
        <f>IFERROR(__xludf.DUMMYFUNCTION("""COMPUTED_VALUE"""),91.18)</f>
        <v>91.18</v>
      </c>
      <c r="D358" s="1">
        <f>IFERROR(__xludf.DUMMYFUNCTION("""COMPUTED_VALUE"""),86.88)</f>
        <v>86.88</v>
      </c>
      <c r="E358" s="1">
        <f>IFERROR(__xludf.DUMMYFUNCTION("""COMPUTED_VALUE"""),86.97)</f>
        <v>86.97</v>
      </c>
      <c r="F358" s="1">
        <f>IFERROR(__xludf.DUMMYFUNCTION("""COMPUTED_VALUE"""),5.7038282E7)</f>
        <v>57038282</v>
      </c>
    </row>
    <row r="359">
      <c r="A359" s="2">
        <f>IFERROR(__xludf.DUMMYFUNCTION("""COMPUTED_VALUE"""),44868.66666666667)</f>
        <v>44868.66667</v>
      </c>
      <c r="B359" s="1">
        <f>IFERROR(__xludf.DUMMYFUNCTION("""COMPUTED_VALUE"""),86.32)</f>
        <v>86.32</v>
      </c>
      <c r="C359" s="1">
        <f>IFERROR(__xludf.DUMMYFUNCTION("""COMPUTED_VALUE"""),86.52)</f>
        <v>86.52</v>
      </c>
      <c r="D359" s="1">
        <f>IFERROR(__xludf.DUMMYFUNCTION("""COMPUTED_VALUE"""),83.34)</f>
        <v>83.34</v>
      </c>
      <c r="E359" s="1">
        <f>IFERROR(__xludf.DUMMYFUNCTION("""COMPUTED_VALUE"""),83.43)</f>
        <v>83.43</v>
      </c>
      <c r="F359" s="1">
        <f>IFERROR(__xludf.DUMMYFUNCTION("""COMPUTED_VALUE"""),6.1288019E7)</f>
        <v>61288019</v>
      </c>
    </row>
    <row r="360">
      <c r="A360" s="2">
        <f>IFERROR(__xludf.DUMMYFUNCTION("""COMPUTED_VALUE"""),44869.66666666667)</f>
        <v>44869.66667</v>
      </c>
      <c r="B360" s="1">
        <f>IFERROR(__xludf.DUMMYFUNCTION("""COMPUTED_VALUE"""),85.4)</f>
        <v>85.4</v>
      </c>
      <c r="C360" s="1">
        <f>IFERROR(__xludf.DUMMYFUNCTION("""COMPUTED_VALUE"""),86.64)</f>
        <v>86.64</v>
      </c>
      <c r="D360" s="1">
        <f>IFERROR(__xludf.DUMMYFUNCTION("""COMPUTED_VALUE"""),83.71)</f>
        <v>83.71</v>
      </c>
      <c r="E360" s="1">
        <f>IFERROR(__xludf.DUMMYFUNCTION("""COMPUTED_VALUE"""),86.58)</f>
        <v>86.58</v>
      </c>
      <c r="F360" s="1">
        <f>IFERROR(__xludf.DUMMYFUNCTION("""COMPUTED_VALUE"""),5.1124904E7)</f>
        <v>51124904</v>
      </c>
    </row>
    <row r="361">
      <c r="A361" s="2">
        <f>IFERROR(__xludf.DUMMYFUNCTION("""COMPUTED_VALUE"""),44872.66666666667)</f>
        <v>44872.66667</v>
      </c>
      <c r="B361" s="1">
        <f>IFERROR(__xludf.DUMMYFUNCTION("""COMPUTED_VALUE"""),87.28)</f>
        <v>87.28</v>
      </c>
      <c r="C361" s="1">
        <f>IFERROR(__xludf.DUMMYFUNCTION("""COMPUTED_VALUE"""),88.9)</f>
        <v>88.9</v>
      </c>
      <c r="D361" s="1">
        <f>IFERROR(__xludf.DUMMYFUNCTION("""COMPUTED_VALUE"""),86.85)</f>
        <v>86.85</v>
      </c>
      <c r="E361" s="1">
        <f>IFERROR(__xludf.DUMMYFUNCTION("""COMPUTED_VALUE"""),88.49)</f>
        <v>88.49</v>
      </c>
      <c r="F361" s="1">
        <f>IFERROR(__xludf.DUMMYFUNCTION("""COMPUTED_VALUE"""),3.4078912E7)</f>
        <v>34078912</v>
      </c>
    </row>
    <row r="362">
      <c r="A362" s="2">
        <f>IFERROR(__xludf.DUMMYFUNCTION("""COMPUTED_VALUE"""),44873.66666666667)</f>
        <v>44873.66667</v>
      </c>
      <c r="B362" s="1">
        <f>IFERROR(__xludf.DUMMYFUNCTION("""COMPUTED_VALUE"""),88.9)</f>
        <v>88.9</v>
      </c>
      <c r="C362" s="1">
        <f>IFERROR(__xludf.DUMMYFUNCTION("""COMPUTED_VALUE"""),90.32)</f>
        <v>90.32</v>
      </c>
      <c r="D362" s="1">
        <f>IFERROR(__xludf.DUMMYFUNCTION("""COMPUTED_VALUE"""),87.59)</f>
        <v>87.59</v>
      </c>
      <c r="E362" s="1">
        <f>IFERROR(__xludf.DUMMYFUNCTION("""COMPUTED_VALUE"""),88.9)</f>
        <v>88.9</v>
      </c>
      <c r="F362" s="1">
        <f>IFERROR(__xludf.DUMMYFUNCTION("""COMPUTED_VALUE"""),3.0429025E7)</f>
        <v>30429025</v>
      </c>
    </row>
    <row r="363">
      <c r="A363" s="2">
        <f>IFERROR(__xludf.DUMMYFUNCTION("""COMPUTED_VALUE"""),44874.66666666667)</f>
        <v>44874.66667</v>
      </c>
      <c r="B363" s="1">
        <f>IFERROR(__xludf.DUMMYFUNCTION("""COMPUTED_VALUE"""),88.45)</f>
        <v>88.45</v>
      </c>
      <c r="C363" s="1">
        <f>IFERROR(__xludf.DUMMYFUNCTION("""COMPUTED_VALUE"""),89.44)</f>
        <v>89.44</v>
      </c>
      <c r="D363" s="1">
        <f>IFERROR(__xludf.DUMMYFUNCTION("""COMPUTED_VALUE"""),87.28)</f>
        <v>87.28</v>
      </c>
      <c r="E363" s="1">
        <f>IFERROR(__xludf.DUMMYFUNCTION("""COMPUTED_VALUE"""),87.32)</f>
        <v>87.32</v>
      </c>
      <c r="F363" s="1">
        <f>IFERROR(__xludf.DUMMYFUNCTION("""COMPUTED_VALUE"""),3.1769099E7)</f>
        <v>31769099</v>
      </c>
    </row>
    <row r="364">
      <c r="A364" s="2">
        <f>IFERROR(__xludf.DUMMYFUNCTION("""COMPUTED_VALUE"""),44875.66666666667)</f>
        <v>44875.66667</v>
      </c>
      <c r="B364" s="1">
        <f>IFERROR(__xludf.DUMMYFUNCTION("""COMPUTED_VALUE"""),92.25)</f>
        <v>92.25</v>
      </c>
      <c r="C364" s="1">
        <f>IFERROR(__xludf.DUMMYFUNCTION("""COMPUTED_VALUE"""),94.39)</f>
        <v>94.39</v>
      </c>
      <c r="D364" s="1">
        <f>IFERROR(__xludf.DUMMYFUNCTION("""COMPUTED_VALUE"""),91.61)</f>
        <v>91.61</v>
      </c>
      <c r="E364" s="1">
        <f>IFERROR(__xludf.DUMMYFUNCTION("""COMPUTED_VALUE"""),93.94)</f>
        <v>93.94</v>
      </c>
      <c r="F364" s="1">
        <f>IFERROR(__xludf.DUMMYFUNCTION("""COMPUTED_VALUE"""),5.1620136E7)</f>
        <v>51620136</v>
      </c>
    </row>
    <row r="365">
      <c r="A365" s="2">
        <f>IFERROR(__xludf.DUMMYFUNCTION("""COMPUTED_VALUE"""),44876.66666666667)</f>
        <v>44876.66667</v>
      </c>
      <c r="B365" s="1">
        <f>IFERROR(__xludf.DUMMYFUNCTION("""COMPUTED_VALUE"""),94.69)</f>
        <v>94.69</v>
      </c>
      <c r="C365" s="1">
        <f>IFERROR(__xludf.DUMMYFUNCTION("""COMPUTED_VALUE"""),96.93)</f>
        <v>96.93</v>
      </c>
      <c r="D365" s="1">
        <f>IFERROR(__xludf.DUMMYFUNCTION("""COMPUTED_VALUE"""),93.92)</f>
        <v>93.92</v>
      </c>
      <c r="E365" s="1">
        <f>IFERROR(__xludf.DUMMYFUNCTION("""COMPUTED_VALUE"""),96.41)</f>
        <v>96.41</v>
      </c>
      <c r="F365" s="1">
        <f>IFERROR(__xludf.DUMMYFUNCTION("""COMPUTED_VALUE"""),3.3090482E7)</f>
        <v>33090482</v>
      </c>
    </row>
    <row r="366">
      <c r="A366" s="2">
        <f>IFERROR(__xludf.DUMMYFUNCTION("""COMPUTED_VALUE"""),44879.66666666667)</f>
        <v>44879.66667</v>
      </c>
      <c r="B366" s="1">
        <f>IFERROR(__xludf.DUMMYFUNCTION("""COMPUTED_VALUE"""),95.09)</f>
        <v>95.09</v>
      </c>
      <c r="C366" s="1">
        <f>IFERROR(__xludf.DUMMYFUNCTION("""COMPUTED_VALUE"""),96.79)</f>
        <v>96.79</v>
      </c>
      <c r="D366" s="1">
        <f>IFERROR(__xludf.DUMMYFUNCTION("""COMPUTED_VALUE"""),94.51)</f>
        <v>94.51</v>
      </c>
      <c r="E366" s="1">
        <f>IFERROR(__xludf.DUMMYFUNCTION("""COMPUTED_VALUE"""),95.7)</f>
        <v>95.7</v>
      </c>
      <c r="F366" s="1">
        <f>IFERROR(__xludf.DUMMYFUNCTION("""COMPUTED_VALUE"""),3.0179539E7)</f>
        <v>30179539</v>
      </c>
    </row>
    <row r="367">
      <c r="A367" s="2">
        <f>IFERROR(__xludf.DUMMYFUNCTION("""COMPUTED_VALUE"""),44880.66666666667)</f>
        <v>44880.66667</v>
      </c>
      <c r="B367" s="1">
        <f>IFERROR(__xludf.DUMMYFUNCTION("""COMPUTED_VALUE"""),98.26)</f>
        <v>98.26</v>
      </c>
      <c r="C367" s="1">
        <f>IFERROR(__xludf.DUMMYFUNCTION("""COMPUTED_VALUE"""),100.14)</f>
        <v>100.14</v>
      </c>
      <c r="D367" s="1">
        <f>IFERROR(__xludf.DUMMYFUNCTION("""COMPUTED_VALUE"""),96.71)</f>
        <v>96.71</v>
      </c>
      <c r="E367" s="1">
        <f>IFERROR(__xludf.DUMMYFUNCTION("""COMPUTED_VALUE"""),98.44)</f>
        <v>98.44</v>
      </c>
      <c r="F367" s="1">
        <f>IFERROR(__xludf.DUMMYFUNCTION("""COMPUTED_VALUE"""),4.1640816E7)</f>
        <v>41640816</v>
      </c>
    </row>
    <row r="368">
      <c r="A368" s="2">
        <f>IFERROR(__xludf.DUMMYFUNCTION("""COMPUTED_VALUE"""),44881.66666666667)</f>
        <v>44881.66667</v>
      </c>
      <c r="B368" s="1">
        <f>IFERROR(__xludf.DUMMYFUNCTION("""COMPUTED_VALUE"""),97.9)</f>
        <v>97.9</v>
      </c>
      <c r="C368" s="1">
        <f>IFERROR(__xludf.DUMMYFUNCTION("""COMPUTED_VALUE"""),99.64)</f>
        <v>99.64</v>
      </c>
      <c r="D368" s="1">
        <f>IFERROR(__xludf.DUMMYFUNCTION("""COMPUTED_VALUE"""),97.64)</f>
        <v>97.64</v>
      </c>
      <c r="E368" s="1">
        <f>IFERROR(__xludf.DUMMYFUNCTION("""COMPUTED_VALUE"""),98.85)</f>
        <v>98.85</v>
      </c>
      <c r="F368" s="1">
        <f>IFERROR(__xludf.DUMMYFUNCTION("""COMPUTED_VALUE"""),2.9105154E7)</f>
        <v>29105154</v>
      </c>
    </row>
    <row r="369">
      <c r="A369" s="2">
        <f>IFERROR(__xludf.DUMMYFUNCTION("""COMPUTED_VALUE"""),44882.66666666667)</f>
        <v>44882.66667</v>
      </c>
      <c r="B369" s="1">
        <f>IFERROR(__xludf.DUMMYFUNCTION("""COMPUTED_VALUE"""),96.97)</f>
        <v>96.97</v>
      </c>
      <c r="C369" s="1">
        <f>IFERROR(__xludf.DUMMYFUNCTION("""COMPUTED_VALUE"""),99.28)</f>
        <v>99.28</v>
      </c>
      <c r="D369" s="1">
        <f>IFERROR(__xludf.DUMMYFUNCTION("""COMPUTED_VALUE"""),96.79)</f>
        <v>96.79</v>
      </c>
      <c r="E369" s="1">
        <f>IFERROR(__xludf.DUMMYFUNCTION("""COMPUTED_VALUE"""),98.36)</f>
        <v>98.36</v>
      </c>
      <c r="F369" s="1">
        <f>IFERROR(__xludf.DUMMYFUNCTION("""COMPUTED_VALUE"""),2.6052599E7)</f>
        <v>26052599</v>
      </c>
    </row>
    <row r="370">
      <c r="A370" s="2">
        <f>IFERROR(__xludf.DUMMYFUNCTION("""COMPUTED_VALUE"""),44883.66666666667)</f>
        <v>44883.66667</v>
      </c>
      <c r="B370" s="1">
        <f>IFERROR(__xludf.DUMMYFUNCTION("""COMPUTED_VALUE"""),98.77)</f>
        <v>98.77</v>
      </c>
      <c r="C370" s="1">
        <f>IFERROR(__xludf.DUMMYFUNCTION("""COMPUTED_VALUE"""),98.9)</f>
        <v>98.9</v>
      </c>
      <c r="D370" s="1">
        <f>IFERROR(__xludf.DUMMYFUNCTION("""COMPUTED_VALUE"""),96.37)</f>
        <v>96.37</v>
      </c>
      <c r="E370" s="1">
        <f>IFERROR(__xludf.DUMMYFUNCTION("""COMPUTED_VALUE"""),97.43)</f>
        <v>97.43</v>
      </c>
      <c r="F370" s="1">
        <f>IFERROR(__xludf.DUMMYFUNCTION("""COMPUTED_VALUE"""),2.8342297E7)</f>
        <v>28342297</v>
      </c>
    </row>
    <row r="371">
      <c r="A371" s="2">
        <f>IFERROR(__xludf.DUMMYFUNCTION("""COMPUTED_VALUE"""),44886.66666666667)</f>
        <v>44886.66667</v>
      </c>
      <c r="B371" s="1">
        <f>IFERROR(__xludf.DUMMYFUNCTION("""COMPUTED_VALUE"""),97.29)</f>
        <v>97.29</v>
      </c>
      <c r="C371" s="1">
        <f>IFERROR(__xludf.DUMMYFUNCTION("""COMPUTED_VALUE"""),98.4)</f>
        <v>98.4</v>
      </c>
      <c r="D371" s="1">
        <f>IFERROR(__xludf.DUMMYFUNCTION("""COMPUTED_VALUE"""),95.36)</f>
        <v>95.36</v>
      </c>
      <c r="E371" s="1">
        <f>IFERROR(__xludf.DUMMYFUNCTION("""COMPUTED_VALUE"""),95.6)</f>
        <v>95.6</v>
      </c>
      <c r="F371" s="1">
        <f>IFERROR(__xludf.DUMMYFUNCTION("""COMPUTED_VALUE"""),2.1647387E7)</f>
        <v>21647387</v>
      </c>
    </row>
    <row r="372">
      <c r="A372" s="2">
        <f>IFERROR(__xludf.DUMMYFUNCTION("""COMPUTED_VALUE"""),44887.66666666667)</f>
        <v>44887.66667</v>
      </c>
      <c r="B372" s="1">
        <f>IFERROR(__xludf.DUMMYFUNCTION("""COMPUTED_VALUE"""),95.95)</f>
        <v>95.95</v>
      </c>
      <c r="C372" s="1">
        <f>IFERROR(__xludf.DUMMYFUNCTION("""COMPUTED_VALUE"""),97.22)</f>
        <v>97.22</v>
      </c>
      <c r="D372" s="1">
        <f>IFERROR(__xludf.DUMMYFUNCTION("""COMPUTED_VALUE"""),94.05)</f>
        <v>94.05</v>
      </c>
      <c r="E372" s="1">
        <f>IFERROR(__xludf.DUMMYFUNCTION("""COMPUTED_VALUE"""),97.05)</f>
        <v>97.05</v>
      </c>
      <c r="F372" s="1">
        <f>IFERROR(__xludf.DUMMYFUNCTION("""COMPUTED_VALUE"""),2.343848E7)</f>
        <v>23438480</v>
      </c>
    </row>
    <row r="373">
      <c r="A373" s="2">
        <f>IFERROR(__xludf.DUMMYFUNCTION("""COMPUTED_VALUE"""),44888.66666666667)</f>
        <v>44888.66667</v>
      </c>
      <c r="B373" s="1">
        <f>IFERROR(__xludf.DUMMYFUNCTION("""COMPUTED_VALUE"""),97.09)</f>
        <v>97.09</v>
      </c>
      <c r="C373" s="1">
        <f>IFERROR(__xludf.DUMMYFUNCTION("""COMPUTED_VALUE"""),98.76)</f>
        <v>98.76</v>
      </c>
      <c r="D373" s="1">
        <f>IFERROR(__xludf.DUMMYFUNCTION("""COMPUTED_VALUE"""),97.09)</f>
        <v>97.09</v>
      </c>
      <c r="E373" s="1">
        <f>IFERROR(__xludf.DUMMYFUNCTION("""COMPUTED_VALUE"""),98.46)</f>
        <v>98.46</v>
      </c>
      <c r="F373" s="1">
        <f>IFERROR(__xludf.DUMMYFUNCTION("""COMPUTED_VALUE"""),1.8868092E7)</f>
        <v>18868092</v>
      </c>
    </row>
    <row r="374">
      <c r="A374" s="2">
        <f>IFERROR(__xludf.DUMMYFUNCTION("""COMPUTED_VALUE"""),44890.54513888889)</f>
        <v>44890.54514</v>
      </c>
      <c r="B374" s="1">
        <f>IFERROR(__xludf.DUMMYFUNCTION("""COMPUTED_VALUE"""),98.24)</f>
        <v>98.24</v>
      </c>
      <c r="C374" s="1">
        <f>IFERROR(__xludf.DUMMYFUNCTION("""COMPUTED_VALUE"""),98.64)</f>
        <v>98.64</v>
      </c>
      <c r="D374" s="1">
        <f>IFERROR(__xludf.DUMMYFUNCTION("""COMPUTED_VALUE"""),97.4)</f>
        <v>97.4</v>
      </c>
      <c r="E374" s="1">
        <f>IFERROR(__xludf.DUMMYFUNCTION("""COMPUTED_VALUE"""),97.46)</f>
        <v>97.46</v>
      </c>
      <c r="F374" s="1">
        <f>IFERROR(__xludf.DUMMYFUNCTION("""COMPUTED_VALUE"""),9701441.0)</f>
        <v>9701441</v>
      </c>
    </row>
    <row r="375">
      <c r="A375" s="2">
        <f>IFERROR(__xludf.DUMMYFUNCTION("""COMPUTED_VALUE"""),44893.66666666667)</f>
        <v>44893.66667</v>
      </c>
      <c r="B375" s="1">
        <f>IFERROR(__xludf.DUMMYFUNCTION("""COMPUTED_VALUE"""),97.04)</f>
        <v>97.04</v>
      </c>
      <c r="C375" s="1">
        <f>IFERROR(__xludf.DUMMYFUNCTION("""COMPUTED_VALUE"""),97.58)</f>
        <v>97.58</v>
      </c>
      <c r="D375" s="1">
        <f>IFERROR(__xludf.DUMMYFUNCTION("""COMPUTED_VALUE"""),95.61)</f>
        <v>95.61</v>
      </c>
      <c r="E375" s="1">
        <f>IFERROR(__xludf.DUMMYFUNCTION("""COMPUTED_VALUE"""),96.05)</f>
        <v>96.05</v>
      </c>
      <c r="F375" s="1">
        <f>IFERROR(__xludf.DUMMYFUNCTION("""COMPUTED_VALUE"""),2.6252433E7)</f>
        <v>26252433</v>
      </c>
    </row>
    <row r="376">
      <c r="A376" s="2">
        <f>IFERROR(__xludf.DUMMYFUNCTION("""COMPUTED_VALUE"""),44894.66666666667)</f>
        <v>44894.66667</v>
      </c>
      <c r="B376" s="1">
        <f>IFERROR(__xludf.DUMMYFUNCTION("""COMPUTED_VALUE"""),95.73)</f>
        <v>95.73</v>
      </c>
      <c r="C376" s="1">
        <f>IFERROR(__xludf.DUMMYFUNCTION("""COMPUTED_VALUE"""),96.12)</f>
        <v>96.12</v>
      </c>
      <c r="D376" s="1">
        <f>IFERROR(__xludf.DUMMYFUNCTION("""COMPUTED_VALUE"""),94.11)</f>
        <v>94.11</v>
      </c>
      <c r="E376" s="1">
        <f>IFERROR(__xludf.DUMMYFUNCTION("""COMPUTED_VALUE"""),95.19)</f>
        <v>95.19</v>
      </c>
      <c r="F376" s="1">
        <f>IFERROR(__xludf.DUMMYFUNCTION("""COMPUTED_VALUE"""),2.006172E7)</f>
        <v>20061720</v>
      </c>
    </row>
    <row r="377">
      <c r="A377" s="2">
        <f>IFERROR(__xludf.DUMMYFUNCTION("""COMPUTED_VALUE"""),44895.66666666667)</f>
        <v>44895.66667</v>
      </c>
      <c r="B377" s="1">
        <f>IFERROR(__xludf.DUMMYFUNCTION("""COMPUTED_VALUE"""),94.82)</f>
        <v>94.82</v>
      </c>
      <c r="C377" s="1">
        <f>IFERROR(__xludf.DUMMYFUNCTION("""COMPUTED_VALUE"""),101.04)</f>
        <v>101.04</v>
      </c>
      <c r="D377" s="1">
        <f>IFERROR(__xludf.DUMMYFUNCTION("""COMPUTED_VALUE"""),94.42)</f>
        <v>94.42</v>
      </c>
      <c r="E377" s="1">
        <f>IFERROR(__xludf.DUMMYFUNCTION("""COMPUTED_VALUE"""),100.99)</f>
        <v>100.99</v>
      </c>
      <c r="F377" s="1">
        <f>IFERROR(__xludf.DUMMYFUNCTION("""COMPUTED_VALUE"""),4.3647481E7)</f>
        <v>43647481</v>
      </c>
    </row>
    <row r="378">
      <c r="A378" s="2">
        <f>IFERROR(__xludf.DUMMYFUNCTION("""COMPUTED_VALUE"""),44896.66666666667)</f>
        <v>44896.66667</v>
      </c>
      <c r="B378" s="1">
        <f>IFERROR(__xludf.DUMMYFUNCTION("""COMPUTED_VALUE"""),101.02)</f>
        <v>101.02</v>
      </c>
      <c r="C378" s="1">
        <f>IFERROR(__xludf.DUMMYFUNCTION("""COMPUTED_VALUE"""),102.25)</f>
        <v>102.25</v>
      </c>
      <c r="D378" s="1">
        <f>IFERROR(__xludf.DUMMYFUNCTION("""COMPUTED_VALUE"""),100.25)</f>
        <v>100.25</v>
      </c>
      <c r="E378" s="1">
        <f>IFERROR(__xludf.DUMMYFUNCTION("""COMPUTED_VALUE"""),100.99)</f>
        <v>100.99</v>
      </c>
      <c r="F378" s="1">
        <f>IFERROR(__xludf.DUMMYFUNCTION("""COMPUTED_VALUE"""),2.8687096E7)</f>
        <v>28687096</v>
      </c>
    </row>
    <row r="379">
      <c r="A379" s="2">
        <f>IFERROR(__xludf.DUMMYFUNCTION("""COMPUTED_VALUE"""),44897.66666666667)</f>
        <v>44897.66667</v>
      </c>
      <c r="B379" s="1">
        <f>IFERROR(__xludf.DUMMYFUNCTION("""COMPUTED_VALUE"""),99.05)</f>
        <v>99.05</v>
      </c>
      <c r="C379" s="1">
        <f>IFERROR(__xludf.DUMMYFUNCTION("""COMPUTED_VALUE"""),100.77)</f>
        <v>100.77</v>
      </c>
      <c r="D379" s="1">
        <f>IFERROR(__xludf.DUMMYFUNCTION("""COMPUTED_VALUE"""),98.9)</f>
        <v>98.9</v>
      </c>
      <c r="E379" s="1">
        <f>IFERROR(__xludf.DUMMYFUNCTION("""COMPUTED_VALUE"""),100.44)</f>
        <v>100.44</v>
      </c>
      <c r="F379" s="1">
        <f>IFERROR(__xludf.DUMMYFUNCTION("""COMPUTED_VALUE"""),2.1480703E7)</f>
        <v>21480703</v>
      </c>
    </row>
    <row r="380">
      <c r="A380" s="2">
        <f>IFERROR(__xludf.DUMMYFUNCTION("""COMPUTED_VALUE"""),44900.66666666667)</f>
        <v>44900.66667</v>
      </c>
      <c r="B380" s="1">
        <f>IFERROR(__xludf.DUMMYFUNCTION("""COMPUTED_VALUE"""),99.4)</f>
        <v>99.4</v>
      </c>
      <c r="C380" s="1">
        <f>IFERROR(__xludf.DUMMYFUNCTION("""COMPUTED_VALUE"""),101.38)</f>
        <v>101.38</v>
      </c>
      <c r="D380" s="1">
        <f>IFERROR(__xludf.DUMMYFUNCTION("""COMPUTED_VALUE"""),99.0)</f>
        <v>99</v>
      </c>
      <c r="E380" s="1">
        <f>IFERROR(__xludf.DUMMYFUNCTION("""COMPUTED_VALUE"""),99.48)</f>
        <v>99.48</v>
      </c>
      <c r="F380" s="1">
        <f>IFERROR(__xludf.DUMMYFUNCTION("""COMPUTED_VALUE"""),2.4405087E7)</f>
        <v>24405087</v>
      </c>
    </row>
    <row r="381">
      <c r="A381" s="2">
        <f>IFERROR(__xludf.DUMMYFUNCTION("""COMPUTED_VALUE"""),44901.66666666667)</f>
        <v>44901.66667</v>
      </c>
      <c r="B381" s="1">
        <f>IFERROR(__xludf.DUMMYFUNCTION("""COMPUTED_VALUE"""),99.3)</f>
        <v>99.3</v>
      </c>
      <c r="C381" s="1">
        <f>IFERROR(__xludf.DUMMYFUNCTION("""COMPUTED_VALUE"""),99.78)</f>
        <v>99.78</v>
      </c>
      <c r="D381" s="1">
        <f>IFERROR(__xludf.DUMMYFUNCTION("""COMPUTED_VALUE"""),96.42)</f>
        <v>96.42</v>
      </c>
      <c r="E381" s="1">
        <f>IFERROR(__xludf.DUMMYFUNCTION("""COMPUTED_VALUE"""),96.98)</f>
        <v>96.98</v>
      </c>
      <c r="F381" s="1">
        <f>IFERROR(__xludf.DUMMYFUNCTION("""COMPUTED_VALUE"""),2.4910655E7)</f>
        <v>24910655</v>
      </c>
    </row>
    <row r="382">
      <c r="A382" s="2">
        <f>IFERROR(__xludf.DUMMYFUNCTION("""COMPUTED_VALUE"""),44902.66666666667)</f>
        <v>44902.66667</v>
      </c>
      <c r="B382" s="1">
        <f>IFERROR(__xludf.DUMMYFUNCTION("""COMPUTED_VALUE"""),96.41)</f>
        <v>96.41</v>
      </c>
      <c r="C382" s="1">
        <f>IFERROR(__xludf.DUMMYFUNCTION("""COMPUTED_VALUE"""),96.88)</f>
        <v>96.88</v>
      </c>
      <c r="D382" s="1">
        <f>IFERROR(__xludf.DUMMYFUNCTION("""COMPUTED_VALUE"""),94.72)</f>
        <v>94.72</v>
      </c>
      <c r="E382" s="1">
        <f>IFERROR(__xludf.DUMMYFUNCTION("""COMPUTED_VALUE"""),94.94)</f>
        <v>94.94</v>
      </c>
      <c r="F382" s="1">
        <f>IFERROR(__xludf.DUMMYFUNCTION("""COMPUTED_VALUE"""),3.1045449E7)</f>
        <v>31045449</v>
      </c>
    </row>
    <row r="383">
      <c r="A383" s="2">
        <f>IFERROR(__xludf.DUMMYFUNCTION("""COMPUTED_VALUE"""),44903.66666666667)</f>
        <v>44903.66667</v>
      </c>
      <c r="B383" s="1">
        <f>IFERROR(__xludf.DUMMYFUNCTION("""COMPUTED_VALUE"""),95.38)</f>
        <v>95.38</v>
      </c>
      <c r="C383" s="1">
        <f>IFERROR(__xludf.DUMMYFUNCTION("""COMPUTED_VALUE"""),95.58)</f>
        <v>95.58</v>
      </c>
      <c r="D383" s="1">
        <f>IFERROR(__xludf.DUMMYFUNCTION("""COMPUTED_VALUE"""),93.45)</f>
        <v>93.45</v>
      </c>
      <c r="E383" s="1">
        <f>IFERROR(__xludf.DUMMYFUNCTION("""COMPUTED_VALUE"""),93.71)</f>
        <v>93.71</v>
      </c>
      <c r="F383" s="1">
        <f>IFERROR(__xludf.DUMMYFUNCTION("""COMPUTED_VALUE"""),3.2213288E7)</f>
        <v>32213288</v>
      </c>
    </row>
    <row r="384">
      <c r="A384" s="2">
        <f>IFERROR(__xludf.DUMMYFUNCTION("""COMPUTED_VALUE"""),44904.66666666667)</f>
        <v>44904.66667</v>
      </c>
      <c r="B384" s="1">
        <f>IFERROR(__xludf.DUMMYFUNCTION("""COMPUTED_VALUE"""),93.77)</f>
        <v>93.77</v>
      </c>
      <c r="C384" s="1">
        <f>IFERROR(__xludf.DUMMYFUNCTION("""COMPUTED_VALUE"""),94.26)</f>
        <v>94.26</v>
      </c>
      <c r="D384" s="1">
        <f>IFERROR(__xludf.DUMMYFUNCTION("""COMPUTED_VALUE"""),92.75)</f>
        <v>92.75</v>
      </c>
      <c r="E384" s="1">
        <f>IFERROR(__xludf.DUMMYFUNCTION("""COMPUTED_VALUE"""),92.83)</f>
        <v>92.83</v>
      </c>
      <c r="F384" s="1">
        <f>IFERROR(__xludf.DUMMYFUNCTION("""COMPUTED_VALUE"""),2.8225448E7)</f>
        <v>28225448</v>
      </c>
    </row>
    <row r="385">
      <c r="A385" s="2">
        <f>IFERROR(__xludf.DUMMYFUNCTION("""COMPUTED_VALUE"""),44907.66666666667)</f>
        <v>44907.66667</v>
      </c>
      <c r="B385" s="1">
        <f>IFERROR(__xludf.DUMMYFUNCTION("""COMPUTED_VALUE"""),92.71)</f>
        <v>92.71</v>
      </c>
      <c r="C385" s="1">
        <f>IFERROR(__xludf.DUMMYFUNCTION("""COMPUTED_VALUE"""),93.56)</f>
        <v>93.56</v>
      </c>
      <c r="D385" s="1">
        <f>IFERROR(__xludf.DUMMYFUNCTION("""COMPUTED_VALUE"""),91.61)</f>
        <v>91.61</v>
      </c>
      <c r="E385" s="1">
        <f>IFERROR(__xludf.DUMMYFUNCTION("""COMPUTED_VALUE"""),93.31)</f>
        <v>93.31</v>
      </c>
      <c r="F385" s="1">
        <f>IFERROR(__xludf.DUMMYFUNCTION("""COMPUTED_VALUE"""),2.9009013E7)</f>
        <v>29009013</v>
      </c>
    </row>
    <row r="386">
      <c r="A386" s="2">
        <f>IFERROR(__xludf.DUMMYFUNCTION("""COMPUTED_VALUE"""),44908.66666666667)</f>
        <v>44908.66667</v>
      </c>
      <c r="B386" s="1">
        <f>IFERROR(__xludf.DUMMYFUNCTION("""COMPUTED_VALUE"""),97.76)</f>
        <v>97.76</v>
      </c>
      <c r="C386" s="1">
        <f>IFERROR(__xludf.DUMMYFUNCTION("""COMPUTED_VALUE"""),99.53)</f>
        <v>99.53</v>
      </c>
      <c r="D386" s="1">
        <f>IFERROR(__xludf.DUMMYFUNCTION("""COMPUTED_VALUE"""),95.03)</f>
        <v>95.03</v>
      </c>
      <c r="E386" s="1">
        <f>IFERROR(__xludf.DUMMYFUNCTION("""COMPUTED_VALUE"""),95.63)</f>
        <v>95.63</v>
      </c>
      <c r="F386" s="1">
        <f>IFERROR(__xludf.DUMMYFUNCTION("""COMPUTED_VALUE"""),4.0593656E7)</f>
        <v>40593656</v>
      </c>
    </row>
    <row r="387">
      <c r="A387" s="2">
        <f>IFERROR(__xludf.DUMMYFUNCTION("""COMPUTED_VALUE"""),44909.66666666667)</f>
        <v>44909.66667</v>
      </c>
      <c r="B387" s="1">
        <f>IFERROR(__xludf.DUMMYFUNCTION("""COMPUTED_VALUE"""),95.2)</f>
        <v>95.2</v>
      </c>
      <c r="C387" s="1">
        <f>IFERROR(__xludf.DUMMYFUNCTION("""COMPUTED_VALUE"""),96.87)</f>
        <v>96.87</v>
      </c>
      <c r="D387" s="1">
        <f>IFERROR(__xludf.DUMMYFUNCTION("""COMPUTED_VALUE"""),93.6)</f>
        <v>93.6</v>
      </c>
      <c r="E387" s="1">
        <f>IFERROR(__xludf.DUMMYFUNCTION("""COMPUTED_VALUE"""),95.07)</f>
        <v>95.07</v>
      </c>
      <c r="F387" s="1">
        <f>IFERROR(__xludf.DUMMYFUNCTION("""COMPUTED_VALUE"""),2.8733599E7)</f>
        <v>28733599</v>
      </c>
    </row>
    <row r="388">
      <c r="A388" s="2">
        <f>IFERROR(__xludf.DUMMYFUNCTION("""COMPUTED_VALUE"""),44910.66666666667)</f>
        <v>44910.66667</v>
      </c>
      <c r="B388" s="1">
        <f>IFERROR(__xludf.DUMMYFUNCTION("""COMPUTED_VALUE"""),93.13)</f>
        <v>93.13</v>
      </c>
      <c r="C388" s="1">
        <f>IFERROR(__xludf.DUMMYFUNCTION("""COMPUTED_VALUE"""),93.64)</f>
        <v>93.64</v>
      </c>
      <c r="D388" s="1">
        <f>IFERROR(__xludf.DUMMYFUNCTION("""COMPUTED_VALUE"""),90.01)</f>
        <v>90.01</v>
      </c>
      <c r="E388" s="1">
        <f>IFERROR(__xludf.DUMMYFUNCTION("""COMPUTED_VALUE"""),90.86)</f>
        <v>90.86</v>
      </c>
      <c r="F388" s="1">
        <f>IFERROR(__xludf.DUMMYFUNCTION("""COMPUTED_VALUE"""),4.0107033E7)</f>
        <v>40107033</v>
      </c>
    </row>
    <row r="389">
      <c r="A389" s="2">
        <f>IFERROR(__xludf.DUMMYFUNCTION("""COMPUTED_VALUE"""),44911.66666666667)</f>
        <v>44911.66667</v>
      </c>
      <c r="B389" s="1">
        <f>IFERROR(__xludf.DUMMYFUNCTION("""COMPUTED_VALUE"""),90.76)</f>
        <v>90.76</v>
      </c>
      <c r="C389" s="1">
        <f>IFERROR(__xludf.DUMMYFUNCTION("""COMPUTED_VALUE"""),91.33)</f>
        <v>91.33</v>
      </c>
      <c r="D389" s="1">
        <f>IFERROR(__xludf.DUMMYFUNCTION("""COMPUTED_VALUE"""),89.52)</f>
        <v>89.52</v>
      </c>
      <c r="E389" s="1">
        <f>IFERROR(__xludf.DUMMYFUNCTION("""COMPUTED_VALUE"""),90.26)</f>
        <v>90.26</v>
      </c>
      <c r="F389" s="1">
        <f>IFERROR(__xludf.DUMMYFUNCTION("""COMPUTED_VALUE"""),5.8011847E7)</f>
        <v>58011847</v>
      </c>
    </row>
    <row r="390">
      <c r="A390" s="2">
        <f>IFERROR(__xludf.DUMMYFUNCTION("""COMPUTED_VALUE"""),44914.66666666667)</f>
        <v>44914.66667</v>
      </c>
      <c r="B390" s="1">
        <f>IFERROR(__xludf.DUMMYFUNCTION("""COMPUTED_VALUE"""),90.26)</f>
        <v>90.26</v>
      </c>
      <c r="C390" s="1">
        <f>IFERROR(__xludf.DUMMYFUNCTION("""COMPUTED_VALUE"""),90.56)</f>
        <v>90.56</v>
      </c>
      <c r="D390" s="1">
        <f>IFERROR(__xludf.DUMMYFUNCTION("""COMPUTED_VALUE"""),88.21)</f>
        <v>88.21</v>
      </c>
      <c r="E390" s="1">
        <f>IFERROR(__xludf.DUMMYFUNCTION("""COMPUTED_VALUE"""),88.44)</f>
        <v>88.44</v>
      </c>
      <c r="F390" s="1">
        <f>IFERROR(__xludf.DUMMYFUNCTION("""COMPUTED_VALUE"""),2.949303E7)</f>
        <v>29493030</v>
      </c>
    </row>
    <row r="391">
      <c r="A391" s="2">
        <f>IFERROR(__xludf.DUMMYFUNCTION("""COMPUTED_VALUE"""),44915.66666666667)</f>
        <v>44915.66667</v>
      </c>
      <c r="B391" s="1">
        <f>IFERROR(__xludf.DUMMYFUNCTION("""COMPUTED_VALUE"""),88.11)</f>
        <v>88.11</v>
      </c>
      <c r="C391" s="1">
        <f>IFERROR(__xludf.DUMMYFUNCTION("""COMPUTED_VALUE"""),89.18)</f>
        <v>89.18</v>
      </c>
      <c r="D391" s="1">
        <f>IFERROR(__xludf.DUMMYFUNCTION("""COMPUTED_VALUE"""),87.44)</f>
        <v>87.44</v>
      </c>
      <c r="E391" s="1">
        <f>IFERROR(__xludf.DUMMYFUNCTION("""COMPUTED_VALUE"""),89.02)</f>
        <v>89.02</v>
      </c>
      <c r="F391" s="1">
        <f>IFERROR(__xludf.DUMMYFUNCTION("""COMPUTED_VALUE"""),2.3453836E7)</f>
        <v>23453836</v>
      </c>
    </row>
    <row r="392">
      <c r="A392" s="2">
        <f>IFERROR(__xludf.DUMMYFUNCTION("""COMPUTED_VALUE"""),44916.66666666667)</f>
        <v>44916.66667</v>
      </c>
      <c r="B392" s="1">
        <f>IFERROR(__xludf.DUMMYFUNCTION("""COMPUTED_VALUE"""),89.08)</f>
        <v>89.08</v>
      </c>
      <c r="C392" s="1">
        <f>IFERROR(__xludf.DUMMYFUNCTION("""COMPUTED_VALUE"""),90.22)</f>
        <v>90.22</v>
      </c>
      <c r="D392" s="1">
        <f>IFERROR(__xludf.DUMMYFUNCTION("""COMPUTED_VALUE"""),88.32)</f>
        <v>88.32</v>
      </c>
      <c r="E392" s="1">
        <f>IFERROR(__xludf.DUMMYFUNCTION("""COMPUTED_VALUE"""),89.58)</f>
        <v>89.58</v>
      </c>
      <c r="F392" s="1">
        <f>IFERROR(__xludf.DUMMYFUNCTION("""COMPUTED_VALUE"""),2.4745637E7)</f>
        <v>24745637</v>
      </c>
    </row>
    <row r="393">
      <c r="A393" s="2">
        <f>IFERROR(__xludf.DUMMYFUNCTION("""COMPUTED_VALUE"""),44917.66666666667)</f>
        <v>44917.66667</v>
      </c>
      <c r="B393" s="1">
        <f>IFERROR(__xludf.DUMMYFUNCTION("""COMPUTED_VALUE"""),88.16)</f>
        <v>88.16</v>
      </c>
      <c r="C393" s="1">
        <f>IFERROR(__xludf.DUMMYFUNCTION("""COMPUTED_VALUE"""),88.54)</f>
        <v>88.54</v>
      </c>
      <c r="D393" s="1">
        <f>IFERROR(__xludf.DUMMYFUNCTION("""COMPUTED_VALUE"""),86.32)</f>
        <v>86.32</v>
      </c>
      <c r="E393" s="1">
        <f>IFERROR(__xludf.DUMMYFUNCTION("""COMPUTED_VALUE"""),87.76)</f>
        <v>87.76</v>
      </c>
      <c r="F393" s="1">
        <f>IFERROR(__xludf.DUMMYFUNCTION("""COMPUTED_VALUE"""),2.7658293E7)</f>
        <v>27658293</v>
      </c>
    </row>
    <row r="394">
      <c r="A394" s="2">
        <f>IFERROR(__xludf.DUMMYFUNCTION("""COMPUTED_VALUE"""),44918.66666666667)</f>
        <v>44918.66667</v>
      </c>
      <c r="B394" s="1">
        <f>IFERROR(__xludf.DUMMYFUNCTION("""COMPUTED_VALUE"""),87.11)</f>
        <v>87.11</v>
      </c>
      <c r="C394" s="1">
        <f>IFERROR(__xludf.DUMMYFUNCTION("""COMPUTED_VALUE"""),89.55)</f>
        <v>89.55</v>
      </c>
      <c r="D394" s="1">
        <f>IFERROR(__xludf.DUMMYFUNCTION("""COMPUTED_VALUE"""),87.07)</f>
        <v>87.07</v>
      </c>
      <c r="E394" s="1">
        <f>IFERROR(__xludf.DUMMYFUNCTION("""COMPUTED_VALUE"""),89.23)</f>
        <v>89.23</v>
      </c>
      <c r="F394" s="1">
        <f>IFERROR(__xludf.DUMMYFUNCTION("""COMPUTED_VALUE"""),2.3003035E7)</f>
        <v>23003035</v>
      </c>
    </row>
    <row r="395">
      <c r="A395" s="2">
        <f>IFERROR(__xludf.DUMMYFUNCTION("""COMPUTED_VALUE"""),44922.66666666667)</f>
        <v>44922.66667</v>
      </c>
      <c r="B395" s="1">
        <f>IFERROR(__xludf.DUMMYFUNCTION("""COMPUTED_VALUE"""),88.8)</f>
        <v>88.8</v>
      </c>
      <c r="C395" s="1">
        <f>IFERROR(__xludf.DUMMYFUNCTION("""COMPUTED_VALUE"""),88.94)</f>
        <v>88.94</v>
      </c>
      <c r="D395" s="1">
        <f>IFERROR(__xludf.DUMMYFUNCTION("""COMPUTED_VALUE"""),87.01)</f>
        <v>87.01</v>
      </c>
      <c r="E395" s="1">
        <f>IFERROR(__xludf.DUMMYFUNCTION("""COMPUTED_VALUE"""),87.39)</f>
        <v>87.39</v>
      </c>
      <c r="F395" s="1">
        <f>IFERROR(__xludf.DUMMYFUNCTION("""COMPUTED_VALUE"""),2.0097346E7)</f>
        <v>20097346</v>
      </c>
    </row>
    <row r="396">
      <c r="A396" s="2">
        <f>IFERROR(__xludf.DUMMYFUNCTION("""COMPUTED_VALUE"""),44923.66666666667)</f>
        <v>44923.66667</v>
      </c>
      <c r="B396" s="1">
        <f>IFERROR(__xludf.DUMMYFUNCTION("""COMPUTED_VALUE"""),86.98)</f>
        <v>86.98</v>
      </c>
      <c r="C396" s="1">
        <f>IFERROR(__xludf.DUMMYFUNCTION("""COMPUTED_VALUE"""),88.04)</f>
        <v>88.04</v>
      </c>
      <c r="D396" s="1">
        <f>IFERROR(__xludf.DUMMYFUNCTION("""COMPUTED_VALUE"""),85.94)</f>
        <v>85.94</v>
      </c>
      <c r="E396" s="1">
        <f>IFERROR(__xludf.DUMMYFUNCTION("""COMPUTED_VALUE"""),86.02)</f>
        <v>86.02</v>
      </c>
      <c r="F396" s="1">
        <f>IFERROR(__xludf.DUMMYFUNCTION("""COMPUTED_VALUE"""),1.9523176E7)</f>
        <v>19523176</v>
      </c>
    </row>
    <row r="397">
      <c r="A397" s="2">
        <f>IFERROR(__xludf.DUMMYFUNCTION("""COMPUTED_VALUE"""),44924.66666666667)</f>
        <v>44924.66667</v>
      </c>
      <c r="B397" s="1">
        <f>IFERROR(__xludf.DUMMYFUNCTION("""COMPUTED_VALUE"""),86.62)</f>
        <v>86.62</v>
      </c>
      <c r="C397" s="1">
        <f>IFERROR(__xludf.DUMMYFUNCTION("""COMPUTED_VALUE"""),88.85)</f>
        <v>88.85</v>
      </c>
      <c r="D397" s="1">
        <f>IFERROR(__xludf.DUMMYFUNCTION("""COMPUTED_VALUE"""),86.61)</f>
        <v>86.61</v>
      </c>
      <c r="E397" s="1">
        <f>IFERROR(__xludf.DUMMYFUNCTION("""COMPUTED_VALUE"""),88.45)</f>
        <v>88.45</v>
      </c>
      <c r="F397" s="1">
        <f>IFERROR(__xludf.DUMMYFUNCTION("""COMPUTED_VALUE"""),2.3333537E7)</f>
        <v>23333537</v>
      </c>
    </row>
    <row r="398">
      <c r="A398" s="2">
        <f>IFERROR(__xludf.DUMMYFUNCTION("""COMPUTED_VALUE"""),44925.66666666667)</f>
        <v>44925.66667</v>
      </c>
      <c r="B398" s="1">
        <f>IFERROR(__xludf.DUMMYFUNCTION("""COMPUTED_VALUE"""),86.98)</f>
        <v>86.98</v>
      </c>
      <c r="C398" s="1">
        <f>IFERROR(__xludf.DUMMYFUNCTION("""COMPUTED_VALUE"""),88.3)</f>
        <v>88.3</v>
      </c>
      <c r="D398" s="1">
        <f>IFERROR(__xludf.DUMMYFUNCTION("""COMPUTED_VALUE"""),86.57)</f>
        <v>86.57</v>
      </c>
      <c r="E398" s="1">
        <f>IFERROR(__xludf.DUMMYFUNCTION("""COMPUTED_VALUE"""),88.23)</f>
        <v>88.23</v>
      </c>
      <c r="F398" s="1">
        <f>IFERROR(__xludf.DUMMYFUNCTION("""COMPUTED_VALUE"""),2.3986297E7)</f>
        <v>23986297</v>
      </c>
    </row>
    <row r="399">
      <c r="A399" s="2">
        <f>IFERROR(__xludf.DUMMYFUNCTION("""COMPUTED_VALUE"""),44929.66666666667)</f>
        <v>44929.66667</v>
      </c>
      <c r="B399" s="1">
        <f>IFERROR(__xludf.DUMMYFUNCTION("""COMPUTED_VALUE"""),89.59)</f>
        <v>89.59</v>
      </c>
      <c r="C399" s="1">
        <f>IFERROR(__xludf.DUMMYFUNCTION("""COMPUTED_VALUE"""),91.05)</f>
        <v>91.05</v>
      </c>
      <c r="D399" s="1">
        <f>IFERROR(__xludf.DUMMYFUNCTION("""COMPUTED_VALUE"""),88.52)</f>
        <v>88.52</v>
      </c>
      <c r="E399" s="1">
        <f>IFERROR(__xludf.DUMMYFUNCTION("""COMPUTED_VALUE"""),89.12)</f>
        <v>89.12</v>
      </c>
      <c r="F399" s="1">
        <f>IFERROR(__xludf.DUMMYFUNCTION("""COMPUTED_VALUE"""),2.8131224E7)</f>
        <v>28131224</v>
      </c>
    </row>
    <row r="400">
      <c r="A400" s="2">
        <f>IFERROR(__xludf.DUMMYFUNCTION("""COMPUTED_VALUE"""),44930.66666666667)</f>
        <v>44930.66667</v>
      </c>
      <c r="B400" s="1">
        <f>IFERROR(__xludf.DUMMYFUNCTION("""COMPUTED_VALUE"""),90.35)</f>
        <v>90.35</v>
      </c>
      <c r="C400" s="1">
        <f>IFERROR(__xludf.DUMMYFUNCTION("""COMPUTED_VALUE"""),90.65)</f>
        <v>90.65</v>
      </c>
      <c r="D400" s="1">
        <f>IFERROR(__xludf.DUMMYFUNCTION("""COMPUTED_VALUE"""),87.27)</f>
        <v>87.27</v>
      </c>
      <c r="E400" s="1">
        <f>IFERROR(__xludf.DUMMYFUNCTION("""COMPUTED_VALUE"""),88.08)</f>
        <v>88.08</v>
      </c>
      <c r="F400" s="1">
        <f>IFERROR(__xludf.DUMMYFUNCTION("""COMPUTED_VALUE"""),3.4854776E7)</f>
        <v>34854776</v>
      </c>
    </row>
    <row r="401">
      <c r="A401" s="2">
        <f>IFERROR(__xludf.DUMMYFUNCTION("""COMPUTED_VALUE"""),44931.66666666667)</f>
        <v>44931.66667</v>
      </c>
      <c r="B401" s="1">
        <f>IFERROR(__xludf.DUMMYFUNCTION("""COMPUTED_VALUE"""),87.47)</f>
        <v>87.47</v>
      </c>
      <c r="C401" s="1">
        <f>IFERROR(__xludf.DUMMYFUNCTION("""COMPUTED_VALUE"""),87.57)</f>
        <v>87.57</v>
      </c>
      <c r="D401" s="1">
        <f>IFERROR(__xludf.DUMMYFUNCTION("""COMPUTED_VALUE"""),85.9)</f>
        <v>85.9</v>
      </c>
      <c r="E401" s="1">
        <f>IFERROR(__xludf.DUMMYFUNCTION("""COMPUTED_VALUE"""),86.2)</f>
        <v>86.2</v>
      </c>
      <c r="F401" s="1">
        <f>IFERROR(__xludf.DUMMYFUNCTION("""COMPUTED_VALUE"""),2.7194375E7)</f>
        <v>27194375</v>
      </c>
    </row>
    <row r="402">
      <c r="A402" s="2">
        <f>IFERROR(__xludf.DUMMYFUNCTION("""COMPUTED_VALUE"""),44932.66666666667)</f>
        <v>44932.66667</v>
      </c>
      <c r="B402" s="1">
        <f>IFERROR(__xludf.DUMMYFUNCTION("""COMPUTED_VALUE"""),86.79)</f>
        <v>86.79</v>
      </c>
      <c r="C402" s="1">
        <f>IFERROR(__xludf.DUMMYFUNCTION("""COMPUTED_VALUE"""),87.69)</f>
        <v>87.69</v>
      </c>
      <c r="D402" s="1">
        <f>IFERROR(__xludf.DUMMYFUNCTION("""COMPUTED_VALUE"""),84.86)</f>
        <v>84.86</v>
      </c>
      <c r="E402" s="1">
        <f>IFERROR(__xludf.DUMMYFUNCTION("""COMPUTED_VALUE"""),87.34)</f>
        <v>87.34</v>
      </c>
      <c r="F402" s="1">
        <f>IFERROR(__xludf.DUMMYFUNCTION("""COMPUTED_VALUE"""),4.1381495E7)</f>
        <v>41381495</v>
      </c>
    </row>
    <row r="403">
      <c r="A403" s="2">
        <f>IFERROR(__xludf.DUMMYFUNCTION("""COMPUTED_VALUE"""),44935.66666666667)</f>
        <v>44935.66667</v>
      </c>
      <c r="B403" s="1">
        <f>IFERROR(__xludf.DUMMYFUNCTION("""COMPUTED_VALUE"""),88.36)</f>
        <v>88.36</v>
      </c>
      <c r="C403" s="1">
        <f>IFERROR(__xludf.DUMMYFUNCTION("""COMPUTED_VALUE"""),90.05)</f>
        <v>90.05</v>
      </c>
      <c r="D403" s="1">
        <f>IFERROR(__xludf.DUMMYFUNCTION("""COMPUTED_VALUE"""),87.86)</f>
        <v>87.86</v>
      </c>
      <c r="E403" s="1">
        <f>IFERROR(__xludf.DUMMYFUNCTION("""COMPUTED_VALUE"""),88.02)</f>
        <v>88.02</v>
      </c>
      <c r="F403" s="1">
        <f>IFERROR(__xludf.DUMMYFUNCTION("""COMPUTED_VALUE"""),2.9003901E7)</f>
        <v>29003901</v>
      </c>
    </row>
    <row r="404">
      <c r="A404" s="2">
        <f>IFERROR(__xludf.DUMMYFUNCTION("""COMPUTED_VALUE"""),44936.66666666667)</f>
        <v>44936.66667</v>
      </c>
      <c r="B404" s="1">
        <f>IFERROR(__xludf.DUMMYFUNCTION("""COMPUTED_VALUE"""),85.98)</f>
        <v>85.98</v>
      </c>
      <c r="C404" s="1">
        <f>IFERROR(__xludf.DUMMYFUNCTION("""COMPUTED_VALUE"""),88.67)</f>
        <v>88.67</v>
      </c>
      <c r="D404" s="1">
        <f>IFERROR(__xludf.DUMMYFUNCTION("""COMPUTED_VALUE"""),85.83)</f>
        <v>85.83</v>
      </c>
      <c r="E404" s="1">
        <f>IFERROR(__xludf.DUMMYFUNCTION("""COMPUTED_VALUE"""),88.42)</f>
        <v>88.42</v>
      </c>
      <c r="F404" s="1">
        <f>IFERROR(__xludf.DUMMYFUNCTION("""COMPUTED_VALUE"""),3.0467755E7)</f>
        <v>30467755</v>
      </c>
    </row>
    <row r="405">
      <c r="A405" s="2">
        <f>IFERROR(__xludf.DUMMYFUNCTION("""COMPUTED_VALUE"""),44937.66666666667)</f>
        <v>44937.66667</v>
      </c>
      <c r="B405" s="1">
        <f>IFERROR(__xludf.DUMMYFUNCTION("""COMPUTED_VALUE"""),89.18)</f>
        <v>89.18</v>
      </c>
      <c r="C405" s="1">
        <f>IFERROR(__xludf.DUMMYFUNCTION("""COMPUTED_VALUE"""),91.6)</f>
        <v>91.6</v>
      </c>
      <c r="D405" s="1">
        <f>IFERROR(__xludf.DUMMYFUNCTION("""COMPUTED_VALUE"""),89.01)</f>
        <v>89.01</v>
      </c>
      <c r="E405" s="1">
        <f>IFERROR(__xludf.DUMMYFUNCTION("""COMPUTED_VALUE"""),91.52)</f>
        <v>91.52</v>
      </c>
      <c r="F405" s="1">
        <f>IFERROR(__xludf.DUMMYFUNCTION("""COMPUTED_VALUE"""),2.6861969E7)</f>
        <v>26861969</v>
      </c>
    </row>
    <row r="406">
      <c r="A406" s="2">
        <f>IFERROR(__xludf.DUMMYFUNCTION("""COMPUTED_VALUE"""),44938.66666666667)</f>
        <v>44938.66667</v>
      </c>
      <c r="B406" s="1">
        <f>IFERROR(__xludf.DUMMYFUNCTION("""COMPUTED_VALUE"""),91.48)</f>
        <v>91.48</v>
      </c>
      <c r="C406" s="1">
        <f>IFERROR(__xludf.DUMMYFUNCTION("""COMPUTED_VALUE"""),91.87)</f>
        <v>91.87</v>
      </c>
      <c r="D406" s="1">
        <f>IFERROR(__xludf.DUMMYFUNCTION("""COMPUTED_VALUE"""),89.75)</f>
        <v>89.75</v>
      </c>
      <c r="E406" s="1">
        <f>IFERROR(__xludf.DUMMYFUNCTION("""COMPUTED_VALUE"""),91.13)</f>
        <v>91.13</v>
      </c>
      <c r="F406" s="1">
        <f>IFERROR(__xludf.DUMMYFUNCTION("""COMPUTED_VALUE"""),3.0258135E7)</f>
        <v>30258135</v>
      </c>
    </row>
    <row r="407">
      <c r="A407" s="2">
        <f>IFERROR(__xludf.DUMMYFUNCTION("""COMPUTED_VALUE"""),44939.66666666667)</f>
        <v>44939.66667</v>
      </c>
      <c r="B407" s="1">
        <f>IFERROR(__xludf.DUMMYFUNCTION("""COMPUTED_VALUE"""),90.85)</f>
        <v>90.85</v>
      </c>
      <c r="C407" s="1">
        <f>IFERROR(__xludf.DUMMYFUNCTION("""COMPUTED_VALUE"""),92.19)</f>
        <v>92.19</v>
      </c>
      <c r="D407" s="1">
        <f>IFERROR(__xludf.DUMMYFUNCTION("""COMPUTED_VALUE"""),90.13)</f>
        <v>90.13</v>
      </c>
      <c r="E407" s="1">
        <f>IFERROR(__xludf.DUMMYFUNCTION("""COMPUTED_VALUE"""),92.12)</f>
        <v>92.12</v>
      </c>
      <c r="F407" s="1">
        <f>IFERROR(__xludf.DUMMYFUNCTION("""COMPUTED_VALUE"""),2.6329212E7)</f>
        <v>26329212</v>
      </c>
    </row>
    <row r="408">
      <c r="A408" s="2">
        <f>IFERROR(__xludf.DUMMYFUNCTION("""COMPUTED_VALUE"""),44943.66666666667)</f>
        <v>44943.66667</v>
      </c>
      <c r="B408" s="1">
        <f>IFERROR(__xludf.DUMMYFUNCTION("""COMPUTED_VALUE"""),92.06)</f>
        <v>92.06</v>
      </c>
      <c r="C408" s="1">
        <f>IFERROR(__xludf.DUMMYFUNCTION("""COMPUTED_VALUE"""),92.25)</f>
        <v>92.25</v>
      </c>
      <c r="D408" s="1">
        <f>IFERROR(__xludf.DUMMYFUNCTION("""COMPUTED_VALUE"""),90.05)</f>
        <v>90.05</v>
      </c>
      <c r="E408" s="1">
        <f>IFERROR(__xludf.DUMMYFUNCTION("""COMPUTED_VALUE"""),91.29)</f>
        <v>91.29</v>
      </c>
      <c r="F408" s="1">
        <f>IFERROR(__xludf.DUMMYFUNCTION("""COMPUTED_VALUE"""),3.2602423E7)</f>
        <v>32602423</v>
      </c>
    </row>
    <row r="409">
      <c r="A409" s="2">
        <f>IFERROR(__xludf.DUMMYFUNCTION("""COMPUTED_VALUE"""),44944.66666666667)</f>
        <v>44944.66667</v>
      </c>
      <c r="B409" s="1">
        <f>IFERROR(__xludf.DUMMYFUNCTION("""COMPUTED_VALUE"""),92.14)</f>
        <v>92.14</v>
      </c>
      <c r="C409" s="1">
        <f>IFERROR(__xludf.DUMMYFUNCTION("""COMPUTED_VALUE"""),92.8)</f>
        <v>92.8</v>
      </c>
      <c r="D409" s="1">
        <f>IFERROR(__xludf.DUMMYFUNCTION("""COMPUTED_VALUE"""),90.64)</f>
        <v>90.64</v>
      </c>
      <c r="E409" s="1">
        <f>IFERROR(__xludf.DUMMYFUNCTION("""COMPUTED_VALUE"""),91.12)</f>
        <v>91.12</v>
      </c>
      <c r="F409" s="1">
        <f>IFERROR(__xludf.DUMMYFUNCTION("""COMPUTED_VALUE"""),2.9116691E7)</f>
        <v>29116691</v>
      </c>
    </row>
    <row r="410">
      <c r="A410" s="2">
        <f>IFERROR(__xludf.DUMMYFUNCTION("""COMPUTED_VALUE"""),44945.66666666667)</f>
        <v>44945.66667</v>
      </c>
      <c r="B410" s="1">
        <f>IFERROR(__xludf.DUMMYFUNCTION("""COMPUTED_VALUE"""),90.72)</f>
        <v>90.72</v>
      </c>
      <c r="C410" s="1">
        <f>IFERROR(__xludf.DUMMYFUNCTION("""COMPUTED_VALUE"""),93.61)</f>
        <v>93.61</v>
      </c>
      <c r="D410" s="1">
        <f>IFERROR(__xludf.DUMMYFUNCTION("""COMPUTED_VALUE"""),90.63)</f>
        <v>90.63</v>
      </c>
      <c r="E410" s="1">
        <f>IFERROR(__xludf.DUMMYFUNCTION("""COMPUTED_VALUE"""),93.05)</f>
        <v>93.05</v>
      </c>
      <c r="F410" s="1">
        <f>IFERROR(__xludf.DUMMYFUNCTION("""COMPUTED_VALUE"""),3.7000395E7)</f>
        <v>37000395</v>
      </c>
    </row>
    <row r="411">
      <c r="A411" s="2">
        <f>IFERROR(__xludf.DUMMYFUNCTION("""COMPUTED_VALUE"""),44946.66666666667)</f>
        <v>44946.66667</v>
      </c>
      <c r="B411" s="1">
        <f>IFERROR(__xludf.DUMMYFUNCTION("""COMPUTED_VALUE"""),95.1)</f>
        <v>95.1</v>
      </c>
      <c r="C411" s="1">
        <f>IFERROR(__xludf.DUMMYFUNCTION("""COMPUTED_VALUE"""),98.3)</f>
        <v>98.3</v>
      </c>
      <c r="D411" s="1">
        <f>IFERROR(__xludf.DUMMYFUNCTION("""COMPUTED_VALUE"""),95.02)</f>
        <v>95.02</v>
      </c>
      <c r="E411" s="1">
        <f>IFERROR(__xludf.DUMMYFUNCTION("""COMPUTED_VALUE"""),98.02)</f>
        <v>98.02</v>
      </c>
      <c r="F411" s="1">
        <f>IFERROR(__xludf.DUMMYFUNCTION("""COMPUTED_VALUE"""),6.3191078E7)</f>
        <v>63191078</v>
      </c>
    </row>
    <row r="412">
      <c r="A412" s="2">
        <f>IFERROR(__xludf.DUMMYFUNCTION("""COMPUTED_VALUE"""),44949.66666666667)</f>
        <v>44949.66667</v>
      </c>
      <c r="B412" s="1">
        <f>IFERROR(__xludf.DUMMYFUNCTION("""COMPUTED_VALUE"""),97.95)</f>
        <v>97.95</v>
      </c>
      <c r="C412" s="1">
        <f>IFERROR(__xludf.DUMMYFUNCTION("""COMPUTED_VALUE"""),100.04)</f>
        <v>100.04</v>
      </c>
      <c r="D412" s="1">
        <f>IFERROR(__xludf.DUMMYFUNCTION("""COMPUTED_VALUE"""),97.5)</f>
        <v>97.5</v>
      </c>
      <c r="E412" s="1">
        <f>IFERROR(__xludf.DUMMYFUNCTION("""COMPUTED_VALUE"""),99.79)</f>
        <v>99.79</v>
      </c>
      <c r="F412" s="1">
        <f>IFERROR(__xludf.DUMMYFUNCTION("""COMPUTED_VALUE"""),4.0005055E7)</f>
        <v>40005055</v>
      </c>
    </row>
    <row r="413">
      <c r="A413" s="2">
        <f>IFERROR(__xludf.DUMMYFUNCTION("""COMPUTED_VALUE"""),44950.66666666667)</f>
        <v>44950.66667</v>
      </c>
      <c r="B413" s="1">
        <f>IFERROR(__xludf.DUMMYFUNCTION("""COMPUTED_VALUE"""),98.1)</f>
        <v>98.1</v>
      </c>
      <c r="C413" s="1">
        <f>IFERROR(__xludf.DUMMYFUNCTION("""COMPUTED_VALUE"""),99.61)</f>
        <v>99.61</v>
      </c>
      <c r="D413" s="1">
        <f>IFERROR(__xludf.DUMMYFUNCTION("""COMPUTED_VALUE"""),97.2)</f>
        <v>97.2</v>
      </c>
      <c r="E413" s="1">
        <f>IFERROR(__xludf.DUMMYFUNCTION("""COMPUTED_VALUE"""),97.7)</f>
        <v>97.7</v>
      </c>
      <c r="F413" s="1">
        <f>IFERROR(__xludf.DUMMYFUNCTION("""COMPUTED_VALUE"""),3.3078512E7)</f>
        <v>33078512</v>
      </c>
    </row>
    <row r="414">
      <c r="A414" s="2">
        <f>IFERROR(__xludf.DUMMYFUNCTION("""COMPUTED_VALUE"""),44951.66666666667)</f>
        <v>44951.66667</v>
      </c>
      <c r="B414" s="1">
        <f>IFERROR(__xludf.DUMMYFUNCTION("""COMPUTED_VALUE"""),95.57)</f>
        <v>95.57</v>
      </c>
      <c r="C414" s="1">
        <f>IFERROR(__xludf.DUMMYFUNCTION("""COMPUTED_VALUE"""),96.16)</f>
        <v>96.16</v>
      </c>
      <c r="D414" s="1">
        <f>IFERROR(__xludf.DUMMYFUNCTION("""COMPUTED_VALUE"""),93.76)</f>
        <v>93.76</v>
      </c>
      <c r="E414" s="1">
        <f>IFERROR(__xludf.DUMMYFUNCTION("""COMPUTED_VALUE"""),95.22)</f>
        <v>95.22</v>
      </c>
      <c r="F414" s="1">
        <f>IFERROR(__xludf.DUMMYFUNCTION("""COMPUTED_VALUE"""),4.2329952E7)</f>
        <v>42329952</v>
      </c>
    </row>
    <row r="415">
      <c r="A415" s="2">
        <f>IFERROR(__xludf.DUMMYFUNCTION("""COMPUTED_VALUE"""),44952.66666666667)</f>
        <v>44952.66667</v>
      </c>
      <c r="B415" s="1">
        <f>IFERROR(__xludf.DUMMYFUNCTION("""COMPUTED_VALUE"""),96.5)</f>
        <v>96.5</v>
      </c>
      <c r="C415" s="1">
        <f>IFERROR(__xludf.DUMMYFUNCTION("""COMPUTED_VALUE"""),97.57)</f>
        <v>97.57</v>
      </c>
      <c r="D415" s="1">
        <f>IFERROR(__xludf.DUMMYFUNCTION("""COMPUTED_VALUE"""),95.38)</f>
        <v>95.38</v>
      </c>
      <c r="E415" s="1">
        <f>IFERROR(__xludf.DUMMYFUNCTION("""COMPUTED_VALUE"""),97.52)</f>
        <v>97.52</v>
      </c>
      <c r="F415" s="1">
        <f>IFERROR(__xludf.DUMMYFUNCTION("""COMPUTED_VALUE"""),3.0113974E7)</f>
        <v>30113974</v>
      </c>
    </row>
    <row r="416">
      <c r="A416" s="2">
        <f>IFERROR(__xludf.DUMMYFUNCTION("""COMPUTED_VALUE"""),44953.66666666667)</f>
        <v>44953.66667</v>
      </c>
      <c r="B416" s="1">
        <f>IFERROR(__xludf.DUMMYFUNCTION("""COMPUTED_VALUE"""),97.31)</f>
        <v>97.31</v>
      </c>
      <c r="C416" s="1">
        <f>IFERROR(__xludf.DUMMYFUNCTION("""COMPUTED_VALUE"""),100.32)</f>
        <v>100.32</v>
      </c>
      <c r="D416" s="1">
        <f>IFERROR(__xludf.DUMMYFUNCTION("""COMPUTED_VALUE"""),97.31)</f>
        <v>97.31</v>
      </c>
      <c r="E416" s="1">
        <f>IFERROR(__xludf.DUMMYFUNCTION("""COMPUTED_VALUE"""),99.37)</f>
        <v>99.37</v>
      </c>
      <c r="F416" s="1">
        <f>IFERROR(__xludf.DUMMYFUNCTION("""COMPUTED_VALUE"""),3.3879753E7)</f>
        <v>33879753</v>
      </c>
    </row>
    <row r="417">
      <c r="A417" s="2">
        <f>IFERROR(__xludf.DUMMYFUNCTION("""COMPUTED_VALUE"""),44956.66666666667)</f>
        <v>44956.66667</v>
      </c>
      <c r="B417" s="1">
        <f>IFERROR(__xludf.DUMMYFUNCTION("""COMPUTED_VALUE"""),97.48)</f>
        <v>97.48</v>
      </c>
      <c r="C417" s="1">
        <f>IFERROR(__xludf.DUMMYFUNCTION("""COMPUTED_VALUE"""),98.29)</f>
        <v>98.29</v>
      </c>
      <c r="D417" s="1">
        <f>IFERROR(__xludf.DUMMYFUNCTION("""COMPUTED_VALUE"""),96.4)</f>
        <v>96.4</v>
      </c>
      <c r="E417" s="1">
        <f>IFERROR(__xludf.DUMMYFUNCTION("""COMPUTED_VALUE"""),96.94)</f>
        <v>96.94</v>
      </c>
      <c r="F417" s="1">
        <f>IFERROR(__xludf.DUMMYFUNCTION("""COMPUTED_VALUE"""),2.7226198E7)</f>
        <v>27226198</v>
      </c>
    </row>
    <row r="418">
      <c r="A418" s="2">
        <f>IFERROR(__xludf.DUMMYFUNCTION("""COMPUTED_VALUE"""),44957.66666666667)</f>
        <v>44957.66667</v>
      </c>
      <c r="B418" s="1">
        <f>IFERROR(__xludf.DUMMYFUNCTION("""COMPUTED_VALUE"""),96.87)</f>
        <v>96.87</v>
      </c>
      <c r="C418" s="1">
        <f>IFERROR(__xludf.DUMMYFUNCTION("""COMPUTED_VALUE"""),98.88)</f>
        <v>98.88</v>
      </c>
      <c r="D418" s="1">
        <f>IFERROR(__xludf.DUMMYFUNCTION("""COMPUTED_VALUE"""),96.82)</f>
        <v>96.82</v>
      </c>
      <c r="E418" s="1">
        <f>IFERROR(__xludf.DUMMYFUNCTION("""COMPUTED_VALUE"""),98.84)</f>
        <v>98.84</v>
      </c>
      <c r="F418" s="1">
        <f>IFERROR(__xludf.DUMMYFUNCTION("""COMPUTED_VALUE"""),2.9870669E7)</f>
        <v>29870669</v>
      </c>
    </row>
    <row r="419">
      <c r="A419" s="2">
        <f>IFERROR(__xludf.DUMMYFUNCTION("""COMPUTED_VALUE"""),44958.66666666667)</f>
        <v>44958.66667</v>
      </c>
      <c r="B419" s="1">
        <f>IFERROR(__xludf.DUMMYFUNCTION("""COMPUTED_VALUE"""),98.71)</f>
        <v>98.71</v>
      </c>
      <c r="C419" s="1">
        <f>IFERROR(__xludf.DUMMYFUNCTION("""COMPUTED_VALUE"""),101.19)</f>
        <v>101.19</v>
      </c>
      <c r="D419" s="1">
        <f>IFERROR(__xludf.DUMMYFUNCTION("""COMPUTED_VALUE"""),97.58)</f>
        <v>97.58</v>
      </c>
      <c r="E419" s="1">
        <f>IFERROR(__xludf.DUMMYFUNCTION("""COMPUTED_VALUE"""),100.43)</f>
        <v>100.43</v>
      </c>
      <c r="F419" s="1">
        <f>IFERROR(__xludf.DUMMYFUNCTION("""COMPUTED_VALUE"""),3.5531104E7)</f>
        <v>35531104</v>
      </c>
    </row>
    <row r="420">
      <c r="A420" s="2">
        <f>IFERROR(__xludf.DUMMYFUNCTION("""COMPUTED_VALUE"""),44959.66666666667)</f>
        <v>44959.66667</v>
      </c>
      <c r="B420" s="1">
        <f>IFERROR(__xludf.DUMMYFUNCTION("""COMPUTED_VALUE"""),105.8)</f>
        <v>105.8</v>
      </c>
      <c r="C420" s="1">
        <f>IFERROR(__xludf.DUMMYFUNCTION("""COMPUTED_VALUE"""),107.85)</f>
        <v>107.85</v>
      </c>
      <c r="D420" s="1">
        <f>IFERROR(__xludf.DUMMYFUNCTION("""COMPUTED_VALUE"""),105.61)</f>
        <v>105.61</v>
      </c>
      <c r="E420" s="1">
        <f>IFERROR(__xludf.DUMMYFUNCTION("""COMPUTED_VALUE"""),107.74)</f>
        <v>107.74</v>
      </c>
      <c r="F420" s="1">
        <f>IFERROR(__xludf.DUMMYFUNCTION("""COMPUTED_VALUE"""),6.9883762E7)</f>
        <v>69883762</v>
      </c>
    </row>
    <row r="421">
      <c r="A421" s="2">
        <f>IFERROR(__xludf.DUMMYFUNCTION("""COMPUTED_VALUE"""),44960.66666666667)</f>
        <v>44960.66667</v>
      </c>
      <c r="B421" s="1">
        <f>IFERROR(__xludf.DUMMYFUNCTION("""COMPUTED_VALUE"""),102.93)</f>
        <v>102.93</v>
      </c>
      <c r="C421" s="1">
        <f>IFERROR(__xludf.DUMMYFUNCTION("""COMPUTED_VALUE"""),107.81)</f>
        <v>107.81</v>
      </c>
      <c r="D421" s="1">
        <f>IFERROR(__xludf.DUMMYFUNCTION("""COMPUTED_VALUE"""),102.58)</f>
        <v>102.58</v>
      </c>
      <c r="E421" s="1">
        <f>IFERROR(__xludf.DUMMYFUNCTION("""COMPUTED_VALUE"""),104.78)</f>
        <v>104.78</v>
      </c>
      <c r="F421" s="1">
        <f>IFERROR(__xludf.DUMMYFUNCTION("""COMPUTED_VALUE"""),6.5309261E7)</f>
        <v>65309261</v>
      </c>
    </row>
    <row r="422">
      <c r="A422" s="2">
        <f>IFERROR(__xludf.DUMMYFUNCTION("""COMPUTED_VALUE"""),44963.66666666667)</f>
        <v>44963.66667</v>
      </c>
      <c r="B422" s="1">
        <f>IFERROR(__xludf.DUMMYFUNCTION("""COMPUTED_VALUE"""),102.4)</f>
        <v>102.4</v>
      </c>
      <c r="C422" s="1">
        <f>IFERROR(__xludf.DUMMYFUNCTION("""COMPUTED_VALUE"""),104.36)</f>
        <v>104.36</v>
      </c>
      <c r="D422" s="1">
        <f>IFERROR(__xludf.DUMMYFUNCTION("""COMPUTED_VALUE"""),101.88)</f>
        <v>101.88</v>
      </c>
      <c r="E422" s="1">
        <f>IFERROR(__xludf.DUMMYFUNCTION("""COMPUTED_VALUE"""),102.9)</f>
        <v>102.9</v>
      </c>
      <c r="F422" s="1">
        <f>IFERROR(__xludf.DUMMYFUNCTION("""COMPUTED_VALUE"""),3.1999562E7)</f>
        <v>31999562</v>
      </c>
    </row>
    <row r="423">
      <c r="A423" s="2">
        <f>IFERROR(__xludf.DUMMYFUNCTION("""COMPUTED_VALUE"""),44964.66666666667)</f>
        <v>44964.66667</v>
      </c>
      <c r="B423" s="1">
        <f>IFERROR(__xludf.DUMMYFUNCTION("""COMPUTED_VALUE"""),103.22)</f>
        <v>103.22</v>
      </c>
      <c r="C423" s="1">
        <f>IFERROR(__xludf.DUMMYFUNCTION("""COMPUTED_VALUE"""),108.18)</f>
        <v>108.18</v>
      </c>
      <c r="D423" s="1">
        <f>IFERROR(__xludf.DUMMYFUNCTION("""COMPUTED_VALUE"""),103.12)</f>
        <v>103.12</v>
      </c>
      <c r="E423" s="1">
        <f>IFERROR(__xludf.DUMMYFUNCTION("""COMPUTED_VALUE"""),107.64)</f>
        <v>107.64</v>
      </c>
      <c r="F423" s="1">
        <f>IFERROR(__xludf.DUMMYFUNCTION("""COMPUTED_VALUE"""),4.901023E7)</f>
        <v>49010230</v>
      </c>
    </row>
    <row r="424">
      <c r="A424" s="2">
        <f>IFERROR(__xludf.DUMMYFUNCTION("""COMPUTED_VALUE"""),44965.66666666667)</f>
        <v>44965.66667</v>
      </c>
      <c r="B424" s="1">
        <f>IFERROR(__xludf.DUMMYFUNCTION("""COMPUTED_VALUE"""),102.05)</f>
        <v>102.05</v>
      </c>
      <c r="C424" s="1">
        <f>IFERROR(__xludf.DUMMYFUNCTION("""COMPUTED_VALUE"""),103.14)</f>
        <v>103.14</v>
      </c>
      <c r="D424" s="1">
        <f>IFERROR(__xludf.DUMMYFUNCTION("""COMPUTED_VALUE"""),98.04)</f>
        <v>98.04</v>
      </c>
      <c r="E424" s="1">
        <f>IFERROR(__xludf.DUMMYFUNCTION("""COMPUTED_VALUE"""),99.37)</f>
        <v>99.37</v>
      </c>
      <c r="F424" s="1">
        <f>IFERROR(__xludf.DUMMYFUNCTION("""COMPUTED_VALUE"""),9.4743515E7)</f>
        <v>94743515</v>
      </c>
    </row>
    <row r="425">
      <c r="A425" s="2">
        <f>IFERROR(__xludf.DUMMYFUNCTION("""COMPUTED_VALUE"""),44966.66666666667)</f>
        <v>44966.66667</v>
      </c>
      <c r="B425" s="1">
        <f>IFERROR(__xludf.DUMMYFUNCTION("""COMPUTED_VALUE"""),100.0)</f>
        <v>100</v>
      </c>
      <c r="C425" s="1">
        <f>IFERROR(__xludf.DUMMYFUNCTION("""COMPUTED_VALUE"""),100.03)</f>
        <v>100.03</v>
      </c>
      <c r="D425" s="1">
        <f>IFERROR(__xludf.DUMMYFUNCTION("""COMPUTED_VALUE"""),93.63)</f>
        <v>93.63</v>
      </c>
      <c r="E425" s="1">
        <f>IFERROR(__xludf.DUMMYFUNCTION("""COMPUTED_VALUE"""),95.01)</f>
        <v>95.01</v>
      </c>
      <c r="F425" s="1">
        <f>IFERROR(__xludf.DUMMYFUNCTION("""COMPUTED_VALUE"""),1.1945502E8)</f>
        <v>119455020</v>
      </c>
    </row>
    <row r="426">
      <c r="A426" s="2">
        <f>IFERROR(__xludf.DUMMYFUNCTION("""COMPUTED_VALUE"""),44967.66666666667)</f>
        <v>44967.66667</v>
      </c>
      <c r="B426" s="1">
        <f>IFERROR(__xludf.DUMMYFUNCTION("""COMPUTED_VALUE"""),95.45)</f>
        <v>95.45</v>
      </c>
      <c r="C426" s="1">
        <f>IFERROR(__xludf.DUMMYFUNCTION("""COMPUTED_VALUE"""),96.75)</f>
        <v>96.75</v>
      </c>
      <c r="D426" s="1">
        <f>IFERROR(__xludf.DUMMYFUNCTION("""COMPUTED_VALUE"""),94.25)</f>
        <v>94.25</v>
      </c>
      <c r="E426" s="1">
        <f>IFERROR(__xludf.DUMMYFUNCTION("""COMPUTED_VALUE"""),94.57)</f>
        <v>94.57</v>
      </c>
      <c r="F426" s="1">
        <f>IFERROR(__xludf.DUMMYFUNCTION("""COMPUTED_VALUE"""),5.4980696E7)</f>
        <v>54980696</v>
      </c>
    </row>
    <row r="427">
      <c r="A427" s="2">
        <f>IFERROR(__xludf.DUMMYFUNCTION("""COMPUTED_VALUE"""),44970.66666666667)</f>
        <v>44970.66667</v>
      </c>
      <c r="B427" s="1">
        <f>IFERROR(__xludf.DUMMYFUNCTION("""COMPUTED_VALUE"""),94.74)</f>
        <v>94.74</v>
      </c>
      <c r="C427" s="1">
        <f>IFERROR(__xludf.DUMMYFUNCTION("""COMPUTED_VALUE"""),95.2)</f>
        <v>95.2</v>
      </c>
      <c r="D427" s="1">
        <f>IFERROR(__xludf.DUMMYFUNCTION("""COMPUTED_VALUE"""),93.84)</f>
        <v>93.84</v>
      </c>
      <c r="E427" s="1">
        <f>IFERROR(__xludf.DUMMYFUNCTION("""COMPUTED_VALUE"""),94.61)</f>
        <v>94.61</v>
      </c>
      <c r="F427" s="1">
        <f>IFERROR(__xludf.DUMMYFUNCTION("""COMPUTED_VALUE"""),5.007612E7)</f>
        <v>50076120</v>
      </c>
    </row>
    <row r="428">
      <c r="A428" s="2">
        <f>IFERROR(__xludf.DUMMYFUNCTION("""COMPUTED_VALUE"""),44971.66666666667)</f>
        <v>44971.66667</v>
      </c>
      <c r="B428" s="1">
        <f>IFERROR(__xludf.DUMMYFUNCTION("""COMPUTED_VALUE"""),94.43)</f>
        <v>94.43</v>
      </c>
      <c r="C428" s="1">
        <f>IFERROR(__xludf.DUMMYFUNCTION("""COMPUTED_VALUE"""),94.85)</f>
        <v>94.85</v>
      </c>
      <c r="D428" s="1">
        <f>IFERROR(__xludf.DUMMYFUNCTION("""COMPUTED_VALUE"""),92.26)</f>
        <v>92.26</v>
      </c>
      <c r="E428" s="1">
        <f>IFERROR(__xludf.DUMMYFUNCTION("""COMPUTED_VALUE"""),94.68)</f>
        <v>94.68</v>
      </c>
      <c r="F428" s="1">
        <f>IFERROR(__xludf.DUMMYFUNCTION("""COMPUTED_VALUE"""),5.472612E7)</f>
        <v>54726120</v>
      </c>
    </row>
    <row r="429">
      <c r="A429" s="2">
        <f>IFERROR(__xludf.DUMMYFUNCTION("""COMPUTED_VALUE"""),44972.66666666667)</f>
        <v>44972.66667</v>
      </c>
      <c r="B429" s="1">
        <f>IFERROR(__xludf.DUMMYFUNCTION("""COMPUTED_VALUE"""),94.49)</f>
        <v>94.49</v>
      </c>
      <c r="C429" s="1">
        <f>IFERROR(__xludf.DUMMYFUNCTION("""COMPUTED_VALUE"""),97.12)</f>
        <v>97.12</v>
      </c>
      <c r="D429" s="1">
        <f>IFERROR(__xludf.DUMMYFUNCTION("""COMPUTED_VALUE"""),94.15)</f>
        <v>94.15</v>
      </c>
      <c r="E429" s="1">
        <f>IFERROR(__xludf.DUMMYFUNCTION("""COMPUTED_VALUE"""),96.94)</f>
        <v>96.94</v>
      </c>
      <c r="F429" s="1">
        <f>IFERROR(__xludf.DUMMYFUNCTION("""COMPUTED_VALUE"""),5.0298481E7)</f>
        <v>50298481</v>
      </c>
    </row>
    <row r="430">
      <c r="A430" s="2">
        <f>IFERROR(__xludf.DUMMYFUNCTION("""COMPUTED_VALUE"""),44973.66666666667)</f>
        <v>44973.66667</v>
      </c>
      <c r="B430" s="1">
        <f>IFERROR(__xludf.DUMMYFUNCTION("""COMPUTED_VALUE"""),95.37)</f>
        <v>95.37</v>
      </c>
      <c r="C430" s="1">
        <f>IFERROR(__xludf.DUMMYFUNCTION("""COMPUTED_VALUE"""),97.68)</f>
        <v>97.68</v>
      </c>
      <c r="D430" s="1">
        <f>IFERROR(__xludf.DUMMYFUNCTION("""COMPUTED_VALUE"""),94.74)</f>
        <v>94.74</v>
      </c>
      <c r="E430" s="1">
        <f>IFERROR(__xludf.DUMMYFUNCTION("""COMPUTED_VALUE"""),95.51)</f>
        <v>95.51</v>
      </c>
      <c r="F430" s="1">
        <f>IFERROR(__xludf.DUMMYFUNCTION("""COMPUTED_VALUE"""),4.2462618E7)</f>
        <v>42462618</v>
      </c>
    </row>
    <row r="431">
      <c r="A431" s="2">
        <f>IFERROR(__xludf.DUMMYFUNCTION("""COMPUTED_VALUE"""),44974.66666666667)</f>
        <v>44974.66667</v>
      </c>
      <c r="B431" s="1">
        <f>IFERROR(__xludf.DUMMYFUNCTION("""COMPUTED_VALUE"""),94.85)</f>
        <v>94.85</v>
      </c>
      <c r="C431" s="1">
        <f>IFERROR(__xludf.DUMMYFUNCTION("""COMPUTED_VALUE"""),95.56)</f>
        <v>95.56</v>
      </c>
      <c r="D431" s="1">
        <f>IFERROR(__xludf.DUMMYFUNCTION("""COMPUTED_VALUE"""),93.21)</f>
        <v>93.21</v>
      </c>
      <c r="E431" s="1">
        <f>IFERROR(__xludf.DUMMYFUNCTION("""COMPUTED_VALUE"""),94.35)</f>
        <v>94.35</v>
      </c>
      <c r="F431" s="1">
        <f>IFERROR(__xludf.DUMMYFUNCTION("""COMPUTED_VALUE"""),3.4284118E7)</f>
        <v>34284118</v>
      </c>
    </row>
    <row r="432">
      <c r="A432" s="2">
        <f>IFERROR(__xludf.DUMMYFUNCTION("""COMPUTED_VALUE"""),44978.66666666667)</f>
        <v>44978.66667</v>
      </c>
      <c r="B432" s="1">
        <f>IFERROR(__xludf.DUMMYFUNCTION("""COMPUTED_VALUE"""),93.0)</f>
        <v>93</v>
      </c>
      <c r="C432" s="1">
        <f>IFERROR(__xludf.DUMMYFUNCTION("""COMPUTED_VALUE"""),93.1)</f>
        <v>93.1</v>
      </c>
      <c r="D432" s="1">
        <f>IFERROR(__xludf.DUMMYFUNCTION("""COMPUTED_VALUE"""),91.72)</f>
        <v>91.72</v>
      </c>
      <c r="E432" s="1">
        <f>IFERROR(__xludf.DUMMYFUNCTION("""COMPUTED_VALUE"""),91.79)</f>
        <v>91.79</v>
      </c>
      <c r="F432" s="1">
        <f>IFERROR(__xludf.DUMMYFUNCTION("""COMPUTED_VALUE"""),3.3629256E7)</f>
        <v>33629256</v>
      </c>
    </row>
    <row r="433">
      <c r="A433" s="2">
        <f>IFERROR(__xludf.DUMMYFUNCTION("""COMPUTED_VALUE"""),44979.66666666667)</f>
        <v>44979.66667</v>
      </c>
      <c r="B433" s="1">
        <f>IFERROR(__xludf.DUMMYFUNCTION("""COMPUTED_VALUE"""),91.7)</f>
        <v>91.7</v>
      </c>
      <c r="C433" s="1">
        <f>IFERROR(__xludf.DUMMYFUNCTION("""COMPUTED_VALUE"""),92.11)</f>
        <v>92.11</v>
      </c>
      <c r="D433" s="1">
        <f>IFERROR(__xludf.DUMMYFUNCTION("""COMPUTED_VALUE"""),90.61)</f>
        <v>90.61</v>
      </c>
      <c r="E433" s="1">
        <f>IFERROR(__xludf.DUMMYFUNCTION("""COMPUTED_VALUE"""),91.65)</f>
        <v>91.65</v>
      </c>
      <c r="F433" s="1">
        <f>IFERROR(__xludf.DUMMYFUNCTION("""COMPUTED_VALUE"""),3.0884017E7)</f>
        <v>30884017</v>
      </c>
    </row>
    <row r="434">
      <c r="A434" s="2">
        <f>IFERROR(__xludf.DUMMYFUNCTION("""COMPUTED_VALUE"""),44980.66666666667)</f>
        <v>44980.66667</v>
      </c>
      <c r="B434" s="1">
        <f>IFERROR(__xludf.DUMMYFUNCTION("""COMPUTED_VALUE"""),91.92)</f>
        <v>91.92</v>
      </c>
      <c r="C434" s="1">
        <f>IFERROR(__xludf.DUMMYFUNCTION("""COMPUTED_VALUE"""),91.94)</f>
        <v>91.94</v>
      </c>
      <c r="D434" s="1">
        <f>IFERROR(__xludf.DUMMYFUNCTION("""COMPUTED_VALUE"""),89.76)</f>
        <v>89.76</v>
      </c>
      <c r="E434" s="1">
        <f>IFERROR(__xludf.DUMMYFUNCTION("""COMPUTED_VALUE"""),90.89)</f>
        <v>90.89</v>
      </c>
      <c r="F434" s="1">
        <f>IFERROR(__xludf.DUMMYFUNCTION("""COMPUTED_VALUE"""),4.120638E7)</f>
        <v>41206380</v>
      </c>
    </row>
    <row r="435">
      <c r="A435" s="2">
        <f>IFERROR(__xludf.DUMMYFUNCTION("""COMPUTED_VALUE"""),44981.66666666667)</f>
        <v>44981.66667</v>
      </c>
      <c r="B435" s="1">
        <f>IFERROR(__xludf.DUMMYFUNCTION("""COMPUTED_VALUE"""),89.44)</f>
        <v>89.44</v>
      </c>
      <c r="C435" s="1">
        <f>IFERROR(__xludf.DUMMYFUNCTION("""COMPUTED_VALUE"""),89.89)</f>
        <v>89.89</v>
      </c>
      <c r="D435" s="1">
        <f>IFERROR(__xludf.DUMMYFUNCTION("""COMPUTED_VALUE"""),88.58)</f>
        <v>88.58</v>
      </c>
      <c r="E435" s="1">
        <f>IFERROR(__xludf.DUMMYFUNCTION("""COMPUTED_VALUE"""),89.13)</f>
        <v>89.13</v>
      </c>
      <c r="F435" s="1">
        <f>IFERROR(__xludf.DUMMYFUNCTION("""COMPUTED_VALUE"""),3.6585093E7)</f>
        <v>36585093</v>
      </c>
    </row>
    <row r="436">
      <c r="A436" s="2">
        <f>IFERROR(__xludf.DUMMYFUNCTION("""COMPUTED_VALUE"""),44984.66666666667)</f>
        <v>44984.66667</v>
      </c>
      <c r="B436" s="1">
        <f>IFERROR(__xludf.DUMMYFUNCTION("""COMPUTED_VALUE"""),89.87)</f>
        <v>89.87</v>
      </c>
      <c r="C436" s="1">
        <f>IFERROR(__xludf.DUMMYFUNCTION("""COMPUTED_VALUE"""),90.16)</f>
        <v>90.16</v>
      </c>
      <c r="D436" s="1">
        <f>IFERROR(__xludf.DUMMYFUNCTION("""COMPUTED_VALUE"""),89.34)</f>
        <v>89.34</v>
      </c>
      <c r="E436" s="1">
        <f>IFERROR(__xludf.DUMMYFUNCTION("""COMPUTED_VALUE"""),89.87)</f>
        <v>89.87</v>
      </c>
      <c r="F436" s="1">
        <f>IFERROR(__xludf.DUMMYFUNCTION("""COMPUTED_VALUE"""),2.7502302E7)</f>
        <v>27502302</v>
      </c>
    </row>
    <row r="437">
      <c r="A437" s="2">
        <f>IFERROR(__xludf.DUMMYFUNCTION("""COMPUTED_VALUE"""),44985.66666666667)</f>
        <v>44985.66667</v>
      </c>
      <c r="B437" s="1">
        <f>IFERROR(__xludf.DUMMYFUNCTION("""COMPUTED_VALUE"""),89.33)</f>
        <v>89.33</v>
      </c>
      <c r="C437" s="1">
        <f>IFERROR(__xludf.DUMMYFUNCTION("""COMPUTED_VALUE"""),91.23)</f>
        <v>91.23</v>
      </c>
      <c r="D437" s="1">
        <f>IFERROR(__xludf.DUMMYFUNCTION("""COMPUTED_VALUE"""),89.32)</f>
        <v>89.32</v>
      </c>
      <c r="E437" s="1">
        <f>IFERROR(__xludf.DUMMYFUNCTION("""COMPUTED_VALUE"""),90.06)</f>
        <v>90.06</v>
      </c>
      <c r="F437" s="1">
        <f>IFERROR(__xludf.DUMMYFUNCTION("""COMPUTED_VALUE"""),3.0142039E7)</f>
        <v>30142039</v>
      </c>
    </row>
    <row r="438">
      <c r="A438" s="2">
        <f>IFERROR(__xludf.DUMMYFUNCTION("""COMPUTED_VALUE"""),44986.66666666667)</f>
        <v>44986.66667</v>
      </c>
      <c r="B438" s="1">
        <f>IFERROR(__xludf.DUMMYFUNCTION("""COMPUTED_VALUE"""),89.98)</f>
        <v>89.98</v>
      </c>
      <c r="C438" s="1">
        <f>IFERROR(__xludf.DUMMYFUNCTION("""COMPUTED_VALUE"""),91.03)</f>
        <v>91.03</v>
      </c>
      <c r="D438" s="1">
        <f>IFERROR(__xludf.DUMMYFUNCTION("""COMPUTED_VALUE"""),89.67)</f>
        <v>89.67</v>
      </c>
      <c r="E438" s="1">
        <f>IFERROR(__xludf.DUMMYFUNCTION("""COMPUTED_VALUE"""),90.36)</f>
        <v>90.36</v>
      </c>
      <c r="F438" s="1">
        <f>IFERROR(__xludf.DUMMYFUNCTION("""COMPUTED_VALUE"""),3.1111225E7)</f>
        <v>31111225</v>
      </c>
    </row>
    <row r="439">
      <c r="A439" s="2">
        <f>IFERROR(__xludf.DUMMYFUNCTION("""COMPUTED_VALUE"""),44987.66666666667)</f>
        <v>44987.66667</v>
      </c>
      <c r="B439" s="1">
        <f>IFERROR(__xludf.DUMMYFUNCTION("""COMPUTED_VALUE"""),89.66)</f>
        <v>89.66</v>
      </c>
      <c r="C439" s="1">
        <f>IFERROR(__xludf.DUMMYFUNCTION("""COMPUTED_VALUE"""),92.28)</f>
        <v>92.28</v>
      </c>
      <c r="D439" s="1">
        <f>IFERROR(__xludf.DUMMYFUNCTION("""COMPUTED_VALUE"""),89.59)</f>
        <v>89.59</v>
      </c>
      <c r="E439" s="1">
        <f>IFERROR(__xludf.DUMMYFUNCTION("""COMPUTED_VALUE"""),92.0)</f>
        <v>92</v>
      </c>
      <c r="F439" s="1">
        <f>IFERROR(__xludf.DUMMYFUNCTION("""COMPUTED_VALUE"""),3.2226229E7)</f>
        <v>32226229</v>
      </c>
    </row>
    <row r="440">
      <c r="A440" s="2">
        <f>IFERROR(__xludf.DUMMYFUNCTION("""COMPUTED_VALUE"""),44988.66666666667)</f>
        <v>44988.66667</v>
      </c>
      <c r="B440" s="1">
        <f>IFERROR(__xludf.DUMMYFUNCTION("""COMPUTED_VALUE"""),92.48)</f>
        <v>92.48</v>
      </c>
      <c r="C440" s="1">
        <f>IFERROR(__xludf.DUMMYFUNCTION("""COMPUTED_VALUE"""),93.73)</f>
        <v>93.73</v>
      </c>
      <c r="D440" s="1">
        <f>IFERROR(__xludf.DUMMYFUNCTION("""COMPUTED_VALUE"""),92.45)</f>
        <v>92.45</v>
      </c>
      <c r="E440" s="1">
        <f>IFERROR(__xludf.DUMMYFUNCTION("""COMPUTED_VALUE"""),93.65)</f>
        <v>93.65</v>
      </c>
      <c r="F440" s="1">
        <f>IFERROR(__xludf.DUMMYFUNCTION("""COMPUTED_VALUE"""),3.5160105E7)</f>
        <v>35160105</v>
      </c>
    </row>
    <row r="441">
      <c r="A441" s="2">
        <f>IFERROR(__xludf.DUMMYFUNCTION("""COMPUTED_VALUE"""),44991.66666666667)</f>
        <v>44991.66667</v>
      </c>
      <c r="B441" s="1">
        <f>IFERROR(__xludf.DUMMYFUNCTION("""COMPUTED_VALUE"""),94.02)</f>
        <v>94.02</v>
      </c>
      <c r="C441" s="1">
        <f>IFERROR(__xludf.DUMMYFUNCTION("""COMPUTED_VALUE"""),95.97)</f>
        <v>95.97</v>
      </c>
      <c r="D441" s="1">
        <f>IFERROR(__xludf.DUMMYFUNCTION("""COMPUTED_VALUE"""),94.0)</f>
        <v>94</v>
      </c>
      <c r="E441" s="1">
        <f>IFERROR(__xludf.DUMMYFUNCTION("""COMPUTED_VALUE"""),95.13)</f>
        <v>95.13</v>
      </c>
      <c r="F441" s="1">
        <f>IFERROR(__xludf.DUMMYFUNCTION("""COMPUTED_VALUE"""),3.2639313E7)</f>
        <v>32639313</v>
      </c>
    </row>
    <row r="442">
      <c r="A442" s="2">
        <f>IFERROR(__xludf.DUMMYFUNCTION("""COMPUTED_VALUE"""),44992.66666666667)</f>
        <v>44992.66667</v>
      </c>
      <c r="B442" s="1">
        <f>IFERROR(__xludf.DUMMYFUNCTION("""COMPUTED_VALUE"""),94.98)</f>
        <v>94.98</v>
      </c>
      <c r="C442" s="1">
        <f>IFERROR(__xludf.DUMMYFUNCTION("""COMPUTED_VALUE"""),95.67)</f>
        <v>95.67</v>
      </c>
      <c r="D442" s="1">
        <f>IFERROR(__xludf.DUMMYFUNCTION("""COMPUTED_VALUE"""),93.53)</f>
        <v>93.53</v>
      </c>
      <c r="E442" s="1">
        <f>IFERROR(__xludf.DUMMYFUNCTION("""COMPUTED_VALUE"""),93.86)</f>
        <v>93.86</v>
      </c>
      <c r="F442" s="1">
        <f>IFERROR(__xludf.DUMMYFUNCTION("""COMPUTED_VALUE"""),2.7835476E7)</f>
        <v>27835476</v>
      </c>
    </row>
    <row r="443">
      <c r="A443" s="2">
        <f>IFERROR(__xludf.DUMMYFUNCTION("""COMPUTED_VALUE"""),44993.66666666667)</f>
        <v>44993.66667</v>
      </c>
      <c r="B443" s="1">
        <f>IFERROR(__xludf.DUMMYFUNCTION("""COMPUTED_VALUE"""),94.12)</f>
        <v>94.12</v>
      </c>
      <c r="C443" s="1">
        <f>IFERROR(__xludf.DUMMYFUNCTION("""COMPUTED_VALUE"""),95.96)</f>
        <v>95.96</v>
      </c>
      <c r="D443" s="1">
        <f>IFERROR(__xludf.DUMMYFUNCTION("""COMPUTED_VALUE"""),94.0)</f>
        <v>94</v>
      </c>
      <c r="E443" s="1">
        <f>IFERROR(__xludf.DUMMYFUNCTION("""COMPUTED_VALUE"""),94.25)</f>
        <v>94.25</v>
      </c>
      <c r="F443" s="1">
        <f>IFERROR(__xludf.DUMMYFUNCTION("""COMPUTED_VALUE"""),3.4103265E7)</f>
        <v>34103265</v>
      </c>
    </row>
    <row r="444">
      <c r="A444" s="2">
        <f>IFERROR(__xludf.DUMMYFUNCTION("""COMPUTED_VALUE"""),44994.66666666667)</f>
        <v>44994.66667</v>
      </c>
      <c r="B444" s="1">
        <f>IFERROR(__xludf.DUMMYFUNCTION("""COMPUTED_VALUE"""),94.05)</f>
        <v>94.05</v>
      </c>
      <c r="C444" s="1">
        <f>IFERROR(__xludf.DUMMYFUNCTION("""COMPUTED_VALUE"""),95.53)</f>
        <v>95.53</v>
      </c>
      <c r="D444" s="1">
        <f>IFERROR(__xludf.DUMMYFUNCTION("""COMPUTED_VALUE"""),91.9)</f>
        <v>91.9</v>
      </c>
      <c r="E444" s="1">
        <f>IFERROR(__xludf.DUMMYFUNCTION("""COMPUTED_VALUE"""),92.32)</f>
        <v>92.32</v>
      </c>
      <c r="F444" s="1">
        <f>IFERROR(__xludf.DUMMYFUNCTION("""COMPUTED_VALUE"""),2.8813532E7)</f>
        <v>28813532</v>
      </c>
    </row>
    <row r="445">
      <c r="A445" s="2">
        <f>IFERROR(__xludf.DUMMYFUNCTION("""COMPUTED_VALUE"""),44995.66666666667)</f>
        <v>44995.66667</v>
      </c>
      <c r="B445" s="1">
        <f>IFERROR(__xludf.DUMMYFUNCTION("""COMPUTED_VALUE"""),92.17)</f>
        <v>92.17</v>
      </c>
      <c r="C445" s="1">
        <f>IFERROR(__xludf.DUMMYFUNCTION("""COMPUTED_VALUE"""),92.79)</f>
        <v>92.79</v>
      </c>
      <c r="D445" s="1">
        <f>IFERROR(__xludf.DUMMYFUNCTION("""COMPUTED_VALUE"""),90.4)</f>
        <v>90.4</v>
      </c>
      <c r="E445" s="1">
        <f>IFERROR(__xludf.DUMMYFUNCTION("""COMPUTED_VALUE"""),90.63)</f>
        <v>90.63</v>
      </c>
      <c r="F445" s="1">
        <f>IFERROR(__xludf.DUMMYFUNCTION("""COMPUTED_VALUE"""),3.5941046E7)</f>
        <v>35941046</v>
      </c>
    </row>
    <row r="446">
      <c r="A446" s="2">
        <f>IFERROR(__xludf.DUMMYFUNCTION("""COMPUTED_VALUE"""),44998.66666666667)</f>
        <v>44998.66667</v>
      </c>
      <c r="B446" s="1">
        <f>IFERROR(__xludf.DUMMYFUNCTION("""COMPUTED_VALUE"""),90.09)</f>
        <v>90.09</v>
      </c>
      <c r="C446" s="1">
        <f>IFERROR(__xludf.DUMMYFUNCTION("""COMPUTED_VALUE"""),92.57)</f>
        <v>92.57</v>
      </c>
      <c r="D446" s="1">
        <f>IFERROR(__xludf.DUMMYFUNCTION("""COMPUTED_VALUE"""),89.42)</f>
        <v>89.42</v>
      </c>
      <c r="E446" s="1">
        <f>IFERROR(__xludf.DUMMYFUNCTION("""COMPUTED_VALUE"""),91.11)</f>
        <v>91.11</v>
      </c>
      <c r="F446" s="1">
        <f>IFERROR(__xludf.DUMMYFUNCTION("""COMPUTED_VALUE"""),3.7335573E7)</f>
        <v>37335573</v>
      </c>
    </row>
    <row r="447">
      <c r="A447" s="2">
        <f>IFERROR(__xludf.DUMMYFUNCTION("""COMPUTED_VALUE"""),44999.66666666667)</f>
        <v>44999.66667</v>
      </c>
      <c r="B447" s="1">
        <f>IFERROR(__xludf.DUMMYFUNCTION("""COMPUTED_VALUE"""),92.56)</f>
        <v>92.56</v>
      </c>
      <c r="C447" s="1">
        <f>IFERROR(__xludf.DUMMYFUNCTION("""COMPUTED_VALUE"""),94.36)</f>
        <v>94.36</v>
      </c>
      <c r="D447" s="1">
        <f>IFERROR(__xludf.DUMMYFUNCTION("""COMPUTED_VALUE"""),92.44)</f>
        <v>92.44</v>
      </c>
      <c r="E447" s="1">
        <f>IFERROR(__xludf.DUMMYFUNCTION("""COMPUTED_VALUE"""),93.97)</f>
        <v>93.97</v>
      </c>
      <c r="F447" s="1">
        <f>IFERROR(__xludf.DUMMYFUNCTION("""COMPUTED_VALUE"""),3.6050214E7)</f>
        <v>36050214</v>
      </c>
    </row>
    <row r="448">
      <c r="A448" s="2">
        <f>IFERROR(__xludf.DUMMYFUNCTION("""COMPUTED_VALUE"""),45000.66666666667)</f>
        <v>45000.66667</v>
      </c>
      <c r="B448" s="1">
        <f>IFERROR(__xludf.DUMMYFUNCTION("""COMPUTED_VALUE"""),93.22)</f>
        <v>93.22</v>
      </c>
      <c r="C448" s="1">
        <f>IFERROR(__xludf.DUMMYFUNCTION("""COMPUTED_VALUE"""),96.93)</f>
        <v>96.93</v>
      </c>
      <c r="D448" s="1">
        <f>IFERROR(__xludf.DUMMYFUNCTION("""COMPUTED_VALUE"""),92.64)</f>
        <v>92.64</v>
      </c>
      <c r="E448" s="1">
        <f>IFERROR(__xludf.DUMMYFUNCTION("""COMPUTED_VALUE"""),96.11)</f>
        <v>96.11</v>
      </c>
      <c r="F448" s="1">
        <f>IFERROR(__xludf.DUMMYFUNCTION("""COMPUTED_VALUE"""),5.062205E7)</f>
        <v>50622050</v>
      </c>
    </row>
    <row r="449">
      <c r="A449" s="2">
        <f>IFERROR(__xludf.DUMMYFUNCTION("""COMPUTED_VALUE"""),45001.66666666667)</f>
        <v>45001.66667</v>
      </c>
      <c r="B449" s="1">
        <f>IFERROR(__xludf.DUMMYFUNCTION("""COMPUTED_VALUE"""),96.2)</f>
        <v>96.2</v>
      </c>
      <c r="C449" s="1">
        <f>IFERROR(__xludf.DUMMYFUNCTION("""COMPUTED_VALUE"""),101.19)</f>
        <v>101.19</v>
      </c>
      <c r="D449" s="1">
        <f>IFERROR(__xludf.DUMMYFUNCTION("""COMPUTED_VALUE"""),95.5)</f>
        <v>95.5</v>
      </c>
      <c r="E449" s="1">
        <f>IFERROR(__xludf.DUMMYFUNCTION("""COMPUTED_VALUE"""),100.32)</f>
        <v>100.32</v>
      </c>
      <c r="F449" s="1">
        <f>IFERROR(__xludf.DUMMYFUNCTION("""COMPUTED_VALUE"""),6.5567656E7)</f>
        <v>65567656</v>
      </c>
    </row>
    <row r="450">
      <c r="A450" s="2">
        <f>IFERROR(__xludf.DUMMYFUNCTION("""COMPUTED_VALUE"""),45002.66666666667)</f>
        <v>45002.66667</v>
      </c>
      <c r="B450" s="1">
        <f>IFERROR(__xludf.DUMMYFUNCTION("""COMPUTED_VALUE"""),100.26)</f>
        <v>100.26</v>
      </c>
      <c r="C450" s="1">
        <f>IFERROR(__xludf.DUMMYFUNCTION("""COMPUTED_VALUE"""),102.84)</f>
        <v>102.84</v>
      </c>
      <c r="D450" s="1">
        <f>IFERROR(__xludf.DUMMYFUNCTION("""COMPUTED_VALUE"""),100.1)</f>
        <v>100.1</v>
      </c>
      <c r="E450" s="1">
        <f>IFERROR(__xludf.DUMMYFUNCTION("""COMPUTED_VALUE"""),101.62)</f>
        <v>101.62</v>
      </c>
      <c r="F450" s="1">
        <f>IFERROR(__xludf.DUMMYFUNCTION("""COMPUTED_VALUE"""),6.1028547E7)</f>
        <v>61028547</v>
      </c>
    </row>
    <row r="451">
      <c r="A451" s="2">
        <f>IFERROR(__xludf.DUMMYFUNCTION("""COMPUTED_VALUE"""),45005.66666666667)</f>
        <v>45005.66667</v>
      </c>
      <c r="B451" s="1">
        <f>IFERROR(__xludf.DUMMYFUNCTION("""COMPUTED_VALUE"""),100.12)</f>
        <v>100.12</v>
      </c>
      <c r="C451" s="1">
        <f>IFERROR(__xludf.DUMMYFUNCTION("""COMPUTED_VALUE"""),101.75)</f>
        <v>101.75</v>
      </c>
      <c r="D451" s="1">
        <f>IFERROR(__xludf.DUMMYFUNCTION("""COMPUTED_VALUE"""),99.87)</f>
        <v>99.87</v>
      </c>
      <c r="E451" s="1">
        <f>IFERROR(__xludf.DUMMYFUNCTION("""COMPUTED_VALUE"""),101.22)</f>
        <v>101.22</v>
      </c>
      <c r="F451" s="1">
        <f>IFERROR(__xludf.DUMMYFUNCTION("""COMPUTED_VALUE"""),3.296044E7)</f>
        <v>32960440</v>
      </c>
    </row>
    <row r="452">
      <c r="A452" s="2">
        <f>IFERROR(__xludf.DUMMYFUNCTION("""COMPUTED_VALUE"""),45006.66666666667)</f>
        <v>45006.66667</v>
      </c>
      <c r="B452" s="1">
        <f>IFERROR(__xludf.DUMMYFUNCTION("""COMPUTED_VALUE"""),101.25)</f>
        <v>101.25</v>
      </c>
      <c r="C452" s="1">
        <f>IFERROR(__xludf.DUMMYFUNCTION("""COMPUTED_VALUE"""),105.1)</f>
        <v>105.1</v>
      </c>
      <c r="D452" s="1">
        <f>IFERROR(__xludf.DUMMYFUNCTION("""COMPUTED_VALUE"""),101.22)</f>
        <v>101.22</v>
      </c>
      <c r="E452" s="1">
        <f>IFERROR(__xludf.DUMMYFUNCTION("""COMPUTED_VALUE"""),104.92)</f>
        <v>104.92</v>
      </c>
      <c r="F452" s="1">
        <f>IFERROR(__xludf.DUMMYFUNCTION("""COMPUTED_VALUE"""),4.2110279E7)</f>
        <v>42110279</v>
      </c>
    </row>
    <row r="453">
      <c r="A453" s="2">
        <f>IFERROR(__xludf.DUMMYFUNCTION("""COMPUTED_VALUE"""),45007.66666666667)</f>
        <v>45007.66667</v>
      </c>
      <c r="B453" s="1">
        <f>IFERROR(__xludf.DUMMYFUNCTION("""COMPUTED_VALUE"""),104.27)</f>
        <v>104.27</v>
      </c>
      <c r="C453" s="1">
        <f>IFERROR(__xludf.DUMMYFUNCTION("""COMPUTED_VALUE"""),106.59)</f>
        <v>106.59</v>
      </c>
      <c r="D453" s="1">
        <f>IFERROR(__xludf.DUMMYFUNCTION("""COMPUTED_VALUE"""),103.33)</f>
        <v>103.33</v>
      </c>
      <c r="E453" s="1">
        <f>IFERROR(__xludf.DUMMYFUNCTION("""COMPUTED_VALUE"""),103.37)</f>
        <v>103.37</v>
      </c>
      <c r="F453" s="1">
        <f>IFERROR(__xludf.DUMMYFUNCTION("""COMPUTED_VALUE"""),4.3427419E7)</f>
        <v>43427419</v>
      </c>
    </row>
    <row r="454">
      <c r="A454" s="2">
        <f>IFERROR(__xludf.DUMMYFUNCTION("""COMPUTED_VALUE"""),45008.66666666667)</f>
        <v>45008.66667</v>
      </c>
      <c r="B454" s="1">
        <f>IFERROR(__xludf.DUMMYFUNCTION("""COMPUTED_VALUE"""),105.06)</f>
        <v>105.06</v>
      </c>
      <c r="C454" s="1">
        <f>IFERROR(__xludf.DUMMYFUNCTION("""COMPUTED_VALUE"""),106.3)</f>
        <v>106.3</v>
      </c>
      <c r="D454" s="1">
        <f>IFERROR(__xludf.DUMMYFUNCTION("""COMPUTED_VALUE"""),104.46)</f>
        <v>104.46</v>
      </c>
      <c r="E454" s="1">
        <f>IFERROR(__xludf.DUMMYFUNCTION("""COMPUTED_VALUE"""),105.6)</f>
        <v>105.6</v>
      </c>
      <c r="F454" s="1">
        <f>IFERROR(__xludf.DUMMYFUNCTION("""COMPUTED_VALUE"""),4.0797769E7)</f>
        <v>40797769</v>
      </c>
    </row>
    <row r="455">
      <c r="A455" s="2">
        <f>IFERROR(__xludf.DUMMYFUNCTION("""COMPUTED_VALUE"""),45009.66666666667)</f>
        <v>45009.66667</v>
      </c>
      <c r="B455" s="1">
        <f>IFERROR(__xludf.DUMMYFUNCTION("""COMPUTED_VALUE"""),104.99)</f>
        <v>104.99</v>
      </c>
      <c r="C455" s="1">
        <f>IFERROR(__xludf.DUMMYFUNCTION("""COMPUTED_VALUE"""),105.49)</f>
        <v>105.49</v>
      </c>
      <c r="D455" s="1">
        <f>IFERROR(__xludf.DUMMYFUNCTION("""COMPUTED_VALUE"""),103.84)</f>
        <v>103.84</v>
      </c>
      <c r="E455" s="1">
        <f>IFERROR(__xludf.DUMMYFUNCTION("""COMPUTED_VALUE"""),105.44)</f>
        <v>105.44</v>
      </c>
      <c r="F455" s="1">
        <f>IFERROR(__xludf.DUMMYFUNCTION("""COMPUTED_VALUE"""),3.0411043E7)</f>
        <v>30411043</v>
      </c>
    </row>
    <row r="456">
      <c r="A456" s="2">
        <f>IFERROR(__xludf.DUMMYFUNCTION("""COMPUTED_VALUE"""),45012.66666666667)</f>
        <v>45012.66667</v>
      </c>
      <c r="B456" s="1">
        <f>IFERROR(__xludf.DUMMYFUNCTION("""COMPUTED_VALUE"""),104.62)</f>
        <v>104.62</v>
      </c>
      <c r="C456" s="1">
        <f>IFERROR(__xludf.DUMMYFUNCTION("""COMPUTED_VALUE"""),104.76)</f>
        <v>104.76</v>
      </c>
      <c r="D456" s="1">
        <f>IFERROR(__xludf.DUMMYFUNCTION("""COMPUTED_VALUE"""),101.93)</f>
        <v>101.93</v>
      </c>
      <c r="E456" s="1">
        <f>IFERROR(__xludf.DUMMYFUNCTION("""COMPUTED_VALUE"""),102.46)</f>
        <v>102.46</v>
      </c>
      <c r="F456" s="1">
        <f>IFERROR(__xludf.DUMMYFUNCTION("""COMPUTED_VALUE"""),3.1120864E7)</f>
        <v>31120864</v>
      </c>
    </row>
    <row r="457">
      <c r="A457" s="2">
        <f>IFERROR(__xludf.DUMMYFUNCTION("""COMPUTED_VALUE"""),45013.66666666667)</f>
        <v>45013.66667</v>
      </c>
      <c r="B457" s="1">
        <f>IFERROR(__xludf.DUMMYFUNCTION("""COMPUTED_VALUE"""),102.44)</f>
        <v>102.44</v>
      </c>
      <c r="C457" s="1">
        <f>IFERROR(__xludf.DUMMYFUNCTION("""COMPUTED_VALUE"""),102.45)</f>
        <v>102.45</v>
      </c>
      <c r="D457" s="1">
        <f>IFERROR(__xludf.DUMMYFUNCTION("""COMPUTED_VALUE"""),99.74)</f>
        <v>99.74</v>
      </c>
      <c r="E457" s="1">
        <f>IFERROR(__xludf.DUMMYFUNCTION("""COMPUTED_VALUE"""),101.03)</f>
        <v>101.03</v>
      </c>
      <c r="F457" s="1">
        <f>IFERROR(__xludf.DUMMYFUNCTION("""COMPUTED_VALUE"""),3.2057865E7)</f>
        <v>32057865</v>
      </c>
    </row>
    <row r="458">
      <c r="A458" s="2">
        <f>IFERROR(__xludf.DUMMYFUNCTION("""COMPUTED_VALUE"""),45014.66666666667)</f>
        <v>45014.66667</v>
      </c>
      <c r="B458" s="1">
        <f>IFERROR(__xludf.DUMMYFUNCTION("""COMPUTED_VALUE"""),102.28)</f>
        <v>102.28</v>
      </c>
      <c r="C458" s="1">
        <f>IFERROR(__xludf.DUMMYFUNCTION("""COMPUTED_VALUE"""),102.49)</f>
        <v>102.49</v>
      </c>
      <c r="D458" s="1">
        <f>IFERROR(__xludf.DUMMYFUNCTION("""COMPUTED_VALUE"""),100.65)</f>
        <v>100.65</v>
      </c>
      <c r="E458" s="1">
        <f>IFERROR(__xludf.DUMMYFUNCTION("""COMPUTED_VALUE"""),101.39)</f>
        <v>101.39</v>
      </c>
      <c r="F458" s="1">
        <f>IFERROR(__xludf.DUMMYFUNCTION("""COMPUTED_VALUE"""),2.8779572E7)</f>
        <v>28779572</v>
      </c>
    </row>
    <row r="459">
      <c r="A459" s="2">
        <f>IFERROR(__xludf.DUMMYFUNCTION("""COMPUTED_VALUE"""),45015.66666666667)</f>
        <v>45015.66667</v>
      </c>
      <c r="B459" s="1">
        <f>IFERROR(__xludf.DUMMYFUNCTION("""COMPUTED_VALUE"""),100.91)</f>
        <v>100.91</v>
      </c>
      <c r="C459" s="1">
        <f>IFERROR(__xludf.DUMMYFUNCTION("""COMPUTED_VALUE"""),101.16)</f>
        <v>101.16</v>
      </c>
      <c r="D459" s="1">
        <f>IFERROR(__xludf.DUMMYFUNCTION("""COMPUTED_VALUE"""),99.78)</f>
        <v>99.78</v>
      </c>
      <c r="E459" s="1">
        <f>IFERROR(__xludf.DUMMYFUNCTION("""COMPUTED_VALUE"""),100.89)</f>
        <v>100.89</v>
      </c>
      <c r="F459" s="1">
        <f>IFERROR(__xludf.DUMMYFUNCTION("""COMPUTED_VALUE"""),3.3086183E7)</f>
        <v>33086183</v>
      </c>
    </row>
    <row r="460">
      <c r="A460" s="2">
        <f>IFERROR(__xludf.DUMMYFUNCTION("""COMPUTED_VALUE"""),45016.66666666667)</f>
        <v>45016.66667</v>
      </c>
      <c r="B460" s="1">
        <f>IFERROR(__xludf.DUMMYFUNCTION("""COMPUTED_VALUE"""),101.3)</f>
        <v>101.3</v>
      </c>
      <c r="C460" s="1">
        <f>IFERROR(__xludf.DUMMYFUNCTION("""COMPUTED_VALUE"""),103.89)</f>
        <v>103.89</v>
      </c>
      <c r="D460" s="1">
        <f>IFERROR(__xludf.DUMMYFUNCTION("""COMPUTED_VALUE"""),101.04)</f>
        <v>101.04</v>
      </c>
      <c r="E460" s="1">
        <f>IFERROR(__xludf.DUMMYFUNCTION("""COMPUTED_VALUE"""),103.73)</f>
        <v>103.73</v>
      </c>
      <c r="F460" s="1">
        <f>IFERROR(__xludf.DUMMYFUNCTION("""COMPUTED_VALUE"""),3.6863369E7)</f>
        <v>36863369</v>
      </c>
    </row>
    <row r="461">
      <c r="A461" s="2">
        <f>IFERROR(__xludf.DUMMYFUNCTION("""COMPUTED_VALUE"""),45019.66666666667)</f>
        <v>45019.66667</v>
      </c>
      <c r="B461" s="1">
        <f>IFERROR(__xludf.DUMMYFUNCTION("""COMPUTED_VALUE"""),102.39)</f>
        <v>102.39</v>
      </c>
      <c r="C461" s="1">
        <f>IFERROR(__xludf.DUMMYFUNCTION("""COMPUTED_VALUE"""),104.53)</f>
        <v>104.53</v>
      </c>
      <c r="D461" s="1">
        <f>IFERROR(__xludf.DUMMYFUNCTION("""COMPUTED_VALUE"""),101.93)</f>
        <v>101.93</v>
      </c>
      <c r="E461" s="1">
        <f>IFERROR(__xludf.DUMMYFUNCTION("""COMPUTED_VALUE"""),104.36)</f>
        <v>104.36</v>
      </c>
      <c r="F461" s="1">
        <f>IFERROR(__xludf.DUMMYFUNCTION("""COMPUTED_VALUE"""),2.5035399E7)</f>
        <v>25035399</v>
      </c>
    </row>
    <row r="462">
      <c r="A462" s="2">
        <f>IFERROR(__xludf.DUMMYFUNCTION("""COMPUTED_VALUE"""),45020.66666666667)</f>
        <v>45020.66667</v>
      </c>
      <c r="B462" s="1">
        <f>IFERROR(__xludf.DUMMYFUNCTION("""COMPUTED_VALUE"""),104.33)</f>
        <v>104.33</v>
      </c>
      <c r="C462" s="1">
        <f>IFERROR(__xludf.DUMMYFUNCTION("""COMPUTED_VALUE"""),105.58)</f>
        <v>105.58</v>
      </c>
      <c r="D462" s="1">
        <f>IFERROR(__xludf.DUMMYFUNCTION("""COMPUTED_VALUE"""),104.04)</f>
        <v>104.04</v>
      </c>
      <c r="E462" s="1">
        <f>IFERROR(__xludf.DUMMYFUNCTION("""COMPUTED_VALUE"""),104.72)</f>
        <v>104.72</v>
      </c>
      <c r="F462" s="1">
        <f>IFERROR(__xludf.DUMMYFUNCTION("""COMPUTED_VALUE"""),2.4420079E7)</f>
        <v>24420079</v>
      </c>
    </row>
    <row r="463">
      <c r="A463" s="2">
        <f>IFERROR(__xludf.DUMMYFUNCTION("""COMPUTED_VALUE"""),45021.66666666667)</f>
        <v>45021.66667</v>
      </c>
      <c r="B463" s="1">
        <f>IFERROR(__xludf.DUMMYFUNCTION("""COMPUTED_VALUE"""),105.78)</f>
        <v>105.78</v>
      </c>
      <c r="C463" s="1">
        <f>IFERROR(__xludf.DUMMYFUNCTION("""COMPUTED_VALUE"""),106.1)</f>
        <v>106.1</v>
      </c>
      <c r="D463" s="1">
        <f>IFERROR(__xludf.DUMMYFUNCTION("""COMPUTED_VALUE"""),103.66)</f>
        <v>103.66</v>
      </c>
      <c r="E463" s="1">
        <f>IFERROR(__xludf.DUMMYFUNCTION("""COMPUTED_VALUE"""),104.47)</f>
        <v>104.47</v>
      </c>
      <c r="F463" s="1">
        <f>IFERROR(__xludf.DUMMYFUNCTION("""COMPUTED_VALUE"""),2.8290503E7)</f>
        <v>28290503</v>
      </c>
    </row>
    <row r="464">
      <c r="A464" s="2">
        <f>IFERROR(__xludf.DUMMYFUNCTION("""COMPUTED_VALUE"""),45022.66666666667)</f>
        <v>45022.66667</v>
      </c>
      <c r="B464" s="1">
        <f>IFERROR(__xludf.DUMMYFUNCTION("""COMPUTED_VALUE"""),105.26)</f>
        <v>105.26</v>
      </c>
      <c r="C464" s="1">
        <f>IFERROR(__xludf.DUMMYFUNCTION("""COMPUTED_VALUE"""),109.17)</f>
        <v>109.17</v>
      </c>
      <c r="D464" s="1">
        <f>IFERROR(__xludf.DUMMYFUNCTION("""COMPUTED_VALUE"""),104.33)</f>
        <v>104.33</v>
      </c>
      <c r="E464" s="1">
        <f>IFERROR(__xludf.DUMMYFUNCTION("""COMPUTED_VALUE"""),108.42)</f>
        <v>108.42</v>
      </c>
      <c r="F464" s="1">
        <f>IFERROR(__xludf.DUMMYFUNCTION("""COMPUTED_VALUE"""),4.871148E7)</f>
        <v>48711480</v>
      </c>
    </row>
    <row r="465">
      <c r="A465" s="2">
        <f>IFERROR(__xludf.DUMMYFUNCTION("""COMPUTED_VALUE"""),45026.66666666667)</f>
        <v>45026.66667</v>
      </c>
      <c r="B465" s="1">
        <f>IFERROR(__xludf.DUMMYFUNCTION("""COMPUTED_VALUE"""),106.98)</f>
        <v>106.98</v>
      </c>
      <c r="C465" s="1">
        <f>IFERROR(__xludf.DUMMYFUNCTION("""COMPUTED_VALUE"""),107.59)</f>
        <v>107.59</v>
      </c>
      <c r="D465" s="1">
        <f>IFERROR(__xludf.DUMMYFUNCTION("""COMPUTED_VALUE"""),105.12)</f>
        <v>105.12</v>
      </c>
      <c r="E465" s="1">
        <f>IFERROR(__xludf.DUMMYFUNCTION("""COMPUTED_VALUE"""),106.44)</f>
        <v>106.44</v>
      </c>
      <c r="F465" s="1">
        <f>IFERROR(__xludf.DUMMYFUNCTION("""COMPUTED_VALUE"""),2.7067355E7)</f>
        <v>27067355</v>
      </c>
    </row>
    <row r="466">
      <c r="A466" s="2">
        <f>IFERROR(__xludf.DUMMYFUNCTION("""COMPUTED_VALUE"""),45027.66666666667)</f>
        <v>45027.66667</v>
      </c>
      <c r="B466" s="1">
        <f>IFERROR(__xludf.DUMMYFUNCTION("""COMPUTED_VALUE"""),106.55)</f>
        <v>106.55</v>
      </c>
      <c r="C466" s="1">
        <f>IFERROR(__xludf.DUMMYFUNCTION("""COMPUTED_VALUE"""),106.73)</f>
        <v>106.73</v>
      </c>
      <c r="D466" s="1">
        <f>IFERROR(__xludf.DUMMYFUNCTION("""COMPUTED_VALUE"""),104.68)</f>
        <v>104.68</v>
      </c>
      <c r="E466" s="1">
        <f>IFERROR(__xludf.DUMMYFUNCTION("""COMPUTED_VALUE"""),105.35)</f>
        <v>105.35</v>
      </c>
      <c r="F466" s="1">
        <f>IFERROR(__xludf.DUMMYFUNCTION("""COMPUTED_VALUE"""),2.6311803E7)</f>
        <v>26311803</v>
      </c>
    </row>
    <row r="467">
      <c r="A467" s="2">
        <f>IFERROR(__xludf.DUMMYFUNCTION("""COMPUTED_VALUE"""),45028.66666666667)</f>
        <v>45028.66667</v>
      </c>
      <c r="B467" s="1">
        <f>IFERROR(__xludf.DUMMYFUNCTION("""COMPUTED_VALUE"""),106.58)</f>
        <v>106.58</v>
      </c>
      <c r="C467" s="1">
        <f>IFERROR(__xludf.DUMMYFUNCTION("""COMPUTED_VALUE"""),106.75)</f>
        <v>106.75</v>
      </c>
      <c r="D467" s="1">
        <f>IFERROR(__xludf.DUMMYFUNCTION("""COMPUTED_VALUE"""),104.34)</f>
        <v>104.34</v>
      </c>
      <c r="E467" s="1">
        <f>IFERROR(__xludf.DUMMYFUNCTION("""COMPUTED_VALUE"""),104.64)</f>
        <v>104.64</v>
      </c>
      <c r="F467" s="1">
        <f>IFERROR(__xludf.DUMMYFUNCTION("""COMPUTED_VALUE"""),2.4370274E7)</f>
        <v>24370274</v>
      </c>
    </row>
    <row r="468">
      <c r="A468" s="2">
        <f>IFERROR(__xludf.DUMMYFUNCTION("""COMPUTED_VALUE"""),45029.66666666667)</f>
        <v>45029.66667</v>
      </c>
      <c r="B468" s="1">
        <f>IFERROR(__xludf.DUMMYFUNCTION("""COMPUTED_VALUE"""),105.84)</f>
        <v>105.84</v>
      </c>
      <c r="C468" s="1">
        <f>IFERROR(__xludf.DUMMYFUNCTION("""COMPUTED_VALUE"""),107.49)</f>
        <v>107.49</v>
      </c>
      <c r="D468" s="1">
        <f>IFERROR(__xludf.DUMMYFUNCTION("""COMPUTED_VALUE"""),105.84)</f>
        <v>105.84</v>
      </c>
      <c r="E468" s="1">
        <f>IFERROR(__xludf.DUMMYFUNCTION("""COMPUTED_VALUE"""),107.43)</f>
        <v>107.43</v>
      </c>
      <c r="F468" s="1">
        <f>IFERROR(__xludf.DUMMYFUNCTION("""COMPUTED_VALUE"""),2.4843579E7)</f>
        <v>24843579</v>
      </c>
    </row>
    <row r="469">
      <c r="A469" s="2">
        <f>IFERROR(__xludf.DUMMYFUNCTION("""COMPUTED_VALUE"""),45030.66666666667)</f>
        <v>45030.66667</v>
      </c>
      <c r="B469" s="1">
        <f>IFERROR(__xludf.DUMMYFUNCTION("""COMPUTED_VALUE"""),106.89)</f>
        <v>106.89</v>
      </c>
      <c r="C469" s="1">
        <f>IFERROR(__xludf.DUMMYFUNCTION("""COMPUTED_VALUE"""),108.94)</f>
        <v>108.94</v>
      </c>
      <c r="D469" s="1">
        <f>IFERROR(__xludf.DUMMYFUNCTION("""COMPUTED_VALUE"""),106.84)</f>
        <v>106.84</v>
      </c>
      <c r="E469" s="1">
        <f>IFERROR(__xludf.DUMMYFUNCTION("""COMPUTED_VALUE"""),108.87)</f>
        <v>108.87</v>
      </c>
      <c r="F469" s="1">
        <f>IFERROR(__xludf.DUMMYFUNCTION("""COMPUTED_VALUE"""),2.6578002E7)</f>
        <v>26578002</v>
      </c>
    </row>
    <row r="470">
      <c r="A470" s="2">
        <f>IFERROR(__xludf.DUMMYFUNCTION("""COMPUTED_VALUE"""),45033.66666666667)</f>
        <v>45033.66667</v>
      </c>
      <c r="B470" s="1">
        <f>IFERROR(__xludf.DUMMYFUNCTION("""COMPUTED_VALUE"""),104.66)</f>
        <v>104.66</v>
      </c>
      <c r="C470" s="1">
        <f>IFERROR(__xludf.DUMMYFUNCTION("""COMPUTED_VALUE"""),106.16)</f>
        <v>106.16</v>
      </c>
      <c r="D470" s="1">
        <f>IFERROR(__xludf.DUMMYFUNCTION("""COMPUTED_VALUE"""),104.52)</f>
        <v>104.52</v>
      </c>
      <c r="E470" s="1">
        <f>IFERROR(__xludf.DUMMYFUNCTION("""COMPUTED_VALUE"""),105.97)</f>
        <v>105.97</v>
      </c>
      <c r="F470" s="1">
        <f>IFERROR(__xludf.DUMMYFUNCTION("""COMPUTED_VALUE"""),3.7571218E7)</f>
        <v>37571218</v>
      </c>
    </row>
    <row r="471">
      <c r="A471" s="2">
        <f>IFERROR(__xludf.DUMMYFUNCTION("""COMPUTED_VALUE"""),45034.66666666667)</f>
        <v>45034.66667</v>
      </c>
      <c r="B471" s="1">
        <f>IFERROR(__xludf.DUMMYFUNCTION("""COMPUTED_VALUE"""),106.49)</f>
        <v>106.49</v>
      </c>
      <c r="C471" s="1">
        <f>IFERROR(__xludf.DUMMYFUNCTION("""COMPUTED_VALUE"""),106.54)</f>
        <v>106.54</v>
      </c>
      <c r="D471" s="1">
        <f>IFERROR(__xludf.DUMMYFUNCTION("""COMPUTED_VALUE"""),104.07)</f>
        <v>104.07</v>
      </c>
      <c r="E471" s="1">
        <f>IFERROR(__xludf.DUMMYFUNCTION("""COMPUTED_VALUE"""),104.5)</f>
        <v>104.5</v>
      </c>
      <c r="F471" s="1">
        <f>IFERROR(__xludf.DUMMYFUNCTION("""COMPUTED_VALUE"""),2.6596445E7)</f>
        <v>26596445</v>
      </c>
    </row>
    <row r="472">
      <c r="A472" s="2">
        <f>IFERROR(__xludf.DUMMYFUNCTION("""COMPUTED_VALUE"""),45035.66666666667)</f>
        <v>45035.66667</v>
      </c>
      <c r="B472" s="1">
        <f>IFERROR(__xludf.DUMMYFUNCTION("""COMPUTED_VALUE"""),103.58)</f>
        <v>103.58</v>
      </c>
      <c r="C472" s="1">
        <f>IFERROR(__xludf.DUMMYFUNCTION("""COMPUTED_VALUE"""),104.98)</f>
        <v>104.98</v>
      </c>
      <c r="D472" s="1">
        <f>IFERROR(__xludf.DUMMYFUNCTION("""COMPUTED_VALUE"""),103.07)</f>
        <v>103.07</v>
      </c>
      <c r="E472" s="1">
        <f>IFERROR(__xludf.DUMMYFUNCTION("""COMPUTED_VALUE"""),104.18)</f>
        <v>104.18</v>
      </c>
      <c r="F472" s="1">
        <f>IFERROR(__xludf.DUMMYFUNCTION("""COMPUTED_VALUE"""),2.0905684E7)</f>
        <v>20905684</v>
      </c>
    </row>
    <row r="473">
      <c r="A473" s="2">
        <f>IFERROR(__xludf.DUMMYFUNCTION("""COMPUTED_VALUE"""),45036.66666666667)</f>
        <v>45036.66667</v>
      </c>
      <c r="B473" s="1">
        <f>IFERROR(__xludf.DUMMYFUNCTION("""COMPUTED_VALUE"""),103.91)</f>
        <v>103.91</v>
      </c>
      <c r="C473" s="1">
        <f>IFERROR(__xludf.DUMMYFUNCTION("""COMPUTED_VALUE"""),106.25)</f>
        <v>106.25</v>
      </c>
      <c r="D473" s="1">
        <f>IFERROR(__xludf.DUMMYFUNCTION("""COMPUTED_VALUE"""),103.87)</f>
        <v>103.87</v>
      </c>
      <c r="E473" s="1">
        <f>IFERROR(__xludf.DUMMYFUNCTION("""COMPUTED_VALUE"""),105.29)</f>
        <v>105.29</v>
      </c>
      <c r="F473" s="1">
        <f>IFERROR(__xludf.DUMMYFUNCTION("""COMPUTED_VALUE"""),2.7820794E7)</f>
        <v>27820794</v>
      </c>
    </row>
    <row r="474">
      <c r="A474" s="2">
        <f>IFERROR(__xludf.DUMMYFUNCTION("""COMPUTED_VALUE"""),45037.66666666667)</f>
        <v>45037.66667</v>
      </c>
      <c r="B474" s="1">
        <f>IFERROR(__xludf.DUMMYFUNCTION("""COMPUTED_VALUE"""),105.47)</f>
        <v>105.47</v>
      </c>
      <c r="C474" s="1">
        <f>IFERROR(__xludf.DUMMYFUNCTION("""COMPUTED_VALUE"""),106.0)</f>
        <v>106</v>
      </c>
      <c r="D474" s="1">
        <f>IFERROR(__xludf.DUMMYFUNCTION("""COMPUTED_VALUE"""),104.78)</f>
        <v>104.78</v>
      </c>
      <c r="E474" s="1">
        <f>IFERROR(__xludf.DUMMYFUNCTION("""COMPUTED_VALUE"""),105.41)</f>
        <v>105.41</v>
      </c>
      <c r="F474" s="1">
        <f>IFERROR(__xludf.DUMMYFUNCTION("""COMPUTED_VALUE"""),2.5800082E7)</f>
        <v>25800082</v>
      </c>
    </row>
    <row r="475">
      <c r="A475" s="2">
        <f>IFERROR(__xludf.DUMMYFUNCTION("""COMPUTED_VALUE"""),45040.66666666667)</f>
        <v>45040.66667</v>
      </c>
      <c r="B475" s="1">
        <f>IFERROR(__xludf.DUMMYFUNCTION("""COMPUTED_VALUE"""),105.49)</f>
        <v>105.49</v>
      </c>
      <c r="C475" s="1">
        <f>IFERROR(__xludf.DUMMYFUNCTION("""COMPUTED_VALUE"""),106.63)</f>
        <v>106.63</v>
      </c>
      <c r="D475" s="1">
        <f>IFERROR(__xludf.DUMMYFUNCTION("""COMPUTED_VALUE"""),104.7)</f>
        <v>104.7</v>
      </c>
      <c r="E475" s="1">
        <f>IFERROR(__xludf.DUMMYFUNCTION("""COMPUTED_VALUE"""),105.97)</f>
        <v>105.97</v>
      </c>
      <c r="F475" s="1">
        <f>IFERROR(__xludf.DUMMYFUNCTION("""COMPUTED_VALUE"""),2.3542829E7)</f>
        <v>23542829</v>
      </c>
    </row>
    <row r="476">
      <c r="A476" s="2">
        <f>IFERROR(__xludf.DUMMYFUNCTION("""COMPUTED_VALUE"""),45041.66666666667)</f>
        <v>45041.66667</v>
      </c>
      <c r="B476" s="1">
        <f>IFERROR(__xludf.DUMMYFUNCTION("""COMPUTED_VALUE"""),105.83)</f>
        <v>105.83</v>
      </c>
      <c r="C476" s="1">
        <f>IFERROR(__xludf.DUMMYFUNCTION("""COMPUTED_VALUE"""),106.69)</f>
        <v>106.69</v>
      </c>
      <c r="D476" s="1">
        <f>IFERROR(__xludf.DUMMYFUNCTION("""COMPUTED_VALUE"""),103.84)</f>
        <v>103.84</v>
      </c>
      <c r="E476" s="1">
        <f>IFERROR(__xludf.DUMMYFUNCTION("""COMPUTED_VALUE"""),103.85)</f>
        <v>103.85</v>
      </c>
      <c r="F476" s="1">
        <f>IFERROR(__xludf.DUMMYFUNCTION("""COMPUTED_VALUE"""),4.6664104E7)</f>
        <v>46664104</v>
      </c>
    </row>
    <row r="477">
      <c r="A477" s="2">
        <f>IFERROR(__xludf.DUMMYFUNCTION("""COMPUTED_VALUE"""),45042.66666666667)</f>
        <v>45042.66667</v>
      </c>
      <c r="B477" s="1">
        <f>IFERROR(__xludf.DUMMYFUNCTION("""COMPUTED_VALUE"""),104.92)</f>
        <v>104.92</v>
      </c>
      <c r="C477" s="1">
        <f>IFERROR(__xludf.DUMMYFUNCTION("""COMPUTED_VALUE"""),106.35)</f>
        <v>106.35</v>
      </c>
      <c r="D477" s="1">
        <f>IFERROR(__xludf.DUMMYFUNCTION("""COMPUTED_VALUE"""),102.63)</f>
        <v>102.63</v>
      </c>
      <c r="E477" s="1">
        <f>IFERROR(__xludf.DUMMYFUNCTION("""COMPUTED_VALUE"""),103.71)</f>
        <v>103.71</v>
      </c>
      <c r="F477" s="1">
        <f>IFERROR(__xludf.DUMMYFUNCTION("""COMPUTED_VALUE"""),5.334756E7)</f>
        <v>53347560</v>
      </c>
    </row>
    <row r="478">
      <c r="A478" s="2">
        <f>IFERROR(__xludf.DUMMYFUNCTION("""COMPUTED_VALUE"""),45043.66666666667)</f>
        <v>45043.66667</v>
      </c>
      <c r="B478" s="1">
        <f>IFERROR(__xludf.DUMMYFUNCTION("""COMPUTED_VALUE"""),104.45)</f>
        <v>104.45</v>
      </c>
      <c r="C478" s="1">
        <f>IFERROR(__xludf.DUMMYFUNCTION("""COMPUTED_VALUE"""),108.37)</f>
        <v>108.37</v>
      </c>
      <c r="D478" s="1">
        <f>IFERROR(__xludf.DUMMYFUNCTION("""COMPUTED_VALUE"""),103.54)</f>
        <v>103.54</v>
      </c>
      <c r="E478" s="1">
        <f>IFERROR(__xludf.DUMMYFUNCTION("""COMPUTED_VALUE"""),107.59)</f>
        <v>107.59</v>
      </c>
      <c r="F478" s="1">
        <f>IFERROR(__xludf.DUMMYFUNCTION("""COMPUTED_VALUE"""),5.0089187E7)</f>
        <v>50089187</v>
      </c>
    </row>
    <row r="479">
      <c r="A479" s="2">
        <f>IFERROR(__xludf.DUMMYFUNCTION("""COMPUTED_VALUE"""),45044.66666666667)</f>
        <v>45044.66667</v>
      </c>
      <c r="B479" s="1">
        <f>IFERROR(__xludf.DUMMYFUNCTION("""COMPUTED_VALUE"""),107.04)</f>
        <v>107.04</v>
      </c>
      <c r="C479" s="1">
        <f>IFERROR(__xludf.DUMMYFUNCTION("""COMPUTED_VALUE"""),107.35)</f>
        <v>107.35</v>
      </c>
      <c r="D479" s="1">
        <f>IFERROR(__xludf.DUMMYFUNCTION("""COMPUTED_VALUE"""),105.09)</f>
        <v>105.09</v>
      </c>
      <c r="E479" s="1">
        <f>IFERROR(__xludf.DUMMYFUNCTION("""COMPUTED_VALUE"""),107.34)</f>
        <v>107.34</v>
      </c>
      <c r="F479" s="1">
        <f>IFERROR(__xludf.DUMMYFUNCTION("""COMPUTED_VALUE"""),3.6139847E7)</f>
        <v>36139847</v>
      </c>
    </row>
    <row r="480">
      <c r="A480" s="2">
        <f>IFERROR(__xludf.DUMMYFUNCTION("""COMPUTED_VALUE"""),45047.66666666667)</f>
        <v>45047.66667</v>
      </c>
      <c r="B480" s="1">
        <f>IFERROR(__xludf.DUMMYFUNCTION("""COMPUTED_VALUE"""),106.84)</f>
        <v>106.84</v>
      </c>
      <c r="C480" s="1">
        <f>IFERROR(__xludf.DUMMYFUNCTION("""COMPUTED_VALUE"""),107.99)</f>
        <v>107.99</v>
      </c>
      <c r="D480" s="1">
        <f>IFERROR(__xludf.DUMMYFUNCTION("""COMPUTED_VALUE"""),106.82)</f>
        <v>106.82</v>
      </c>
      <c r="E480" s="1">
        <f>IFERROR(__xludf.DUMMYFUNCTION("""COMPUTED_VALUE"""),107.2)</f>
        <v>107.2</v>
      </c>
      <c r="F480" s="1">
        <f>IFERROR(__xludf.DUMMYFUNCTION("""COMPUTED_VALUE"""),2.668168E7)</f>
        <v>26681680</v>
      </c>
    </row>
    <row r="481">
      <c r="A481" s="2">
        <f>IFERROR(__xludf.DUMMYFUNCTION("""COMPUTED_VALUE"""),45048.66666666667)</f>
        <v>45048.66667</v>
      </c>
      <c r="B481" s="1">
        <f>IFERROR(__xludf.DUMMYFUNCTION("""COMPUTED_VALUE"""),107.14)</f>
        <v>107.14</v>
      </c>
      <c r="C481" s="1">
        <f>IFERROR(__xludf.DUMMYFUNCTION("""COMPUTED_VALUE"""),107.2)</f>
        <v>107.2</v>
      </c>
      <c r="D481" s="1">
        <f>IFERROR(__xludf.DUMMYFUNCTION("""COMPUTED_VALUE"""),103.71)</f>
        <v>103.71</v>
      </c>
      <c r="E481" s="1">
        <f>IFERROR(__xludf.DUMMYFUNCTION("""COMPUTED_VALUE"""),105.32)</f>
        <v>105.32</v>
      </c>
      <c r="F481" s="1">
        <f>IFERROR(__xludf.DUMMYFUNCTION("""COMPUTED_VALUE"""),3.0997245E7)</f>
        <v>30997245</v>
      </c>
    </row>
    <row r="482">
      <c r="A482" s="2">
        <f>IFERROR(__xludf.DUMMYFUNCTION("""COMPUTED_VALUE"""),45049.66666666667)</f>
        <v>45049.66667</v>
      </c>
      <c r="B482" s="1">
        <f>IFERROR(__xludf.DUMMYFUNCTION("""COMPUTED_VALUE"""),105.53)</f>
        <v>105.53</v>
      </c>
      <c r="C482" s="1">
        <f>IFERROR(__xludf.DUMMYFUNCTION("""COMPUTED_VALUE"""),107.49)</f>
        <v>107.49</v>
      </c>
      <c r="D482" s="1">
        <f>IFERROR(__xludf.DUMMYFUNCTION("""COMPUTED_VALUE"""),104.96)</f>
        <v>104.96</v>
      </c>
      <c r="E482" s="1">
        <f>IFERROR(__xludf.DUMMYFUNCTION("""COMPUTED_VALUE"""),105.41)</f>
        <v>105.41</v>
      </c>
      <c r="F482" s="1">
        <f>IFERROR(__xludf.DUMMYFUNCTION("""COMPUTED_VALUE"""),2.1795405E7)</f>
        <v>21795405</v>
      </c>
    </row>
    <row r="483">
      <c r="A483" s="2">
        <f>IFERROR(__xludf.DUMMYFUNCTION("""COMPUTED_VALUE"""),45050.66666666667)</f>
        <v>45050.66667</v>
      </c>
      <c r="B483" s="1">
        <f>IFERROR(__xludf.DUMMYFUNCTION("""COMPUTED_VALUE"""),105.49)</f>
        <v>105.49</v>
      </c>
      <c r="C483" s="1">
        <f>IFERROR(__xludf.DUMMYFUNCTION("""COMPUTED_VALUE"""),105.6)</f>
        <v>105.6</v>
      </c>
      <c r="D483" s="1">
        <f>IFERROR(__xludf.DUMMYFUNCTION("""COMPUTED_VALUE"""),103.97)</f>
        <v>103.97</v>
      </c>
      <c r="E483" s="1">
        <f>IFERROR(__xludf.DUMMYFUNCTION("""COMPUTED_VALUE"""),104.69)</f>
        <v>104.69</v>
      </c>
      <c r="F483" s="1">
        <f>IFERROR(__xludf.DUMMYFUNCTION("""COMPUTED_VALUE"""),2.3419506E7)</f>
        <v>23419506</v>
      </c>
    </row>
    <row r="484">
      <c r="A484" s="2">
        <f>IFERROR(__xludf.DUMMYFUNCTION("""COMPUTED_VALUE"""),45051.66666666667)</f>
        <v>45051.66667</v>
      </c>
      <c r="B484" s="1">
        <f>IFERROR(__xludf.DUMMYFUNCTION("""COMPUTED_VALUE"""),104.82)</f>
        <v>104.82</v>
      </c>
      <c r="C484" s="1">
        <f>IFERROR(__xludf.DUMMYFUNCTION("""COMPUTED_VALUE"""),105.88)</f>
        <v>105.88</v>
      </c>
      <c r="D484" s="1">
        <f>IFERROR(__xludf.DUMMYFUNCTION("""COMPUTED_VALUE"""),104.11)</f>
        <v>104.11</v>
      </c>
      <c r="E484" s="1">
        <f>IFERROR(__xludf.DUMMYFUNCTION("""COMPUTED_VALUE"""),105.57)</f>
        <v>105.57</v>
      </c>
      <c r="F484" s="1">
        <f>IFERROR(__xludf.DUMMYFUNCTION("""COMPUTED_VALUE"""),2.6639254E7)</f>
        <v>26639254</v>
      </c>
    </row>
    <row r="485">
      <c r="A485" s="2">
        <f>IFERROR(__xludf.DUMMYFUNCTION("""COMPUTED_VALUE"""),45054.66666666667)</f>
        <v>45054.66667</v>
      </c>
      <c r="B485" s="1">
        <f>IFERROR(__xludf.DUMMYFUNCTION("""COMPUTED_VALUE"""),105.18)</f>
        <v>105.18</v>
      </c>
      <c r="C485" s="1">
        <f>IFERROR(__xludf.DUMMYFUNCTION("""COMPUTED_VALUE"""),107.96)</f>
        <v>107.96</v>
      </c>
      <c r="D485" s="1">
        <f>IFERROR(__xludf.DUMMYFUNCTION("""COMPUTED_VALUE"""),105.16)</f>
        <v>105.16</v>
      </c>
      <c r="E485" s="1">
        <f>IFERROR(__xludf.DUMMYFUNCTION("""COMPUTED_VALUE"""),107.77)</f>
        <v>107.77</v>
      </c>
      <c r="F485" s="1">
        <f>IFERROR(__xludf.DUMMYFUNCTION("""COMPUTED_VALUE"""),2.6511445E7)</f>
        <v>26511445</v>
      </c>
    </row>
    <row r="486">
      <c r="A486" s="2">
        <f>IFERROR(__xludf.DUMMYFUNCTION("""COMPUTED_VALUE"""),45055.66666666667)</f>
        <v>45055.66667</v>
      </c>
      <c r="B486" s="1">
        <f>IFERROR(__xludf.DUMMYFUNCTION("""COMPUTED_VALUE"""),108.39)</f>
        <v>108.39</v>
      </c>
      <c r="C486" s="1">
        <f>IFERROR(__xludf.DUMMYFUNCTION("""COMPUTED_VALUE"""),110.15)</f>
        <v>110.15</v>
      </c>
      <c r="D486" s="1">
        <f>IFERROR(__xludf.DUMMYFUNCTION("""COMPUTED_VALUE"""),107.19)</f>
        <v>107.19</v>
      </c>
      <c r="E486" s="1">
        <f>IFERROR(__xludf.DUMMYFUNCTION("""COMPUTED_VALUE"""),107.35)</f>
        <v>107.35</v>
      </c>
      <c r="F486" s="1">
        <f>IFERROR(__xludf.DUMMYFUNCTION("""COMPUTED_VALUE"""),3.6360141E7)</f>
        <v>36360141</v>
      </c>
    </row>
    <row r="487">
      <c r="A487" s="2">
        <f>IFERROR(__xludf.DUMMYFUNCTION("""COMPUTED_VALUE"""),45056.66666666667)</f>
        <v>45056.66667</v>
      </c>
      <c r="B487" s="1">
        <f>IFERROR(__xludf.DUMMYFUNCTION("""COMPUTED_VALUE"""),107.97)</f>
        <v>107.97</v>
      </c>
      <c r="C487" s="1">
        <f>IFERROR(__xludf.DUMMYFUNCTION("""COMPUTED_VALUE"""),112.94)</f>
        <v>112.94</v>
      </c>
      <c r="D487" s="1">
        <f>IFERROR(__xludf.DUMMYFUNCTION("""COMPUTED_VALUE"""),107.93)</f>
        <v>107.93</v>
      </c>
      <c r="E487" s="1">
        <f>IFERROR(__xludf.DUMMYFUNCTION("""COMPUTED_VALUE"""),111.75)</f>
        <v>111.75</v>
      </c>
      <c r="F487" s="1">
        <f>IFERROR(__xludf.DUMMYFUNCTION("""COMPUTED_VALUE"""),6.3153367E7)</f>
        <v>63153367</v>
      </c>
    </row>
    <row r="488">
      <c r="A488" s="2">
        <f>IFERROR(__xludf.DUMMYFUNCTION("""COMPUTED_VALUE"""),45057.66666666667)</f>
        <v>45057.66667</v>
      </c>
      <c r="B488" s="1">
        <f>IFERROR(__xludf.DUMMYFUNCTION("""COMPUTED_VALUE"""),115.4)</f>
        <v>115.4</v>
      </c>
      <c r="C488" s="1">
        <f>IFERROR(__xludf.DUMMYFUNCTION("""COMPUTED_VALUE"""),117.92)</f>
        <v>117.92</v>
      </c>
      <c r="D488" s="1">
        <f>IFERROR(__xludf.DUMMYFUNCTION("""COMPUTED_VALUE"""),114.41)</f>
        <v>114.41</v>
      </c>
      <c r="E488" s="1">
        <f>IFERROR(__xludf.DUMMYFUNCTION("""COMPUTED_VALUE"""),116.57)</f>
        <v>116.57</v>
      </c>
      <c r="F488" s="1">
        <f>IFERROR(__xludf.DUMMYFUNCTION("""COMPUTED_VALUE"""),7.8900029E7)</f>
        <v>78900029</v>
      </c>
    </row>
    <row r="489">
      <c r="A489" s="2">
        <f>IFERROR(__xludf.DUMMYFUNCTION("""COMPUTED_VALUE"""),45058.66666666667)</f>
        <v>45058.66667</v>
      </c>
      <c r="B489" s="1">
        <f>IFERROR(__xludf.DUMMYFUNCTION("""COMPUTED_VALUE"""),116.68)</f>
        <v>116.68</v>
      </c>
      <c r="C489" s="1">
        <f>IFERROR(__xludf.DUMMYFUNCTION("""COMPUTED_VALUE"""),118.03)</f>
        <v>118.03</v>
      </c>
      <c r="D489" s="1">
        <f>IFERROR(__xludf.DUMMYFUNCTION("""COMPUTED_VALUE"""),116.11)</f>
        <v>116.11</v>
      </c>
      <c r="E489" s="1">
        <f>IFERROR(__xludf.DUMMYFUNCTION("""COMPUTED_VALUE"""),117.51)</f>
        <v>117.51</v>
      </c>
      <c r="F489" s="1">
        <f>IFERROR(__xludf.DUMMYFUNCTION("""COMPUTED_VALUE"""),4.110233E7)</f>
        <v>41102330</v>
      </c>
    </row>
    <row r="490">
      <c r="A490" s="2">
        <f>IFERROR(__xludf.DUMMYFUNCTION("""COMPUTED_VALUE"""),45061.66666666667)</f>
        <v>45061.66667</v>
      </c>
      <c r="B490" s="1">
        <f>IFERROR(__xludf.DUMMYFUNCTION("""COMPUTED_VALUE"""),116.11)</f>
        <v>116.11</v>
      </c>
      <c r="C490" s="1">
        <f>IFERROR(__xludf.DUMMYFUNCTION("""COMPUTED_VALUE"""),118.48)</f>
        <v>118.48</v>
      </c>
      <c r="D490" s="1">
        <f>IFERROR(__xludf.DUMMYFUNCTION("""COMPUTED_VALUE"""),116.01)</f>
        <v>116.01</v>
      </c>
      <c r="E490" s="1">
        <f>IFERROR(__xludf.DUMMYFUNCTION("""COMPUTED_VALUE"""),116.51)</f>
        <v>116.51</v>
      </c>
      <c r="F490" s="1">
        <f>IFERROR(__xludf.DUMMYFUNCTION("""COMPUTED_VALUE"""),3.6266765E7)</f>
        <v>36266765</v>
      </c>
    </row>
    <row r="491">
      <c r="A491" s="2">
        <f>IFERROR(__xludf.DUMMYFUNCTION("""COMPUTED_VALUE"""),45062.66666666667)</f>
        <v>45062.66667</v>
      </c>
      <c r="B491" s="1">
        <f>IFERROR(__xludf.DUMMYFUNCTION("""COMPUTED_VALUE"""),116.49)</f>
        <v>116.49</v>
      </c>
      <c r="C491" s="1">
        <f>IFERROR(__xludf.DUMMYFUNCTION("""COMPUTED_VALUE"""),120.75)</f>
        <v>120.75</v>
      </c>
      <c r="D491" s="1">
        <f>IFERROR(__xludf.DUMMYFUNCTION("""COMPUTED_VALUE"""),116.43)</f>
        <v>116.43</v>
      </c>
      <c r="E491" s="1">
        <f>IFERROR(__xludf.DUMMYFUNCTION("""COMPUTED_VALUE"""),119.51)</f>
        <v>119.51</v>
      </c>
      <c r="F491" s="1">
        <f>IFERROR(__xludf.DUMMYFUNCTION("""COMPUTED_VALUE"""),4.5035558E7)</f>
        <v>45035558</v>
      </c>
    </row>
    <row r="492">
      <c r="A492" s="2">
        <f>IFERROR(__xludf.DUMMYFUNCTION("""COMPUTED_VALUE"""),45063.66666666667)</f>
        <v>45063.66667</v>
      </c>
      <c r="B492" s="1">
        <f>IFERROR(__xludf.DUMMYFUNCTION("""COMPUTED_VALUE"""),119.61)</f>
        <v>119.61</v>
      </c>
      <c r="C492" s="1">
        <f>IFERROR(__xludf.DUMMYFUNCTION("""COMPUTED_VALUE"""),121.67)</f>
        <v>121.67</v>
      </c>
      <c r="D492" s="1">
        <f>IFERROR(__xludf.DUMMYFUNCTION("""COMPUTED_VALUE"""),118.89)</f>
        <v>118.89</v>
      </c>
      <c r="E492" s="1">
        <f>IFERROR(__xludf.DUMMYFUNCTION("""COMPUTED_VALUE"""),120.84)</f>
        <v>120.84</v>
      </c>
      <c r="F492" s="1">
        <f>IFERROR(__xludf.DUMMYFUNCTION("""COMPUTED_VALUE"""),3.3323588E7)</f>
        <v>33323588</v>
      </c>
    </row>
    <row r="493">
      <c r="A493" s="2">
        <f>IFERROR(__xludf.DUMMYFUNCTION("""COMPUTED_VALUE"""),45064.66666666667)</f>
        <v>45064.66667</v>
      </c>
      <c r="B493" s="1">
        <f>IFERROR(__xludf.DUMMYFUNCTION("""COMPUTED_VALUE"""),120.95)</f>
        <v>120.95</v>
      </c>
      <c r="C493" s="1">
        <f>IFERROR(__xludf.DUMMYFUNCTION("""COMPUTED_VALUE"""),123.31)</f>
        <v>123.31</v>
      </c>
      <c r="D493" s="1">
        <f>IFERROR(__xludf.DUMMYFUNCTION("""COMPUTED_VALUE"""),120.83)</f>
        <v>120.83</v>
      </c>
      <c r="E493" s="1">
        <f>IFERROR(__xludf.DUMMYFUNCTION("""COMPUTED_VALUE"""),122.83)</f>
        <v>122.83</v>
      </c>
      <c r="F493" s="1">
        <f>IFERROR(__xludf.DUMMYFUNCTION("""COMPUTED_VALUE"""),3.5234233E7)</f>
        <v>35234233</v>
      </c>
    </row>
    <row r="494">
      <c r="A494" s="2">
        <f>IFERROR(__xludf.DUMMYFUNCTION("""COMPUTED_VALUE"""),45065.66666666667)</f>
        <v>45065.66667</v>
      </c>
      <c r="B494" s="1">
        <f>IFERROR(__xludf.DUMMYFUNCTION("""COMPUTED_VALUE"""),123.55)</f>
        <v>123.55</v>
      </c>
      <c r="C494" s="1">
        <f>IFERROR(__xludf.DUMMYFUNCTION("""COMPUTED_VALUE"""),125.97)</f>
        <v>125.97</v>
      </c>
      <c r="D494" s="1">
        <f>IFERROR(__xludf.DUMMYFUNCTION("""COMPUTED_VALUE"""),122.15)</f>
        <v>122.15</v>
      </c>
      <c r="E494" s="1">
        <f>IFERROR(__xludf.DUMMYFUNCTION("""COMPUTED_VALUE"""),122.76)</f>
        <v>122.76</v>
      </c>
      <c r="F494" s="1">
        <f>IFERROR(__xludf.DUMMYFUNCTION("""COMPUTED_VALUE"""),4.1353445E7)</f>
        <v>41353445</v>
      </c>
    </row>
    <row r="495">
      <c r="A495" s="2">
        <f>IFERROR(__xludf.DUMMYFUNCTION("""COMPUTED_VALUE"""),45068.66666666667)</f>
        <v>45068.66667</v>
      </c>
      <c r="B495" s="1">
        <f>IFERROR(__xludf.DUMMYFUNCTION("""COMPUTED_VALUE"""),122.94)</f>
        <v>122.94</v>
      </c>
      <c r="C495" s="1">
        <f>IFERROR(__xludf.DUMMYFUNCTION("""COMPUTED_VALUE"""),126.43)</f>
        <v>126.43</v>
      </c>
      <c r="D495" s="1">
        <f>IFERROR(__xludf.DUMMYFUNCTION("""COMPUTED_VALUE"""),122.74)</f>
        <v>122.74</v>
      </c>
      <c r="E495" s="1">
        <f>IFERROR(__xludf.DUMMYFUNCTION("""COMPUTED_VALUE"""),125.05)</f>
        <v>125.05</v>
      </c>
      <c r="F495" s="1">
        <f>IFERROR(__xludf.DUMMYFUNCTION("""COMPUTED_VALUE"""),3.5253034E7)</f>
        <v>35253034</v>
      </c>
    </row>
    <row r="496">
      <c r="A496" s="2">
        <f>IFERROR(__xludf.DUMMYFUNCTION("""COMPUTED_VALUE"""),45069.66666666667)</f>
        <v>45069.66667</v>
      </c>
      <c r="B496" s="1">
        <f>IFERROR(__xludf.DUMMYFUNCTION("""COMPUTED_VALUE"""),124.16)</f>
        <v>124.16</v>
      </c>
      <c r="C496" s="1">
        <f>IFERROR(__xludf.DUMMYFUNCTION("""COMPUTED_VALUE"""),124.63)</f>
        <v>124.63</v>
      </c>
      <c r="D496" s="1">
        <f>IFERROR(__xludf.DUMMYFUNCTION("""COMPUTED_VALUE"""),122.21)</f>
        <v>122.21</v>
      </c>
      <c r="E496" s="1">
        <f>IFERROR(__xludf.DUMMYFUNCTION("""COMPUTED_VALUE"""),122.56)</f>
        <v>122.56</v>
      </c>
      <c r="F496" s="1">
        <f>IFERROR(__xludf.DUMMYFUNCTION("""COMPUTED_VALUE"""),3.4046251E7)</f>
        <v>34046251</v>
      </c>
    </row>
    <row r="497">
      <c r="A497" s="2">
        <f>IFERROR(__xludf.DUMMYFUNCTION("""COMPUTED_VALUE"""),45070.66666666667)</f>
        <v>45070.66667</v>
      </c>
      <c r="B497" s="1">
        <f>IFERROR(__xludf.DUMMYFUNCTION("""COMPUTED_VALUE"""),121.12)</f>
        <v>121.12</v>
      </c>
      <c r="C497" s="1">
        <f>IFERROR(__xludf.DUMMYFUNCTION("""COMPUTED_VALUE"""),121.91)</f>
        <v>121.91</v>
      </c>
      <c r="D497" s="1">
        <f>IFERROR(__xludf.DUMMYFUNCTION("""COMPUTED_VALUE"""),119.86)</f>
        <v>119.86</v>
      </c>
      <c r="E497" s="1">
        <f>IFERROR(__xludf.DUMMYFUNCTION("""COMPUTED_VALUE"""),120.9)</f>
        <v>120.9</v>
      </c>
      <c r="F497" s="1">
        <f>IFERROR(__xludf.DUMMYFUNCTION("""COMPUTED_VALUE"""),3.4182635E7)</f>
        <v>34182635</v>
      </c>
    </row>
    <row r="498">
      <c r="A498" s="2">
        <f>IFERROR(__xludf.DUMMYFUNCTION("""COMPUTED_VALUE"""),45071.66666666667)</f>
        <v>45071.66667</v>
      </c>
      <c r="B498" s="1">
        <f>IFERROR(__xludf.DUMMYFUNCTION("""COMPUTED_VALUE"""),124.52)</f>
        <v>124.52</v>
      </c>
      <c r="C498" s="1">
        <f>IFERROR(__xludf.DUMMYFUNCTION("""COMPUTED_VALUE"""),125.32)</f>
        <v>125.32</v>
      </c>
      <c r="D498" s="1">
        <f>IFERROR(__xludf.DUMMYFUNCTION("""COMPUTED_VALUE"""),121.96)</f>
        <v>121.96</v>
      </c>
      <c r="E498" s="1">
        <f>IFERROR(__xludf.DUMMYFUNCTION("""COMPUTED_VALUE"""),123.48)</f>
        <v>123.48</v>
      </c>
      <c r="F498" s="1">
        <f>IFERROR(__xludf.DUMMYFUNCTION("""COMPUTED_VALUE"""),4.2316986E7)</f>
        <v>42316986</v>
      </c>
    </row>
    <row r="499">
      <c r="A499" s="2">
        <f>IFERROR(__xludf.DUMMYFUNCTION("""COMPUTED_VALUE"""),45072.66666666667)</f>
        <v>45072.66667</v>
      </c>
      <c r="B499" s="1">
        <f>IFERROR(__xludf.DUMMYFUNCTION("""COMPUTED_VALUE"""),123.17)</f>
        <v>123.17</v>
      </c>
      <c r="C499" s="1">
        <f>IFERROR(__xludf.DUMMYFUNCTION("""COMPUTED_VALUE"""),125.26)</f>
        <v>125.26</v>
      </c>
      <c r="D499" s="1">
        <f>IFERROR(__xludf.DUMMYFUNCTION("""COMPUTED_VALUE"""),122.45)</f>
        <v>122.45</v>
      </c>
      <c r="E499" s="1">
        <f>IFERROR(__xludf.DUMMYFUNCTION("""COMPUTED_VALUE"""),124.61)</f>
        <v>124.61</v>
      </c>
      <c r="F499" s="1">
        <f>IFERROR(__xludf.DUMMYFUNCTION("""COMPUTED_VALUE"""),3.5635937E7)</f>
        <v>35635937</v>
      </c>
    </row>
    <row r="500">
      <c r="A500" s="2">
        <f>IFERROR(__xludf.DUMMYFUNCTION("""COMPUTED_VALUE"""),45076.66666666667)</f>
        <v>45076.66667</v>
      </c>
      <c r="B500" s="1">
        <f>IFERROR(__xludf.DUMMYFUNCTION("""COMPUTED_VALUE"""),125.64)</f>
        <v>125.64</v>
      </c>
      <c r="C500" s="1">
        <f>IFERROR(__xludf.DUMMYFUNCTION("""COMPUTED_VALUE"""),125.66)</f>
        <v>125.66</v>
      </c>
      <c r="D500" s="1">
        <f>IFERROR(__xludf.DUMMYFUNCTION("""COMPUTED_VALUE"""),122.0)</f>
        <v>122</v>
      </c>
      <c r="E500" s="1">
        <f>IFERROR(__xludf.DUMMYFUNCTION("""COMPUTED_VALUE"""),123.67)</f>
        <v>123.67</v>
      </c>
      <c r="F500" s="1">
        <f>IFERROR(__xludf.DUMMYFUNCTION("""COMPUTED_VALUE"""),3.5076658E7)</f>
        <v>35076658</v>
      </c>
    </row>
    <row r="501">
      <c r="A501" s="2">
        <f>IFERROR(__xludf.DUMMYFUNCTION("""COMPUTED_VALUE"""),45077.66666666667)</f>
        <v>45077.66667</v>
      </c>
      <c r="B501" s="1">
        <f>IFERROR(__xludf.DUMMYFUNCTION("""COMPUTED_VALUE"""),122.75)</f>
        <v>122.75</v>
      </c>
      <c r="C501" s="1">
        <f>IFERROR(__xludf.DUMMYFUNCTION("""COMPUTED_VALUE"""),124.06)</f>
        <v>124.06</v>
      </c>
      <c r="D501" s="1">
        <f>IFERROR(__xludf.DUMMYFUNCTION("""COMPUTED_VALUE"""),122.5)</f>
        <v>122.5</v>
      </c>
      <c r="E501" s="1">
        <f>IFERROR(__xludf.DUMMYFUNCTION("""COMPUTED_VALUE"""),122.87)</f>
        <v>122.87</v>
      </c>
      <c r="F501" s="1">
        <f>IFERROR(__xludf.DUMMYFUNCTION("""COMPUTED_VALUE"""),3.7325787E7)</f>
        <v>37325787</v>
      </c>
    </row>
    <row r="502">
      <c r="A502" s="2">
        <f>IFERROR(__xludf.DUMMYFUNCTION("""COMPUTED_VALUE"""),45078.66666666667)</f>
        <v>45078.66667</v>
      </c>
      <c r="B502" s="1">
        <f>IFERROR(__xludf.DUMMYFUNCTION("""COMPUTED_VALUE"""),122.82)</f>
        <v>122.82</v>
      </c>
      <c r="C502" s="1">
        <f>IFERROR(__xludf.DUMMYFUNCTION("""COMPUTED_VALUE"""),124.42)</f>
        <v>124.42</v>
      </c>
      <c r="D502" s="1">
        <f>IFERROR(__xludf.DUMMYFUNCTION("""COMPUTED_VALUE"""),122.62)</f>
        <v>122.62</v>
      </c>
      <c r="E502" s="1">
        <f>IFERROR(__xludf.DUMMYFUNCTION("""COMPUTED_VALUE"""),123.72)</f>
        <v>123.72</v>
      </c>
      <c r="F502" s="1">
        <f>IFERROR(__xludf.DUMMYFUNCTION("""COMPUTED_VALUE"""),3.0772683E7)</f>
        <v>30772683</v>
      </c>
    </row>
    <row r="503">
      <c r="A503" s="2">
        <f>IFERROR(__xludf.DUMMYFUNCTION("""COMPUTED_VALUE"""),45079.66666666667)</f>
        <v>45079.66667</v>
      </c>
      <c r="B503" s="1">
        <f>IFERROR(__xludf.DUMMYFUNCTION("""COMPUTED_VALUE"""),123.99)</f>
        <v>123.99</v>
      </c>
      <c r="C503" s="1">
        <f>IFERROR(__xludf.DUMMYFUNCTION("""COMPUTED_VALUE"""),126.15)</f>
        <v>126.15</v>
      </c>
      <c r="D503" s="1">
        <f>IFERROR(__xludf.DUMMYFUNCTION("""COMPUTED_VALUE"""),123.76)</f>
        <v>123.76</v>
      </c>
      <c r="E503" s="1">
        <f>IFERROR(__xludf.DUMMYFUNCTION("""COMPUTED_VALUE"""),124.67)</f>
        <v>124.67</v>
      </c>
      <c r="F503" s="1">
        <f>IFERROR(__xludf.DUMMYFUNCTION("""COMPUTED_VALUE"""),2.6980147E7)</f>
        <v>26980147</v>
      </c>
    </row>
    <row r="504">
      <c r="A504" s="2">
        <f>IFERROR(__xludf.DUMMYFUNCTION("""COMPUTED_VALUE"""),45082.66666666667)</f>
        <v>45082.66667</v>
      </c>
      <c r="B504" s="1">
        <f>IFERROR(__xludf.DUMMYFUNCTION("""COMPUTED_VALUE"""),124.01)</f>
        <v>124.01</v>
      </c>
      <c r="C504" s="1">
        <f>IFERROR(__xludf.DUMMYFUNCTION("""COMPUTED_VALUE"""),127.43)</f>
        <v>127.43</v>
      </c>
      <c r="D504" s="1">
        <f>IFERROR(__xludf.DUMMYFUNCTION("""COMPUTED_VALUE"""),123.84)</f>
        <v>123.84</v>
      </c>
      <c r="E504" s="1">
        <f>IFERROR(__xludf.DUMMYFUNCTION("""COMPUTED_VALUE"""),126.01)</f>
        <v>126.01</v>
      </c>
      <c r="F504" s="1">
        <f>IFERROR(__xludf.DUMMYFUNCTION("""COMPUTED_VALUE"""),3.2305531E7)</f>
        <v>32305531</v>
      </c>
    </row>
    <row r="505">
      <c r="A505" s="2">
        <f>IFERROR(__xludf.DUMMYFUNCTION("""COMPUTED_VALUE"""),45083.66666666667)</f>
        <v>45083.66667</v>
      </c>
      <c r="B505" s="1">
        <f>IFERROR(__xludf.DUMMYFUNCTION("""COMPUTED_VALUE"""),126.01)</f>
        <v>126.01</v>
      </c>
      <c r="C505" s="1">
        <f>IFERROR(__xludf.DUMMYFUNCTION("""COMPUTED_VALUE"""),128.29)</f>
        <v>128.29</v>
      </c>
      <c r="D505" s="1">
        <f>IFERROR(__xludf.DUMMYFUNCTION("""COMPUTED_VALUE"""),125.36)</f>
        <v>125.36</v>
      </c>
      <c r="E505" s="1">
        <f>IFERROR(__xludf.DUMMYFUNCTION("""COMPUTED_VALUE"""),127.31)</f>
        <v>127.31</v>
      </c>
      <c r="F505" s="1">
        <f>IFERROR(__xludf.DUMMYFUNCTION("""COMPUTED_VALUE"""),2.6638295E7)</f>
        <v>26638295</v>
      </c>
    </row>
    <row r="506">
      <c r="A506" s="2">
        <f>IFERROR(__xludf.DUMMYFUNCTION("""COMPUTED_VALUE"""),45084.66666666667)</f>
        <v>45084.66667</v>
      </c>
      <c r="B506" s="1">
        <f>IFERROR(__xludf.DUMMYFUNCTION("""COMPUTED_VALUE"""),126.97)</f>
        <v>126.97</v>
      </c>
      <c r="C506" s="1">
        <f>IFERROR(__xludf.DUMMYFUNCTION("""COMPUTED_VALUE"""),129.04)</f>
        <v>129.04</v>
      </c>
      <c r="D506" s="1">
        <f>IFERROR(__xludf.DUMMYFUNCTION("""COMPUTED_VALUE"""),122.12)</f>
        <v>122.12</v>
      </c>
      <c r="E506" s="1">
        <f>IFERROR(__xludf.DUMMYFUNCTION("""COMPUTED_VALUE"""),122.5)</f>
        <v>122.5</v>
      </c>
      <c r="F506" s="1">
        <f>IFERROR(__xludf.DUMMYFUNCTION("""COMPUTED_VALUE"""),5.2538986E7)</f>
        <v>52538986</v>
      </c>
    </row>
    <row r="507">
      <c r="A507" s="2">
        <f>IFERROR(__xludf.DUMMYFUNCTION("""COMPUTED_VALUE"""),45085.66666666667)</f>
        <v>45085.66667</v>
      </c>
      <c r="B507" s="1">
        <f>IFERROR(__xludf.DUMMYFUNCTION("""COMPUTED_VALUE"""),122.23)</f>
        <v>122.23</v>
      </c>
      <c r="C507" s="1">
        <f>IFERROR(__xludf.DUMMYFUNCTION("""COMPUTED_VALUE"""),123.23)</f>
        <v>123.23</v>
      </c>
      <c r="D507" s="1">
        <f>IFERROR(__xludf.DUMMYFUNCTION("""COMPUTED_VALUE"""),121.24)</f>
        <v>121.24</v>
      </c>
      <c r="E507" s="1">
        <f>IFERROR(__xludf.DUMMYFUNCTION("""COMPUTED_VALUE"""),122.14)</f>
        <v>122.14</v>
      </c>
      <c r="F507" s="1">
        <f>IFERROR(__xludf.DUMMYFUNCTION("""COMPUTED_VALUE"""),2.9389167E7)</f>
        <v>29389167</v>
      </c>
    </row>
    <row r="508">
      <c r="A508" s="2">
        <f>IFERROR(__xludf.DUMMYFUNCTION("""COMPUTED_VALUE"""),45086.66666666667)</f>
        <v>45086.66667</v>
      </c>
      <c r="B508" s="1">
        <f>IFERROR(__xludf.DUMMYFUNCTION("""COMPUTED_VALUE"""),122.25)</f>
        <v>122.25</v>
      </c>
      <c r="C508" s="1">
        <f>IFERROR(__xludf.DUMMYFUNCTION("""COMPUTED_VALUE"""),123.76)</f>
        <v>123.76</v>
      </c>
      <c r="D508" s="1">
        <f>IFERROR(__xludf.DUMMYFUNCTION("""COMPUTED_VALUE"""),121.91)</f>
        <v>121.91</v>
      </c>
      <c r="E508" s="1">
        <f>IFERROR(__xludf.DUMMYFUNCTION("""COMPUTED_VALUE"""),122.23)</f>
        <v>122.23</v>
      </c>
      <c r="F508" s="1">
        <f>IFERROR(__xludf.DUMMYFUNCTION("""COMPUTED_VALUE"""),2.3778319E7)</f>
        <v>23778319</v>
      </c>
    </row>
    <row r="509">
      <c r="A509" s="2">
        <f>IFERROR(__xludf.DUMMYFUNCTION("""COMPUTED_VALUE"""),45089.66666666667)</f>
        <v>45089.66667</v>
      </c>
      <c r="B509" s="1">
        <f>IFERROR(__xludf.DUMMYFUNCTION("""COMPUTED_VALUE"""),122.79)</f>
        <v>122.79</v>
      </c>
      <c r="C509" s="1">
        <f>IFERROR(__xludf.DUMMYFUNCTION("""COMPUTED_VALUE"""),124.05)</f>
        <v>124.05</v>
      </c>
      <c r="D509" s="1">
        <f>IFERROR(__xludf.DUMMYFUNCTION("""COMPUTED_VALUE"""),121.66)</f>
        <v>121.66</v>
      </c>
      <c r="E509" s="1">
        <f>IFERROR(__xludf.DUMMYFUNCTION("""COMPUTED_VALUE"""),123.64)</f>
        <v>123.64</v>
      </c>
      <c r="F509" s="1">
        <f>IFERROR(__xludf.DUMMYFUNCTION("""COMPUTED_VALUE"""),2.8338743E7)</f>
        <v>28338743</v>
      </c>
    </row>
    <row r="510">
      <c r="A510" s="2">
        <f>IFERROR(__xludf.DUMMYFUNCTION("""COMPUTED_VALUE"""),45090.66666666667)</f>
        <v>45090.66667</v>
      </c>
      <c r="B510" s="1">
        <f>IFERROR(__xludf.DUMMYFUNCTION("""COMPUTED_VALUE"""),124.98)</f>
        <v>124.98</v>
      </c>
      <c r="C510" s="1">
        <f>IFERROR(__xludf.DUMMYFUNCTION("""COMPUTED_VALUE"""),125.16)</f>
        <v>125.16</v>
      </c>
      <c r="D510" s="1">
        <f>IFERROR(__xludf.DUMMYFUNCTION("""COMPUTED_VALUE"""),123.18)</f>
        <v>123.18</v>
      </c>
      <c r="E510" s="1">
        <f>IFERROR(__xludf.DUMMYFUNCTION("""COMPUTED_VALUE"""),123.83)</f>
        <v>123.83</v>
      </c>
      <c r="F510" s="1">
        <f>IFERROR(__xludf.DUMMYFUNCTION("""COMPUTED_VALUE"""),2.2278313E7)</f>
        <v>22278313</v>
      </c>
    </row>
    <row r="511">
      <c r="A511" s="2">
        <f>IFERROR(__xludf.DUMMYFUNCTION("""COMPUTED_VALUE"""),45091.66666666667)</f>
        <v>45091.66667</v>
      </c>
      <c r="B511" s="1">
        <f>IFERROR(__xludf.DUMMYFUNCTION("""COMPUTED_VALUE"""),123.1)</f>
        <v>123.1</v>
      </c>
      <c r="C511" s="1">
        <f>IFERROR(__xludf.DUMMYFUNCTION("""COMPUTED_VALUE"""),124.05)</f>
        <v>124.05</v>
      </c>
      <c r="D511" s="1">
        <f>IFERROR(__xludf.DUMMYFUNCTION("""COMPUTED_VALUE"""),121.45)</f>
        <v>121.45</v>
      </c>
      <c r="E511" s="1">
        <f>IFERROR(__xludf.DUMMYFUNCTION("""COMPUTED_VALUE"""),123.67)</f>
        <v>123.67</v>
      </c>
      <c r="F511" s="1">
        <f>IFERROR(__xludf.DUMMYFUNCTION("""COMPUTED_VALUE"""),3.0592297E7)</f>
        <v>30592297</v>
      </c>
    </row>
    <row r="512">
      <c r="A512" s="2">
        <f>IFERROR(__xludf.DUMMYFUNCTION("""COMPUTED_VALUE"""),45092.66666666667)</f>
        <v>45092.66667</v>
      </c>
      <c r="B512" s="1">
        <f>IFERROR(__xludf.DUMMYFUNCTION("""COMPUTED_VALUE"""),123.14)</f>
        <v>123.14</v>
      </c>
      <c r="C512" s="1">
        <f>IFERROR(__xludf.DUMMYFUNCTION("""COMPUTED_VALUE"""),125.46)</f>
        <v>125.46</v>
      </c>
      <c r="D512" s="1">
        <f>IFERROR(__xludf.DUMMYFUNCTION("""COMPUTED_VALUE"""),122.4)</f>
        <v>122.4</v>
      </c>
      <c r="E512" s="1">
        <f>IFERROR(__xludf.DUMMYFUNCTION("""COMPUTED_VALUE"""),125.09)</f>
        <v>125.09</v>
      </c>
      <c r="F512" s="1">
        <f>IFERROR(__xludf.DUMMYFUNCTION("""COMPUTED_VALUE"""),3.5246268E7)</f>
        <v>35246268</v>
      </c>
    </row>
    <row r="513">
      <c r="A513" s="2">
        <f>IFERROR(__xludf.DUMMYFUNCTION("""COMPUTED_VALUE"""),45093.66666666667)</f>
        <v>45093.66667</v>
      </c>
      <c r="B513" s="1">
        <f>IFERROR(__xludf.DUMMYFUNCTION("""COMPUTED_VALUE"""),125.93)</f>
        <v>125.93</v>
      </c>
      <c r="C513" s="1">
        <f>IFERROR(__xludf.DUMMYFUNCTION("""COMPUTED_VALUE"""),126.11)</f>
        <v>126.11</v>
      </c>
      <c r="D513" s="1">
        <f>IFERROR(__xludf.DUMMYFUNCTION("""COMPUTED_VALUE"""),123.28)</f>
        <v>123.28</v>
      </c>
      <c r="E513" s="1">
        <f>IFERROR(__xludf.DUMMYFUNCTION("""COMPUTED_VALUE"""),123.53)</f>
        <v>123.53</v>
      </c>
      <c r="F513" s="1">
        <f>IFERROR(__xludf.DUMMYFUNCTION("""COMPUTED_VALUE"""),4.5535553E7)</f>
        <v>45535553</v>
      </c>
    </row>
    <row r="514">
      <c r="A514" s="2">
        <f>IFERROR(__xludf.DUMMYFUNCTION("""COMPUTED_VALUE"""),45097.66666666667)</f>
        <v>45097.66667</v>
      </c>
      <c r="B514" s="1">
        <f>IFERROR(__xludf.DUMMYFUNCTION("""COMPUTED_VALUE"""),122.93)</f>
        <v>122.93</v>
      </c>
      <c r="C514" s="1">
        <f>IFERROR(__xludf.DUMMYFUNCTION("""COMPUTED_VALUE"""),124.57)</f>
        <v>124.57</v>
      </c>
      <c r="D514" s="1">
        <f>IFERROR(__xludf.DUMMYFUNCTION("""COMPUTED_VALUE"""),122.14)</f>
        <v>122.14</v>
      </c>
      <c r="E514" s="1">
        <f>IFERROR(__xludf.DUMMYFUNCTION("""COMPUTED_VALUE"""),123.1)</f>
        <v>123.1</v>
      </c>
      <c r="F514" s="1">
        <f>IFERROR(__xludf.DUMMYFUNCTION("""COMPUTED_VALUE"""),2.6097492E7)</f>
        <v>26097492</v>
      </c>
    </row>
    <row r="515">
      <c r="A515" s="2">
        <f>IFERROR(__xludf.DUMMYFUNCTION("""COMPUTED_VALUE"""),45098.66666666667)</f>
        <v>45098.66667</v>
      </c>
      <c r="B515" s="1">
        <f>IFERROR(__xludf.DUMMYFUNCTION("""COMPUTED_VALUE"""),122.4)</f>
        <v>122.4</v>
      </c>
      <c r="C515" s="1">
        <f>IFERROR(__xludf.DUMMYFUNCTION("""COMPUTED_VALUE"""),122.66)</f>
        <v>122.66</v>
      </c>
      <c r="D515" s="1">
        <f>IFERROR(__xludf.DUMMYFUNCTION("""COMPUTED_VALUE"""),120.1)</f>
        <v>120.1</v>
      </c>
      <c r="E515" s="1">
        <f>IFERROR(__xludf.DUMMYFUNCTION("""COMPUTED_VALUE"""),120.55)</f>
        <v>120.55</v>
      </c>
      <c r="F515" s="1">
        <f>IFERROR(__xludf.DUMMYFUNCTION("""COMPUTED_VALUE"""),3.0306336E7)</f>
        <v>30306336</v>
      </c>
    </row>
    <row r="516">
      <c r="A516" s="2">
        <f>IFERROR(__xludf.DUMMYFUNCTION("""COMPUTED_VALUE"""),45099.66666666667)</f>
        <v>45099.66667</v>
      </c>
      <c r="B516" s="1">
        <f>IFERROR(__xludf.DUMMYFUNCTION("""COMPUTED_VALUE"""),120.0)</f>
        <v>120</v>
      </c>
      <c r="C516" s="1">
        <f>IFERROR(__xludf.DUMMYFUNCTION("""COMPUTED_VALUE"""),123.24)</f>
        <v>123.24</v>
      </c>
      <c r="D516" s="1">
        <f>IFERROR(__xludf.DUMMYFUNCTION("""COMPUTED_VALUE"""),118.83)</f>
        <v>118.83</v>
      </c>
      <c r="E516" s="1">
        <f>IFERROR(__xludf.DUMMYFUNCTION("""COMPUTED_VALUE"""),123.15)</f>
        <v>123.15</v>
      </c>
      <c r="F516" s="1">
        <f>IFERROR(__xludf.DUMMYFUNCTION("""COMPUTED_VALUE"""),2.6952246E7)</f>
        <v>26952246</v>
      </c>
    </row>
    <row r="517">
      <c r="A517" s="2">
        <f>IFERROR(__xludf.DUMMYFUNCTION("""COMPUTED_VALUE"""),45100.66666666667)</f>
        <v>45100.66667</v>
      </c>
      <c r="B517" s="1">
        <f>IFERROR(__xludf.DUMMYFUNCTION("""COMPUTED_VALUE"""),121.38)</f>
        <v>121.38</v>
      </c>
      <c r="C517" s="1">
        <f>IFERROR(__xludf.DUMMYFUNCTION("""COMPUTED_VALUE"""),122.79)</f>
        <v>122.79</v>
      </c>
      <c r="D517" s="1">
        <f>IFERROR(__xludf.DUMMYFUNCTION("""COMPUTED_VALUE"""),121.06)</f>
        <v>121.06</v>
      </c>
      <c r="E517" s="1">
        <f>IFERROR(__xludf.DUMMYFUNCTION("""COMPUTED_VALUE"""),122.34)</f>
        <v>122.34</v>
      </c>
      <c r="F517" s="1">
        <f>IFERROR(__xludf.DUMMYFUNCTION("""COMPUTED_VALUE"""),3.4913637E7)</f>
        <v>34913637</v>
      </c>
    </row>
    <row r="518">
      <c r="A518" s="2">
        <f>IFERROR(__xludf.DUMMYFUNCTION("""COMPUTED_VALUE"""),45103.66666666667)</f>
        <v>45103.66667</v>
      </c>
      <c r="B518" s="1">
        <f>IFERROR(__xludf.DUMMYFUNCTION("""COMPUTED_VALUE"""),120.76)</f>
        <v>120.76</v>
      </c>
      <c r="C518" s="1">
        <f>IFERROR(__xludf.DUMMYFUNCTION("""COMPUTED_VALUE"""),122.0)</f>
        <v>122</v>
      </c>
      <c r="D518" s="1">
        <f>IFERROR(__xludf.DUMMYFUNCTION("""COMPUTED_VALUE"""),118.27)</f>
        <v>118.27</v>
      </c>
      <c r="E518" s="1">
        <f>IFERROR(__xludf.DUMMYFUNCTION("""COMPUTED_VALUE"""),118.34)</f>
        <v>118.34</v>
      </c>
      <c r="F518" s="1">
        <f>IFERROR(__xludf.DUMMYFUNCTION("""COMPUTED_VALUE"""),3.3969897E7)</f>
        <v>33969897</v>
      </c>
    </row>
    <row r="519">
      <c r="A519" s="2">
        <f>IFERROR(__xludf.DUMMYFUNCTION("""COMPUTED_VALUE"""),45104.66666666667)</f>
        <v>45104.66667</v>
      </c>
      <c r="B519" s="1">
        <f>IFERROR(__xludf.DUMMYFUNCTION("""COMPUTED_VALUE"""),117.08)</f>
        <v>117.08</v>
      </c>
      <c r="C519" s="1">
        <f>IFERROR(__xludf.DUMMYFUNCTION("""COMPUTED_VALUE"""),119.08)</f>
        <v>119.08</v>
      </c>
      <c r="D519" s="1">
        <f>IFERROR(__xludf.DUMMYFUNCTION("""COMPUTED_VALUE"""),116.1)</f>
        <v>116.1</v>
      </c>
      <c r="E519" s="1">
        <f>IFERROR(__xludf.DUMMYFUNCTION("""COMPUTED_VALUE"""),118.33)</f>
        <v>118.33</v>
      </c>
      <c r="F519" s="1">
        <f>IFERROR(__xludf.DUMMYFUNCTION("""COMPUTED_VALUE"""),3.9535936E7)</f>
        <v>39535936</v>
      </c>
    </row>
    <row r="520">
      <c r="A520" s="2">
        <f>IFERROR(__xludf.DUMMYFUNCTION("""COMPUTED_VALUE"""),45105.66666666667)</f>
        <v>45105.66667</v>
      </c>
      <c r="B520" s="1">
        <f>IFERROR(__xludf.DUMMYFUNCTION("""COMPUTED_VALUE"""),117.09)</f>
        <v>117.09</v>
      </c>
      <c r="C520" s="1">
        <f>IFERROR(__xludf.DUMMYFUNCTION("""COMPUTED_VALUE"""),120.39)</f>
        <v>120.39</v>
      </c>
      <c r="D520" s="1">
        <f>IFERROR(__xludf.DUMMYFUNCTION("""COMPUTED_VALUE"""),116.85)</f>
        <v>116.85</v>
      </c>
      <c r="E520" s="1">
        <f>IFERROR(__xludf.DUMMYFUNCTION("""COMPUTED_VALUE"""),120.18)</f>
        <v>120.18</v>
      </c>
      <c r="F520" s="1">
        <f>IFERROR(__xludf.DUMMYFUNCTION("""COMPUTED_VALUE"""),2.7091449E7)</f>
        <v>27091449</v>
      </c>
    </row>
    <row r="521">
      <c r="A521" s="2">
        <f>IFERROR(__xludf.DUMMYFUNCTION("""COMPUTED_VALUE"""),45106.66666666667)</f>
        <v>45106.66667</v>
      </c>
      <c r="B521" s="1">
        <f>IFERROR(__xludf.DUMMYFUNCTION("""COMPUTED_VALUE"""),119.24)</f>
        <v>119.24</v>
      </c>
      <c r="C521" s="1">
        <f>IFERROR(__xludf.DUMMYFUNCTION("""COMPUTED_VALUE"""),120.06)</f>
        <v>120.06</v>
      </c>
      <c r="D521" s="1">
        <f>IFERROR(__xludf.DUMMYFUNCTION("""COMPUTED_VALUE"""),118.3)</f>
        <v>118.3</v>
      </c>
      <c r="E521" s="1">
        <f>IFERROR(__xludf.DUMMYFUNCTION("""COMPUTED_VALUE"""),119.1)</f>
        <v>119.1</v>
      </c>
      <c r="F521" s="1">
        <f>IFERROR(__xludf.DUMMYFUNCTION("""COMPUTED_VALUE"""),2.4090902E7)</f>
        <v>24090902</v>
      </c>
    </row>
    <row r="522">
      <c r="A522" s="2">
        <f>IFERROR(__xludf.DUMMYFUNCTION("""COMPUTED_VALUE"""),45107.66666666667)</f>
        <v>45107.66667</v>
      </c>
      <c r="B522" s="1">
        <f>IFERROR(__xludf.DUMMYFUNCTION("""COMPUTED_VALUE"""),120.17)</f>
        <v>120.17</v>
      </c>
      <c r="C522" s="1">
        <f>IFERROR(__xludf.DUMMYFUNCTION("""COMPUTED_VALUE"""),121.08)</f>
        <v>121.08</v>
      </c>
      <c r="D522" s="1">
        <f>IFERROR(__xludf.DUMMYFUNCTION("""COMPUTED_VALUE"""),119.69)</f>
        <v>119.69</v>
      </c>
      <c r="E522" s="1">
        <f>IFERROR(__xludf.DUMMYFUNCTION("""COMPUTED_VALUE"""),119.7)</f>
        <v>119.7</v>
      </c>
      <c r="F522" s="1">
        <f>IFERROR(__xludf.DUMMYFUNCTION("""COMPUTED_VALUE"""),2.9532241E7)</f>
        <v>29532241</v>
      </c>
    </row>
    <row r="523">
      <c r="A523" s="2">
        <f>IFERROR(__xludf.DUMMYFUNCTION("""COMPUTED_VALUE"""),45110.54513888889)</f>
        <v>45110.54514</v>
      </c>
      <c r="B523" s="1">
        <f>IFERROR(__xludf.DUMMYFUNCTION("""COMPUTED_VALUE"""),119.24)</f>
        <v>119.24</v>
      </c>
      <c r="C523" s="1">
        <f>IFERROR(__xludf.DUMMYFUNCTION("""COMPUTED_VALUE"""),120.19)</f>
        <v>120.19</v>
      </c>
      <c r="D523" s="1">
        <f>IFERROR(__xludf.DUMMYFUNCTION("""COMPUTED_VALUE"""),118.82)</f>
        <v>118.82</v>
      </c>
      <c r="E523" s="1">
        <f>IFERROR(__xludf.DUMMYFUNCTION("""COMPUTED_VALUE"""),119.9)</f>
        <v>119.9</v>
      </c>
      <c r="F523" s="1">
        <f>IFERROR(__xludf.DUMMYFUNCTION("""COMPUTED_VALUE"""),1.446785E7)</f>
        <v>14467850</v>
      </c>
    </row>
    <row r="524">
      <c r="A524" s="2">
        <f>IFERROR(__xludf.DUMMYFUNCTION("""COMPUTED_VALUE"""),45112.66666666667)</f>
        <v>45112.66667</v>
      </c>
      <c r="B524" s="1">
        <f>IFERROR(__xludf.DUMMYFUNCTION("""COMPUTED_VALUE"""),119.24)</f>
        <v>119.24</v>
      </c>
      <c r="C524" s="1">
        <f>IFERROR(__xludf.DUMMYFUNCTION("""COMPUTED_VALUE"""),122.61)</f>
        <v>122.61</v>
      </c>
      <c r="D524" s="1">
        <f>IFERROR(__xludf.DUMMYFUNCTION("""COMPUTED_VALUE"""),119.23)</f>
        <v>119.23</v>
      </c>
      <c r="E524" s="1">
        <f>IFERROR(__xludf.DUMMYFUNCTION("""COMPUTED_VALUE"""),121.75)</f>
        <v>121.75</v>
      </c>
      <c r="F524" s="1">
        <f>IFERROR(__xludf.DUMMYFUNCTION("""COMPUTED_VALUE"""),2.7584809E7)</f>
        <v>27584809</v>
      </c>
    </row>
    <row r="525">
      <c r="A525" s="2">
        <f>IFERROR(__xludf.DUMMYFUNCTION("""COMPUTED_VALUE"""),45113.66666666667)</f>
        <v>45113.66667</v>
      </c>
      <c r="B525" s="1">
        <f>IFERROR(__xludf.DUMMYFUNCTION("""COMPUTED_VALUE"""),119.8)</f>
        <v>119.8</v>
      </c>
      <c r="C525" s="1">
        <f>IFERROR(__xludf.DUMMYFUNCTION("""COMPUTED_VALUE"""),120.3)</f>
        <v>120.3</v>
      </c>
      <c r="D525" s="1">
        <f>IFERROR(__xludf.DUMMYFUNCTION("""COMPUTED_VALUE"""),118.4)</f>
        <v>118.4</v>
      </c>
      <c r="E525" s="1">
        <f>IFERROR(__xludf.DUMMYFUNCTION("""COMPUTED_VALUE"""),120.11)</f>
        <v>120.11</v>
      </c>
      <c r="F525" s="1">
        <f>IFERROR(__xludf.DUMMYFUNCTION("""COMPUTED_VALUE"""),2.4778801E7)</f>
        <v>24778801</v>
      </c>
    </row>
    <row r="526">
      <c r="A526" s="2">
        <f>IFERROR(__xludf.DUMMYFUNCTION("""COMPUTED_VALUE"""),45114.66666666667)</f>
        <v>45114.66667</v>
      </c>
      <c r="B526" s="1">
        <f>IFERROR(__xludf.DUMMYFUNCTION("""COMPUTED_VALUE"""),120.1)</f>
        <v>120.1</v>
      </c>
      <c r="C526" s="1">
        <f>IFERROR(__xludf.DUMMYFUNCTION("""COMPUTED_VALUE"""),121.05)</f>
        <v>121.05</v>
      </c>
      <c r="D526" s="1">
        <f>IFERROR(__xludf.DUMMYFUNCTION("""COMPUTED_VALUE"""),119.4)</f>
        <v>119.4</v>
      </c>
      <c r="E526" s="1">
        <f>IFERROR(__xludf.DUMMYFUNCTION("""COMPUTED_VALUE"""),119.48)</f>
        <v>119.48</v>
      </c>
      <c r="F526" s="1">
        <f>IFERROR(__xludf.DUMMYFUNCTION("""COMPUTED_VALUE"""),2.1709549E7)</f>
        <v>21709549</v>
      </c>
    </row>
    <row r="527">
      <c r="A527" s="2">
        <f>IFERROR(__xludf.DUMMYFUNCTION("""COMPUTED_VALUE"""),45117.66666666667)</f>
        <v>45117.66667</v>
      </c>
      <c r="B527" s="1">
        <f>IFERROR(__xludf.DUMMYFUNCTION("""COMPUTED_VALUE"""),118.3)</f>
        <v>118.3</v>
      </c>
      <c r="C527" s="1">
        <f>IFERROR(__xludf.DUMMYFUNCTION("""COMPUTED_VALUE"""),118.31)</f>
        <v>118.31</v>
      </c>
      <c r="D527" s="1">
        <f>IFERROR(__xludf.DUMMYFUNCTION("""COMPUTED_VALUE"""),116.14)</f>
        <v>116.14</v>
      </c>
      <c r="E527" s="1">
        <f>IFERROR(__xludf.DUMMYFUNCTION("""COMPUTED_VALUE"""),116.45)</f>
        <v>116.45</v>
      </c>
      <c r="F527" s="1">
        <f>IFERROR(__xludf.DUMMYFUNCTION("""COMPUTED_VALUE"""),3.5315235E7)</f>
        <v>35315235</v>
      </c>
    </row>
    <row r="528">
      <c r="A528" s="2">
        <f>IFERROR(__xludf.DUMMYFUNCTION("""COMPUTED_VALUE"""),45118.66666666667)</f>
        <v>45118.66667</v>
      </c>
      <c r="B528" s="1">
        <f>IFERROR(__xludf.DUMMYFUNCTION("""COMPUTED_VALUE"""),116.29)</f>
        <v>116.29</v>
      </c>
      <c r="C528" s="1">
        <f>IFERROR(__xludf.DUMMYFUNCTION("""COMPUTED_VALUE"""),117.71)</f>
        <v>117.71</v>
      </c>
      <c r="D528" s="1">
        <f>IFERROR(__xludf.DUMMYFUNCTION("""COMPUTED_VALUE"""),115.35)</f>
        <v>115.35</v>
      </c>
      <c r="E528" s="1">
        <f>IFERROR(__xludf.DUMMYFUNCTION("""COMPUTED_VALUE"""),117.14)</f>
        <v>117.14</v>
      </c>
      <c r="F528" s="1">
        <f>IFERROR(__xludf.DUMMYFUNCTION("""COMPUTED_VALUE"""),2.3078782E7)</f>
        <v>23078782</v>
      </c>
    </row>
    <row r="529">
      <c r="A529" s="2">
        <f>IFERROR(__xludf.DUMMYFUNCTION("""COMPUTED_VALUE"""),45119.66666666667)</f>
        <v>45119.66667</v>
      </c>
      <c r="B529" s="1">
        <f>IFERROR(__xludf.DUMMYFUNCTION("""COMPUTED_VALUE"""),118.8)</f>
        <v>118.8</v>
      </c>
      <c r="C529" s="1">
        <f>IFERROR(__xludf.DUMMYFUNCTION("""COMPUTED_VALUE"""),120.33)</f>
        <v>120.33</v>
      </c>
      <c r="D529" s="1">
        <f>IFERROR(__xludf.DUMMYFUNCTION("""COMPUTED_VALUE"""),118.41)</f>
        <v>118.41</v>
      </c>
      <c r="E529" s="1">
        <f>IFERROR(__xludf.DUMMYFUNCTION("""COMPUTED_VALUE"""),118.93)</f>
        <v>118.93</v>
      </c>
      <c r="F529" s="1">
        <f>IFERROR(__xludf.DUMMYFUNCTION("""COMPUTED_VALUE"""),3.0404409E7)</f>
        <v>30404409</v>
      </c>
    </row>
    <row r="530">
      <c r="A530" s="2">
        <f>IFERROR(__xludf.DUMMYFUNCTION("""COMPUTED_VALUE"""),45120.66666666667)</f>
        <v>45120.66667</v>
      </c>
      <c r="B530" s="1">
        <f>IFERROR(__xludf.DUMMYFUNCTION("""COMPUTED_VALUE"""),120.93)</f>
        <v>120.93</v>
      </c>
      <c r="C530" s="1">
        <f>IFERROR(__xludf.DUMMYFUNCTION("""COMPUTED_VALUE"""),124.83)</f>
        <v>124.83</v>
      </c>
      <c r="D530" s="1">
        <f>IFERROR(__xludf.DUMMYFUNCTION("""COMPUTED_VALUE"""),120.45)</f>
        <v>120.45</v>
      </c>
      <c r="E530" s="1">
        <f>IFERROR(__xludf.DUMMYFUNCTION("""COMPUTED_VALUE"""),124.54)</f>
        <v>124.54</v>
      </c>
      <c r="F530" s="1">
        <f>IFERROR(__xludf.DUMMYFUNCTION("""COMPUTED_VALUE"""),4.4297915E7)</f>
        <v>44297915</v>
      </c>
    </row>
    <row r="531">
      <c r="A531" s="2">
        <f>IFERROR(__xludf.DUMMYFUNCTION("""COMPUTED_VALUE"""),45121.66666666667)</f>
        <v>45121.66667</v>
      </c>
      <c r="B531" s="1">
        <f>IFERROR(__xludf.DUMMYFUNCTION("""COMPUTED_VALUE"""),124.8)</f>
        <v>124.8</v>
      </c>
      <c r="C531" s="1">
        <f>IFERROR(__xludf.DUMMYFUNCTION("""COMPUTED_VALUE"""),126.78)</f>
        <v>126.78</v>
      </c>
      <c r="D531" s="1">
        <f>IFERROR(__xludf.DUMMYFUNCTION("""COMPUTED_VALUE"""),123.49)</f>
        <v>123.49</v>
      </c>
      <c r="E531" s="1">
        <f>IFERROR(__xludf.DUMMYFUNCTION("""COMPUTED_VALUE"""),125.42)</f>
        <v>125.42</v>
      </c>
      <c r="F531" s="1">
        <f>IFERROR(__xludf.DUMMYFUNCTION("""COMPUTED_VALUE"""),3.3283076E7)</f>
        <v>33283076</v>
      </c>
    </row>
    <row r="532">
      <c r="A532" s="2">
        <f>IFERROR(__xludf.DUMMYFUNCTION("""COMPUTED_VALUE"""),45124.66666666667)</f>
        <v>45124.66667</v>
      </c>
      <c r="B532" s="1">
        <f>IFERROR(__xludf.DUMMYFUNCTION("""COMPUTED_VALUE"""),125.94)</f>
        <v>125.94</v>
      </c>
      <c r="C532" s="1">
        <f>IFERROR(__xludf.DUMMYFUNCTION("""COMPUTED_VALUE"""),127.1)</f>
        <v>127.1</v>
      </c>
      <c r="D532" s="1">
        <f>IFERROR(__xludf.DUMMYFUNCTION("""COMPUTED_VALUE"""),124.2)</f>
        <v>124.2</v>
      </c>
      <c r="E532" s="1">
        <f>IFERROR(__xludf.DUMMYFUNCTION("""COMPUTED_VALUE"""),124.65)</f>
        <v>124.65</v>
      </c>
      <c r="F532" s="1">
        <f>IFERROR(__xludf.DUMMYFUNCTION("""COMPUTED_VALUE"""),2.5716215E7)</f>
        <v>25716215</v>
      </c>
    </row>
    <row r="533">
      <c r="A533" s="2">
        <f>IFERROR(__xludf.DUMMYFUNCTION("""COMPUTED_VALUE"""),45125.66666666667)</f>
        <v>45125.66667</v>
      </c>
      <c r="B533" s="1">
        <f>IFERROR(__xludf.DUMMYFUNCTION("""COMPUTED_VALUE"""),124.6)</f>
        <v>124.6</v>
      </c>
      <c r="C533" s="1">
        <f>IFERROR(__xludf.DUMMYFUNCTION("""COMPUTED_VALUE"""),124.68)</f>
        <v>124.68</v>
      </c>
      <c r="D533" s="1">
        <f>IFERROR(__xludf.DUMMYFUNCTION("""COMPUTED_VALUE"""),122.96)</f>
        <v>122.96</v>
      </c>
      <c r="E533" s="1">
        <f>IFERROR(__xludf.DUMMYFUNCTION("""COMPUTED_VALUE"""),123.76)</f>
        <v>123.76</v>
      </c>
      <c r="F533" s="1">
        <f>IFERROR(__xludf.DUMMYFUNCTION("""COMPUTED_VALUE"""),2.6226447E7)</f>
        <v>26226447</v>
      </c>
    </row>
    <row r="534">
      <c r="A534" s="2">
        <f>IFERROR(__xludf.DUMMYFUNCTION("""COMPUTED_VALUE"""),45126.66666666667)</f>
        <v>45126.66667</v>
      </c>
      <c r="B534" s="1">
        <f>IFERROR(__xludf.DUMMYFUNCTION("""COMPUTED_VALUE"""),124.6)</f>
        <v>124.6</v>
      </c>
      <c r="C534" s="1">
        <f>IFERROR(__xludf.DUMMYFUNCTION("""COMPUTED_VALUE"""),125.18)</f>
        <v>125.18</v>
      </c>
      <c r="D534" s="1">
        <f>IFERROR(__xludf.DUMMYFUNCTION("""COMPUTED_VALUE"""),121.8)</f>
        <v>121.8</v>
      </c>
      <c r="E534" s="1">
        <f>IFERROR(__xludf.DUMMYFUNCTION("""COMPUTED_VALUE"""),122.03)</f>
        <v>122.03</v>
      </c>
      <c r="F534" s="1">
        <f>IFERROR(__xludf.DUMMYFUNCTION("""COMPUTED_VALUE"""),3.7224033E7)</f>
        <v>37224033</v>
      </c>
    </row>
    <row r="535">
      <c r="A535" s="2">
        <f>IFERROR(__xludf.DUMMYFUNCTION("""COMPUTED_VALUE"""),45127.66666666667)</f>
        <v>45127.66667</v>
      </c>
      <c r="B535" s="1">
        <f>IFERROR(__xludf.DUMMYFUNCTION("""COMPUTED_VALUE"""),121.42)</f>
        <v>121.42</v>
      </c>
      <c r="C535" s="1">
        <f>IFERROR(__xludf.DUMMYFUNCTION("""COMPUTED_VALUE"""),124.09)</f>
        <v>124.09</v>
      </c>
      <c r="D535" s="1">
        <f>IFERROR(__xludf.DUMMYFUNCTION("""COMPUTED_VALUE"""),118.22)</f>
        <v>118.22</v>
      </c>
      <c r="E535" s="1">
        <f>IFERROR(__xludf.DUMMYFUNCTION("""COMPUTED_VALUE"""),119.2)</f>
        <v>119.2</v>
      </c>
      <c r="F535" s="1">
        <f>IFERROR(__xludf.DUMMYFUNCTION("""COMPUTED_VALUE"""),3.7906763E7)</f>
        <v>37906763</v>
      </c>
    </row>
    <row r="536">
      <c r="A536" s="2">
        <f>IFERROR(__xludf.DUMMYFUNCTION("""COMPUTED_VALUE"""),45128.66666666667)</f>
        <v>45128.66667</v>
      </c>
      <c r="B536" s="1">
        <f>IFERROR(__xludf.DUMMYFUNCTION("""COMPUTED_VALUE"""),120.62)</f>
        <v>120.62</v>
      </c>
      <c r="C536" s="1">
        <f>IFERROR(__xludf.DUMMYFUNCTION("""COMPUTED_VALUE"""),120.99)</f>
        <v>120.99</v>
      </c>
      <c r="D536" s="1">
        <f>IFERROR(__xludf.DUMMYFUNCTION("""COMPUTED_VALUE"""),118.73)</f>
        <v>118.73</v>
      </c>
      <c r="E536" s="1">
        <f>IFERROR(__xludf.DUMMYFUNCTION("""COMPUTED_VALUE"""),120.02)</f>
        <v>120.02</v>
      </c>
      <c r="F536" s="1">
        <f>IFERROR(__xludf.DUMMYFUNCTION("""COMPUTED_VALUE"""),7.1606474E7)</f>
        <v>71606474</v>
      </c>
    </row>
    <row r="537">
      <c r="A537" s="2">
        <f>IFERROR(__xludf.DUMMYFUNCTION("""COMPUTED_VALUE"""),45131.66666666667)</f>
        <v>45131.66667</v>
      </c>
      <c r="B537" s="1">
        <f>IFERROR(__xludf.DUMMYFUNCTION("""COMPUTED_VALUE"""),121.66)</f>
        <v>121.66</v>
      </c>
      <c r="C537" s="1">
        <f>IFERROR(__xludf.DUMMYFUNCTION("""COMPUTED_VALUE"""),123.0)</f>
        <v>123</v>
      </c>
      <c r="D537" s="1">
        <f>IFERROR(__xludf.DUMMYFUNCTION("""COMPUTED_VALUE"""),120.98)</f>
        <v>120.98</v>
      </c>
      <c r="E537" s="1">
        <f>IFERROR(__xludf.DUMMYFUNCTION("""COMPUTED_VALUE"""),121.53)</f>
        <v>121.53</v>
      </c>
      <c r="F537" s="1">
        <f>IFERROR(__xludf.DUMMYFUNCTION("""COMPUTED_VALUE"""),2.9723667E7)</f>
        <v>29723667</v>
      </c>
    </row>
    <row r="538">
      <c r="A538" s="2">
        <f>IFERROR(__xludf.DUMMYFUNCTION("""COMPUTED_VALUE"""),45132.66666666667)</f>
        <v>45132.66667</v>
      </c>
      <c r="B538" s="1">
        <f>IFERROR(__xludf.DUMMYFUNCTION("""COMPUTED_VALUE"""),121.36)</f>
        <v>121.36</v>
      </c>
      <c r="C538" s="1">
        <f>IFERROR(__xludf.DUMMYFUNCTION("""COMPUTED_VALUE"""),123.15)</f>
        <v>123.15</v>
      </c>
      <c r="D538" s="1">
        <f>IFERROR(__xludf.DUMMYFUNCTION("""COMPUTED_VALUE"""),121.02)</f>
        <v>121.02</v>
      </c>
      <c r="E538" s="1">
        <f>IFERROR(__xludf.DUMMYFUNCTION("""COMPUTED_VALUE"""),122.21)</f>
        <v>122.21</v>
      </c>
      <c r="F538" s="1">
        <f>IFERROR(__xludf.DUMMYFUNCTION("""COMPUTED_VALUE"""),5.2509551E7)</f>
        <v>52509551</v>
      </c>
    </row>
    <row r="539">
      <c r="A539" s="2">
        <f>IFERROR(__xludf.DUMMYFUNCTION("""COMPUTED_VALUE"""),45133.66666666667)</f>
        <v>45133.66667</v>
      </c>
      <c r="B539" s="1">
        <f>IFERROR(__xludf.DUMMYFUNCTION("""COMPUTED_VALUE"""),130.07)</f>
        <v>130.07</v>
      </c>
      <c r="C539" s="1">
        <f>IFERROR(__xludf.DUMMYFUNCTION("""COMPUTED_VALUE"""),130.98)</f>
        <v>130.98</v>
      </c>
      <c r="D539" s="1">
        <f>IFERROR(__xludf.DUMMYFUNCTION("""COMPUTED_VALUE"""),128.32)</f>
        <v>128.32</v>
      </c>
      <c r="E539" s="1">
        <f>IFERROR(__xludf.DUMMYFUNCTION("""COMPUTED_VALUE"""),129.27)</f>
        <v>129.27</v>
      </c>
      <c r="F539" s="1">
        <f>IFERROR(__xludf.DUMMYFUNCTION("""COMPUTED_VALUE"""),6.1682093E7)</f>
        <v>61682093</v>
      </c>
    </row>
    <row r="540">
      <c r="A540" s="2">
        <f>IFERROR(__xludf.DUMMYFUNCTION("""COMPUTED_VALUE"""),45134.66666666667)</f>
        <v>45134.66667</v>
      </c>
      <c r="B540" s="1">
        <f>IFERROR(__xludf.DUMMYFUNCTION("""COMPUTED_VALUE"""),131.67)</f>
        <v>131.67</v>
      </c>
      <c r="C540" s="1">
        <f>IFERROR(__xludf.DUMMYFUNCTION("""COMPUTED_VALUE"""),133.24)</f>
        <v>133.24</v>
      </c>
      <c r="D540" s="1">
        <f>IFERROR(__xludf.DUMMYFUNCTION("""COMPUTED_VALUE"""),128.79)</f>
        <v>128.79</v>
      </c>
      <c r="E540" s="1">
        <f>IFERROR(__xludf.DUMMYFUNCTION("""COMPUTED_VALUE"""),129.4)</f>
        <v>129.4</v>
      </c>
      <c r="F540" s="1">
        <f>IFERROR(__xludf.DUMMYFUNCTION("""COMPUTED_VALUE"""),4.4952074E7)</f>
        <v>44952074</v>
      </c>
    </row>
    <row r="541">
      <c r="A541" s="2">
        <f>IFERROR(__xludf.DUMMYFUNCTION("""COMPUTED_VALUE"""),45135.66666666667)</f>
        <v>45135.66667</v>
      </c>
      <c r="B541" s="1">
        <f>IFERROR(__xludf.DUMMYFUNCTION("""COMPUTED_VALUE"""),130.78)</f>
        <v>130.78</v>
      </c>
      <c r="C541" s="1">
        <f>IFERROR(__xludf.DUMMYFUNCTION("""COMPUTED_VALUE"""),133.74)</f>
        <v>133.74</v>
      </c>
      <c r="D541" s="1">
        <f>IFERROR(__xludf.DUMMYFUNCTION("""COMPUTED_VALUE"""),130.57)</f>
        <v>130.57</v>
      </c>
      <c r="E541" s="1">
        <f>IFERROR(__xludf.DUMMYFUNCTION("""COMPUTED_VALUE"""),132.58)</f>
        <v>132.58</v>
      </c>
      <c r="F541" s="1">
        <f>IFERROR(__xludf.DUMMYFUNCTION("""COMPUTED_VALUE"""),3.6591158E7)</f>
        <v>36591158</v>
      </c>
    </row>
    <row r="542">
      <c r="A542" s="2">
        <f>IFERROR(__xludf.DUMMYFUNCTION("""COMPUTED_VALUE"""),45138.66666666667)</f>
        <v>45138.66667</v>
      </c>
      <c r="B542" s="1">
        <f>IFERROR(__xludf.DUMMYFUNCTION("""COMPUTED_VALUE"""),132.73)</f>
        <v>132.73</v>
      </c>
      <c r="C542" s="1">
        <f>IFERROR(__xludf.DUMMYFUNCTION("""COMPUTED_VALUE"""),133.53)</f>
        <v>133.53</v>
      </c>
      <c r="D542" s="1">
        <f>IFERROR(__xludf.DUMMYFUNCTION("""COMPUTED_VALUE"""),131.78)</f>
        <v>131.78</v>
      </c>
      <c r="E542" s="1">
        <f>IFERROR(__xludf.DUMMYFUNCTION("""COMPUTED_VALUE"""),132.72)</f>
        <v>132.72</v>
      </c>
      <c r="F542" s="1">
        <f>IFERROR(__xludf.DUMMYFUNCTION("""COMPUTED_VALUE"""),2.8055531E7)</f>
        <v>28055531</v>
      </c>
    </row>
    <row r="543">
      <c r="A543" s="2">
        <f>IFERROR(__xludf.DUMMYFUNCTION("""COMPUTED_VALUE"""),45139.66666666667)</f>
        <v>45139.66667</v>
      </c>
      <c r="B543" s="1">
        <f>IFERROR(__xludf.DUMMYFUNCTION("""COMPUTED_VALUE"""),130.78)</f>
        <v>130.78</v>
      </c>
      <c r="C543" s="1">
        <f>IFERROR(__xludf.DUMMYFUNCTION("""COMPUTED_VALUE"""),132.63)</f>
        <v>132.63</v>
      </c>
      <c r="D543" s="1">
        <f>IFERROR(__xludf.DUMMYFUNCTION("""COMPUTED_VALUE"""),130.68)</f>
        <v>130.68</v>
      </c>
      <c r="E543" s="1">
        <f>IFERROR(__xludf.DUMMYFUNCTION("""COMPUTED_VALUE"""),131.55)</f>
        <v>131.55</v>
      </c>
      <c r="F543" s="1">
        <f>IFERROR(__xludf.DUMMYFUNCTION("""COMPUTED_VALUE"""),2.327644E7)</f>
        <v>23276440</v>
      </c>
    </row>
    <row r="544">
      <c r="A544" s="2">
        <f>IFERROR(__xludf.DUMMYFUNCTION("""COMPUTED_VALUE"""),45140.66666666667)</f>
        <v>45140.66667</v>
      </c>
      <c r="B544" s="1">
        <f>IFERROR(__xludf.DUMMYFUNCTION("""COMPUTED_VALUE"""),129.45)</f>
        <v>129.45</v>
      </c>
      <c r="C544" s="1">
        <f>IFERROR(__xludf.DUMMYFUNCTION("""COMPUTED_VALUE"""),130.09)</f>
        <v>130.09</v>
      </c>
      <c r="D544" s="1">
        <f>IFERROR(__xludf.DUMMYFUNCTION("""COMPUTED_VALUE"""),127.56)</f>
        <v>127.56</v>
      </c>
      <c r="E544" s="1">
        <f>IFERROR(__xludf.DUMMYFUNCTION("""COMPUTED_VALUE"""),128.38)</f>
        <v>128.38</v>
      </c>
      <c r="F544" s="1">
        <f>IFERROR(__xludf.DUMMYFUNCTION("""COMPUTED_VALUE"""),2.6273258E7)</f>
        <v>26273258</v>
      </c>
    </row>
    <row r="545">
      <c r="A545" s="2">
        <f>IFERROR(__xludf.DUMMYFUNCTION("""COMPUTED_VALUE"""),45141.66666666667)</f>
        <v>45141.66667</v>
      </c>
      <c r="B545" s="1">
        <f>IFERROR(__xludf.DUMMYFUNCTION("""COMPUTED_VALUE"""),127.97)</f>
        <v>127.97</v>
      </c>
      <c r="C545" s="1">
        <f>IFERROR(__xludf.DUMMYFUNCTION("""COMPUTED_VALUE"""),129.39)</f>
        <v>129.39</v>
      </c>
      <c r="D545" s="1">
        <f>IFERROR(__xludf.DUMMYFUNCTION("""COMPUTED_VALUE"""),127.42)</f>
        <v>127.42</v>
      </c>
      <c r="E545" s="1">
        <f>IFERROR(__xludf.DUMMYFUNCTION("""COMPUTED_VALUE"""),128.45)</f>
        <v>128.45</v>
      </c>
      <c r="F545" s="1">
        <f>IFERROR(__xludf.DUMMYFUNCTION("""COMPUTED_VALUE"""),2.0159528E7)</f>
        <v>20159528</v>
      </c>
    </row>
    <row r="546">
      <c r="A546" s="2">
        <f>IFERROR(__xludf.DUMMYFUNCTION("""COMPUTED_VALUE"""),45142.66666666667)</f>
        <v>45142.66667</v>
      </c>
      <c r="B546" s="1">
        <f>IFERROR(__xludf.DUMMYFUNCTION("""COMPUTED_VALUE"""),129.28)</f>
        <v>129.28</v>
      </c>
      <c r="C546" s="1">
        <f>IFERROR(__xludf.DUMMYFUNCTION("""COMPUTED_VALUE"""),131.51)</f>
        <v>131.51</v>
      </c>
      <c r="D546" s="1">
        <f>IFERROR(__xludf.DUMMYFUNCTION("""COMPUTED_VALUE"""),127.91)</f>
        <v>127.91</v>
      </c>
      <c r="E546" s="1">
        <f>IFERROR(__xludf.DUMMYFUNCTION("""COMPUTED_VALUE"""),128.11)</f>
        <v>128.11</v>
      </c>
      <c r="F546" s="1">
        <f>IFERROR(__xludf.DUMMYFUNCTION("""COMPUTED_VALUE"""),2.6147158E7)</f>
        <v>26147158</v>
      </c>
    </row>
    <row r="547">
      <c r="A547" s="2">
        <f>IFERROR(__xludf.DUMMYFUNCTION("""COMPUTED_VALUE"""),45145.66666666667)</f>
        <v>45145.66667</v>
      </c>
      <c r="B547" s="1">
        <f>IFERROR(__xludf.DUMMYFUNCTION("""COMPUTED_VALUE"""),129.16)</f>
        <v>129.16</v>
      </c>
      <c r="C547" s="1">
        <f>IFERROR(__xludf.DUMMYFUNCTION("""COMPUTED_VALUE"""),131.61)</f>
        <v>131.61</v>
      </c>
      <c r="D547" s="1">
        <f>IFERROR(__xludf.DUMMYFUNCTION("""COMPUTED_VALUE"""),129.02)</f>
        <v>129.02</v>
      </c>
      <c r="E547" s="1">
        <f>IFERROR(__xludf.DUMMYFUNCTION("""COMPUTED_VALUE"""),131.53)</f>
        <v>131.53</v>
      </c>
      <c r="F547" s="1">
        <f>IFERROR(__xludf.DUMMYFUNCTION("""COMPUTED_VALUE"""),2.274629E7)</f>
        <v>22746290</v>
      </c>
    </row>
    <row r="548">
      <c r="A548" s="2">
        <f>IFERROR(__xludf.DUMMYFUNCTION("""COMPUTED_VALUE"""),45146.66666666667)</f>
        <v>45146.66667</v>
      </c>
      <c r="B548" s="1">
        <f>IFERROR(__xludf.DUMMYFUNCTION("""COMPUTED_VALUE"""),130.62)</f>
        <v>130.62</v>
      </c>
      <c r="C548" s="1">
        <f>IFERROR(__xludf.DUMMYFUNCTION("""COMPUTED_VALUE"""),131.51)</f>
        <v>131.51</v>
      </c>
      <c r="D548" s="1">
        <f>IFERROR(__xludf.DUMMYFUNCTION("""COMPUTED_VALUE"""),129.54)</f>
        <v>129.54</v>
      </c>
      <c r="E548" s="1">
        <f>IFERROR(__xludf.DUMMYFUNCTION("""COMPUTED_VALUE"""),131.4)</f>
        <v>131.4</v>
      </c>
      <c r="F548" s="1">
        <f>IFERROR(__xludf.DUMMYFUNCTION("""COMPUTED_VALUE"""),2.3535181E7)</f>
        <v>23535181</v>
      </c>
    </row>
    <row r="549">
      <c r="A549" s="2">
        <f>IFERROR(__xludf.DUMMYFUNCTION("""COMPUTED_VALUE"""),45147.66666666667)</f>
        <v>45147.66667</v>
      </c>
      <c r="B549" s="1">
        <f>IFERROR(__xludf.DUMMYFUNCTION("""COMPUTED_VALUE"""),131.66)</f>
        <v>131.66</v>
      </c>
      <c r="C549" s="1">
        <f>IFERROR(__xludf.DUMMYFUNCTION("""COMPUTED_VALUE"""),132.04)</f>
        <v>132.04</v>
      </c>
      <c r="D549" s="1">
        <f>IFERROR(__xludf.DUMMYFUNCTION("""COMPUTED_VALUE"""),129.0)</f>
        <v>129</v>
      </c>
      <c r="E549" s="1">
        <f>IFERROR(__xludf.DUMMYFUNCTION("""COMPUTED_VALUE"""),129.66)</f>
        <v>129.66</v>
      </c>
      <c r="F549" s="1">
        <f>IFERROR(__xludf.DUMMYFUNCTION("""COMPUTED_VALUE"""),2.4912918E7)</f>
        <v>24912918</v>
      </c>
    </row>
    <row r="550">
      <c r="A550" s="2">
        <f>IFERROR(__xludf.DUMMYFUNCTION("""COMPUTED_VALUE"""),45148.66666666667)</f>
        <v>45148.66667</v>
      </c>
      <c r="B550" s="1">
        <f>IFERROR(__xludf.DUMMYFUNCTION("""COMPUTED_VALUE"""),131.32)</f>
        <v>131.32</v>
      </c>
      <c r="C550" s="1">
        <f>IFERROR(__xludf.DUMMYFUNCTION("""COMPUTED_VALUE"""),132.05)</f>
        <v>132.05</v>
      </c>
      <c r="D550" s="1">
        <f>IFERROR(__xludf.DUMMYFUNCTION("""COMPUTED_VALUE"""),129.45)</f>
        <v>129.45</v>
      </c>
      <c r="E550" s="1">
        <f>IFERROR(__xludf.DUMMYFUNCTION("""COMPUTED_VALUE"""),129.69)</f>
        <v>129.69</v>
      </c>
      <c r="F550" s="1">
        <f>IFERROR(__xludf.DUMMYFUNCTION("""COMPUTED_VALUE"""),2.0857754E7)</f>
        <v>20857754</v>
      </c>
    </row>
    <row r="551">
      <c r="A551" s="2">
        <f>IFERROR(__xludf.DUMMYFUNCTION("""COMPUTED_VALUE"""),45149.66666666667)</f>
        <v>45149.66667</v>
      </c>
      <c r="B551" s="1">
        <f>IFERROR(__xludf.DUMMYFUNCTION("""COMPUTED_VALUE"""),128.66)</f>
        <v>128.66</v>
      </c>
      <c r="C551" s="1">
        <f>IFERROR(__xludf.DUMMYFUNCTION("""COMPUTED_VALUE"""),129.93)</f>
        <v>129.93</v>
      </c>
      <c r="D551" s="1">
        <f>IFERROR(__xludf.DUMMYFUNCTION("""COMPUTED_VALUE"""),128.17)</f>
        <v>128.17</v>
      </c>
      <c r="E551" s="1">
        <f>IFERROR(__xludf.DUMMYFUNCTION("""COMPUTED_VALUE"""),129.56)</f>
        <v>129.56</v>
      </c>
      <c r="F551" s="1">
        <f>IFERROR(__xludf.DUMMYFUNCTION("""COMPUTED_VALUE"""),1.959108E7)</f>
        <v>19591080</v>
      </c>
    </row>
    <row r="552">
      <c r="A552" s="2">
        <f>IFERROR(__xludf.DUMMYFUNCTION("""COMPUTED_VALUE"""),45152.66666666667)</f>
        <v>45152.66667</v>
      </c>
      <c r="B552" s="1">
        <f>IFERROR(__xludf.DUMMYFUNCTION("""COMPUTED_VALUE"""),129.39)</f>
        <v>129.39</v>
      </c>
      <c r="C552" s="1">
        <f>IFERROR(__xludf.DUMMYFUNCTION("""COMPUTED_VALUE"""),131.37)</f>
        <v>131.37</v>
      </c>
      <c r="D552" s="1">
        <f>IFERROR(__xludf.DUMMYFUNCTION("""COMPUTED_VALUE"""),128.96)</f>
        <v>128.96</v>
      </c>
      <c r="E552" s="1">
        <f>IFERROR(__xludf.DUMMYFUNCTION("""COMPUTED_VALUE"""),131.33)</f>
        <v>131.33</v>
      </c>
      <c r="F552" s="1">
        <f>IFERROR(__xludf.DUMMYFUNCTION("""COMPUTED_VALUE"""),2.4695608E7)</f>
        <v>24695608</v>
      </c>
    </row>
    <row r="553">
      <c r="A553" s="2">
        <f>IFERROR(__xludf.DUMMYFUNCTION("""COMPUTED_VALUE"""),45153.66666666667)</f>
        <v>45153.66667</v>
      </c>
      <c r="B553" s="1">
        <f>IFERROR(__xludf.DUMMYFUNCTION("""COMPUTED_VALUE"""),131.1)</f>
        <v>131.1</v>
      </c>
      <c r="C553" s="1">
        <f>IFERROR(__xludf.DUMMYFUNCTION("""COMPUTED_VALUE"""),131.42)</f>
        <v>131.42</v>
      </c>
      <c r="D553" s="1">
        <f>IFERROR(__xludf.DUMMYFUNCTION("""COMPUTED_VALUE"""),129.28)</f>
        <v>129.28</v>
      </c>
      <c r="E553" s="1">
        <f>IFERROR(__xludf.DUMMYFUNCTION("""COMPUTED_VALUE"""),129.78)</f>
        <v>129.78</v>
      </c>
      <c r="F553" s="1">
        <f>IFERROR(__xludf.DUMMYFUNCTION("""COMPUTED_VALUE"""),1.9770732E7)</f>
        <v>19770732</v>
      </c>
    </row>
    <row r="554">
      <c r="A554" s="2">
        <f>IFERROR(__xludf.DUMMYFUNCTION("""COMPUTED_VALUE"""),45154.66666666667)</f>
        <v>45154.66667</v>
      </c>
      <c r="B554" s="1">
        <f>IFERROR(__xludf.DUMMYFUNCTION("""COMPUTED_VALUE"""),128.7)</f>
        <v>128.7</v>
      </c>
      <c r="C554" s="1">
        <f>IFERROR(__xludf.DUMMYFUNCTION("""COMPUTED_VALUE"""),130.28)</f>
        <v>130.28</v>
      </c>
      <c r="D554" s="1">
        <f>IFERROR(__xludf.DUMMYFUNCTION("""COMPUTED_VALUE"""),127.87)</f>
        <v>127.87</v>
      </c>
      <c r="E554" s="1">
        <f>IFERROR(__xludf.DUMMYFUNCTION("""COMPUTED_VALUE"""),128.7)</f>
        <v>128.7</v>
      </c>
      <c r="F554" s="1">
        <f>IFERROR(__xludf.DUMMYFUNCTION("""COMPUTED_VALUE"""),2.5216068E7)</f>
        <v>25216068</v>
      </c>
    </row>
    <row r="555">
      <c r="A555" s="2">
        <f>IFERROR(__xludf.DUMMYFUNCTION("""COMPUTED_VALUE"""),45155.66666666667)</f>
        <v>45155.66667</v>
      </c>
      <c r="B555" s="1">
        <f>IFERROR(__xludf.DUMMYFUNCTION("""COMPUTED_VALUE"""),129.8)</f>
        <v>129.8</v>
      </c>
      <c r="C555" s="1">
        <f>IFERROR(__xludf.DUMMYFUNCTION("""COMPUTED_VALUE"""),131.99)</f>
        <v>131.99</v>
      </c>
      <c r="D555" s="1">
        <f>IFERROR(__xludf.DUMMYFUNCTION("""COMPUTED_VALUE"""),129.29)</f>
        <v>129.29</v>
      </c>
      <c r="E555" s="1">
        <f>IFERROR(__xludf.DUMMYFUNCTION("""COMPUTED_VALUE"""),129.92)</f>
        <v>129.92</v>
      </c>
      <c r="F555" s="1">
        <f>IFERROR(__xludf.DUMMYFUNCTION("""COMPUTED_VALUE"""),3.344628E7)</f>
        <v>33446280</v>
      </c>
    </row>
    <row r="556">
      <c r="A556" s="2">
        <f>IFERROR(__xludf.DUMMYFUNCTION("""COMPUTED_VALUE"""),45156.66666666667)</f>
        <v>45156.66667</v>
      </c>
      <c r="B556" s="1">
        <f>IFERROR(__xludf.DUMMYFUNCTION("""COMPUTED_VALUE"""),128.51)</f>
        <v>128.51</v>
      </c>
      <c r="C556" s="1">
        <f>IFERROR(__xludf.DUMMYFUNCTION("""COMPUTED_VALUE"""),129.25)</f>
        <v>129.25</v>
      </c>
      <c r="D556" s="1">
        <f>IFERROR(__xludf.DUMMYFUNCTION("""COMPUTED_VALUE"""),126.38)</f>
        <v>126.38</v>
      </c>
      <c r="E556" s="1">
        <f>IFERROR(__xludf.DUMMYFUNCTION("""COMPUTED_VALUE"""),127.46)</f>
        <v>127.46</v>
      </c>
      <c r="F556" s="1">
        <f>IFERROR(__xludf.DUMMYFUNCTION("""COMPUTED_VALUE"""),3.0504769E7)</f>
        <v>30504769</v>
      </c>
    </row>
    <row r="557">
      <c r="A557" s="2">
        <f>IFERROR(__xludf.DUMMYFUNCTION("""COMPUTED_VALUE"""),45159.66666666667)</f>
        <v>45159.66667</v>
      </c>
      <c r="B557" s="1">
        <f>IFERROR(__xludf.DUMMYFUNCTION("""COMPUTED_VALUE"""),127.18)</f>
        <v>127.18</v>
      </c>
      <c r="C557" s="1">
        <f>IFERROR(__xludf.DUMMYFUNCTION("""COMPUTED_VALUE"""),128.73)</f>
        <v>128.73</v>
      </c>
      <c r="D557" s="1">
        <f>IFERROR(__xludf.DUMMYFUNCTION("""COMPUTED_VALUE"""),126.56)</f>
        <v>126.56</v>
      </c>
      <c r="E557" s="1">
        <f>IFERROR(__xludf.DUMMYFUNCTION("""COMPUTED_VALUE"""),128.37)</f>
        <v>128.37</v>
      </c>
      <c r="F557" s="1">
        <f>IFERROR(__xludf.DUMMYFUNCTION("""COMPUTED_VALUE"""),2.5248729E7)</f>
        <v>25248729</v>
      </c>
    </row>
    <row r="558">
      <c r="A558" s="2">
        <f>IFERROR(__xludf.DUMMYFUNCTION("""COMPUTED_VALUE"""),45160.66666666667)</f>
        <v>45160.66667</v>
      </c>
      <c r="B558" s="1">
        <f>IFERROR(__xludf.DUMMYFUNCTION("""COMPUTED_VALUE"""),128.51)</f>
        <v>128.51</v>
      </c>
      <c r="C558" s="1">
        <f>IFERROR(__xludf.DUMMYFUNCTION("""COMPUTED_VALUE"""),130.28)</f>
        <v>130.28</v>
      </c>
      <c r="D558" s="1">
        <f>IFERROR(__xludf.DUMMYFUNCTION("""COMPUTED_VALUE"""),128.32)</f>
        <v>128.32</v>
      </c>
      <c r="E558" s="1">
        <f>IFERROR(__xludf.DUMMYFUNCTION("""COMPUTED_VALUE"""),129.08)</f>
        <v>129.08</v>
      </c>
      <c r="F558" s="1">
        <f>IFERROR(__xludf.DUMMYFUNCTION("""COMPUTED_VALUE"""),2.206752E7)</f>
        <v>22067520</v>
      </c>
    </row>
    <row r="559">
      <c r="A559" s="2">
        <f>IFERROR(__xludf.DUMMYFUNCTION("""COMPUTED_VALUE"""),45161.66666666667)</f>
        <v>45161.66667</v>
      </c>
      <c r="B559" s="1">
        <f>IFERROR(__xludf.DUMMYFUNCTION("""COMPUTED_VALUE"""),130.18)</f>
        <v>130.18</v>
      </c>
      <c r="C559" s="1">
        <f>IFERROR(__xludf.DUMMYFUNCTION("""COMPUTED_VALUE"""),133.41)</f>
        <v>133.41</v>
      </c>
      <c r="D559" s="1">
        <f>IFERROR(__xludf.DUMMYFUNCTION("""COMPUTED_VALUE"""),129.87)</f>
        <v>129.87</v>
      </c>
      <c r="E559" s="1">
        <f>IFERROR(__xludf.DUMMYFUNCTION("""COMPUTED_VALUE"""),132.37)</f>
        <v>132.37</v>
      </c>
      <c r="F559" s="1">
        <f>IFERROR(__xludf.DUMMYFUNCTION("""COMPUTED_VALUE"""),2.7819713E7)</f>
        <v>27819713</v>
      </c>
    </row>
    <row r="560">
      <c r="A560" s="2">
        <f>IFERROR(__xludf.DUMMYFUNCTION("""COMPUTED_VALUE"""),45162.66666666667)</f>
        <v>45162.66667</v>
      </c>
      <c r="B560" s="1">
        <f>IFERROR(__xludf.DUMMYFUNCTION("""COMPUTED_VALUE"""),133.95)</f>
        <v>133.95</v>
      </c>
      <c r="C560" s="1">
        <f>IFERROR(__xludf.DUMMYFUNCTION("""COMPUTED_VALUE"""),134.25)</f>
        <v>134.25</v>
      </c>
      <c r="D560" s="1">
        <f>IFERROR(__xludf.DUMMYFUNCTION("""COMPUTED_VALUE"""),129.57)</f>
        <v>129.57</v>
      </c>
      <c r="E560" s="1">
        <f>IFERROR(__xludf.DUMMYFUNCTION("""COMPUTED_VALUE"""),129.78)</f>
        <v>129.78</v>
      </c>
      <c r="F560" s="1">
        <f>IFERROR(__xludf.DUMMYFUNCTION("""COMPUTED_VALUE"""),2.8500694E7)</f>
        <v>28500694</v>
      </c>
    </row>
    <row r="561">
      <c r="A561" s="2">
        <f>IFERROR(__xludf.DUMMYFUNCTION("""COMPUTED_VALUE"""),45163.66666666667)</f>
        <v>45163.66667</v>
      </c>
      <c r="B561" s="1">
        <f>IFERROR(__xludf.DUMMYFUNCTION("""COMPUTED_VALUE"""),129.54)</f>
        <v>129.54</v>
      </c>
      <c r="C561" s="1">
        <f>IFERROR(__xludf.DUMMYFUNCTION("""COMPUTED_VALUE"""),130.76)</f>
        <v>130.76</v>
      </c>
      <c r="D561" s="1">
        <f>IFERROR(__xludf.DUMMYFUNCTION("""COMPUTED_VALUE"""),127.25)</f>
        <v>127.25</v>
      </c>
      <c r="E561" s="1">
        <f>IFERROR(__xludf.DUMMYFUNCTION("""COMPUTED_VALUE"""),129.88)</f>
        <v>129.88</v>
      </c>
      <c r="F561" s="1">
        <f>IFERROR(__xludf.DUMMYFUNCTION("""COMPUTED_VALUE"""),2.6762891E7)</f>
        <v>26762891</v>
      </c>
    </row>
    <row r="562">
      <c r="A562" s="2">
        <f>IFERROR(__xludf.DUMMYFUNCTION("""COMPUTED_VALUE"""),45166.66666666667)</f>
        <v>45166.66667</v>
      </c>
      <c r="B562" s="1">
        <f>IFERROR(__xludf.DUMMYFUNCTION("""COMPUTED_VALUE"""),131.31)</f>
        <v>131.31</v>
      </c>
      <c r="C562" s="1">
        <f>IFERROR(__xludf.DUMMYFUNCTION("""COMPUTED_VALUE"""),132.54)</f>
        <v>132.54</v>
      </c>
      <c r="D562" s="1">
        <f>IFERROR(__xludf.DUMMYFUNCTION("""COMPUTED_VALUE"""),130.14)</f>
        <v>130.14</v>
      </c>
      <c r="E562" s="1">
        <f>IFERROR(__xludf.DUMMYFUNCTION("""COMPUTED_VALUE"""),131.01)</f>
        <v>131.01</v>
      </c>
      <c r="F562" s="1">
        <f>IFERROR(__xludf.DUMMYFUNCTION("""COMPUTED_VALUE"""),2.0543266E7)</f>
        <v>20543266</v>
      </c>
    </row>
    <row r="563">
      <c r="A563" s="2">
        <f>IFERROR(__xludf.DUMMYFUNCTION("""COMPUTED_VALUE"""),45167.66666666667)</f>
        <v>45167.66667</v>
      </c>
      <c r="B563" s="1">
        <f>IFERROR(__xludf.DUMMYFUNCTION("""COMPUTED_VALUE"""),132.24)</f>
        <v>132.24</v>
      </c>
      <c r="C563" s="1">
        <f>IFERROR(__xludf.DUMMYFUNCTION("""COMPUTED_VALUE"""),136.57)</f>
        <v>136.57</v>
      </c>
      <c r="D563" s="1">
        <f>IFERROR(__xludf.DUMMYFUNCTION("""COMPUTED_VALUE"""),132.24)</f>
        <v>132.24</v>
      </c>
      <c r="E563" s="1">
        <f>IFERROR(__xludf.DUMMYFUNCTION("""COMPUTED_VALUE"""),134.57)</f>
        <v>134.57</v>
      </c>
      <c r="F563" s="1">
        <f>IFERROR(__xludf.DUMMYFUNCTION("""COMPUTED_VALUE"""),4.3075556E7)</f>
        <v>43075556</v>
      </c>
    </row>
    <row r="564">
      <c r="A564" s="2">
        <f>IFERROR(__xludf.DUMMYFUNCTION("""COMPUTED_VALUE"""),45168.66666666667)</f>
        <v>45168.66667</v>
      </c>
      <c r="B564" s="1">
        <f>IFERROR(__xludf.DUMMYFUNCTION("""COMPUTED_VALUE"""),134.78)</f>
        <v>134.78</v>
      </c>
      <c r="C564" s="1">
        <f>IFERROR(__xludf.DUMMYFUNCTION("""COMPUTED_VALUE"""),136.28)</f>
        <v>136.28</v>
      </c>
      <c r="D564" s="1">
        <f>IFERROR(__xludf.DUMMYFUNCTION("""COMPUTED_VALUE"""),134.07)</f>
        <v>134.07</v>
      </c>
      <c r="E564" s="1">
        <f>IFERROR(__xludf.DUMMYFUNCTION("""COMPUTED_VALUE"""),135.88)</f>
        <v>135.88</v>
      </c>
      <c r="F564" s="1">
        <f>IFERROR(__xludf.DUMMYFUNCTION("""COMPUTED_VALUE"""),2.8315769E7)</f>
        <v>28315769</v>
      </c>
    </row>
    <row r="565">
      <c r="A565" s="2">
        <f>IFERROR(__xludf.DUMMYFUNCTION("""COMPUTED_VALUE"""),45169.66666666667)</f>
        <v>45169.66667</v>
      </c>
      <c r="B565" s="1">
        <f>IFERROR(__xludf.DUMMYFUNCTION("""COMPUTED_VALUE"""),136.01)</f>
        <v>136.01</v>
      </c>
      <c r="C565" s="1">
        <f>IFERROR(__xludf.DUMMYFUNCTION("""COMPUTED_VALUE"""),138.0)</f>
        <v>138</v>
      </c>
      <c r="D565" s="1">
        <f>IFERROR(__xludf.DUMMYFUNCTION("""COMPUTED_VALUE"""),135.79)</f>
        <v>135.79</v>
      </c>
      <c r="E565" s="1">
        <f>IFERROR(__xludf.DUMMYFUNCTION("""COMPUTED_VALUE"""),136.17)</f>
        <v>136.17</v>
      </c>
      <c r="F565" s="1">
        <f>IFERROR(__xludf.DUMMYFUNCTION("""COMPUTED_VALUE"""),3.00538E7)</f>
        <v>30053800</v>
      </c>
    </row>
    <row r="566">
      <c r="A566" s="2">
        <f>IFERROR(__xludf.DUMMYFUNCTION("""COMPUTED_VALUE"""),45170.66666666667)</f>
        <v>45170.66667</v>
      </c>
      <c r="B566" s="1">
        <f>IFERROR(__xludf.DUMMYFUNCTION("""COMPUTED_VALUE"""),137.46)</f>
        <v>137.46</v>
      </c>
      <c r="C566" s="1">
        <f>IFERROR(__xludf.DUMMYFUNCTION("""COMPUTED_VALUE"""),137.46)</f>
        <v>137.46</v>
      </c>
      <c r="D566" s="1">
        <f>IFERROR(__xludf.DUMMYFUNCTION("""COMPUTED_VALUE"""),134.85)</f>
        <v>134.85</v>
      </c>
      <c r="E566" s="1">
        <f>IFERROR(__xludf.DUMMYFUNCTION("""COMPUTED_VALUE"""),135.66)</f>
        <v>135.66</v>
      </c>
      <c r="F566" s="1">
        <f>IFERROR(__xludf.DUMMYFUNCTION("""COMPUTED_VALUE"""),2.1543687E7)</f>
        <v>21543687</v>
      </c>
    </row>
    <row r="567">
      <c r="A567" s="2">
        <f>IFERROR(__xludf.DUMMYFUNCTION("""COMPUTED_VALUE"""),45174.66666666667)</f>
        <v>45174.66667</v>
      </c>
      <c r="B567" s="1">
        <f>IFERROR(__xludf.DUMMYFUNCTION("""COMPUTED_VALUE"""),135.44)</f>
        <v>135.44</v>
      </c>
      <c r="C567" s="1">
        <f>IFERROR(__xludf.DUMMYFUNCTION("""COMPUTED_VALUE"""),136.42)</f>
        <v>136.42</v>
      </c>
      <c r="D567" s="1">
        <f>IFERROR(__xludf.DUMMYFUNCTION("""COMPUTED_VALUE"""),134.58)</f>
        <v>134.58</v>
      </c>
      <c r="E567" s="1">
        <f>IFERROR(__xludf.DUMMYFUNCTION("""COMPUTED_VALUE"""),135.77)</f>
        <v>135.77</v>
      </c>
      <c r="F567" s="1">
        <f>IFERROR(__xludf.DUMMYFUNCTION("""COMPUTED_VALUE"""),1.9403112E7)</f>
        <v>19403112</v>
      </c>
    </row>
    <row r="568">
      <c r="A568" s="2">
        <f>IFERROR(__xludf.DUMMYFUNCTION("""COMPUTED_VALUE"""),45175.66666666667)</f>
        <v>45175.66667</v>
      </c>
      <c r="B568" s="1">
        <f>IFERROR(__xludf.DUMMYFUNCTION("""COMPUTED_VALUE"""),136.02)</f>
        <v>136.02</v>
      </c>
      <c r="C568" s="1">
        <f>IFERROR(__xludf.DUMMYFUNCTION("""COMPUTED_VALUE"""),136.53)</f>
        <v>136.53</v>
      </c>
      <c r="D568" s="1">
        <f>IFERROR(__xludf.DUMMYFUNCTION("""COMPUTED_VALUE"""),133.67)</f>
        <v>133.67</v>
      </c>
      <c r="E568" s="1">
        <f>IFERROR(__xludf.DUMMYFUNCTION("""COMPUTED_VALUE"""),134.46)</f>
        <v>134.46</v>
      </c>
      <c r="F568" s="1">
        <f>IFERROR(__xludf.DUMMYFUNCTION("""COMPUTED_VALUE"""),1.8684534E7)</f>
        <v>18684534</v>
      </c>
    </row>
    <row r="569">
      <c r="A569" s="2">
        <f>IFERROR(__xludf.DUMMYFUNCTION("""COMPUTED_VALUE"""),45176.66666666667)</f>
        <v>45176.66667</v>
      </c>
      <c r="B569" s="1">
        <f>IFERROR(__xludf.DUMMYFUNCTION("""COMPUTED_VALUE"""),133.59)</f>
        <v>133.59</v>
      </c>
      <c r="C569" s="1">
        <f>IFERROR(__xludf.DUMMYFUNCTION("""COMPUTED_VALUE"""),135.58)</f>
        <v>135.58</v>
      </c>
      <c r="D569" s="1">
        <f>IFERROR(__xludf.DUMMYFUNCTION("""COMPUTED_VALUE"""),132.95)</f>
        <v>132.95</v>
      </c>
      <c r="E569" s="1">
        <f>IFERROR(__xludf.DUMMYFUNCTION("""COMPUTED_VALUE"""),135.26)</f>
        <v>135.26</v>
      </c>
      <c r="F569" s="1">
        <f>IFERROR(__xludf.DUMMYFUNCTION("""COMPUTED_VALUE"""),1.8844342E7)</f>
        <v>18844342</v>
      </c>
    </row>
    <row r="570">
      <c r="A570" s="2">
        <f>IFERROR(__xludf.DUMMYFUNCTION("""COMPUTED_VALUE"""),45177.66666666667)</f>
        <v>45177.66667</v>
      </c>
      <c r="B570" s="1">
        <f>IFERROR(__xludf.DUMMYFUNCTION("""COMPUTED_VALUE"""),134.91)</f>
        <v>134.91</v>
      </c>
      <c r="C570" s="1">
        <f>IFERROR(__xludf.DUMMYFUNCTION("""COMPUTED_VALUE"""),136.66)</f>
        <v>136.66</v>
      </c>
      <c r="D570" s="1">
        <f>IFERROR(__xludf.DUMMYFUNCTION("""COMPUTED_VALUE"""),134.85)</f>
        <v>134.85</v>
      </c>
      <c r="E570" s="1">
        <f>IFERROR(__xludf.DUMMYFUNCTION("""COMPUTED_VALUE"""),136.38)</f>
        <v>136.38</v>
      </c>
      <c r="F570" s="1">
        <f>IFERROR(__xludf.DUMMYFUNCTION("""COMPUTED_VALUE"""),2.3584188E7)</f>
        <v>23584188</v>
      </c>
    </row>
    <row r="571">
      <c r="A571" s="2">
        <f>IFERROR(__xludf.DUMMYFUNCTION("""COMPUTED_VALUE"""),45180.66666666667)</f>
        <v>45180.66667</v>
      </c>
      <c r="B571" s="1">
        <f>IFERROR(__xludf.DUMMYFUNCTION("""COMPUTED_VALUE"""),136.54)</f>
        <v>136.54</v>
      </c>
      <c r="C571" s="1">
        <f>IFERROR(__xludf.DUMMYFUNCTION("""COMPUTED_VALUE"""),137.48)</f>
        <v>137.48</v>
      </c>
      <c r="D571" s="1">
        <f>IFERROR(__xludf.DUMMYFUNCTION("""COMPUTED_VALUE"""),135.79)</f>
        <v>135.79</v>
      </c>
      <c r="E571" s="1">
        <f>IFERROR(__xludf.DUMMYFUNCTION("""COMPUTED_VALUE"""),136.92)</f>
        <v>136.92</v>
      </c>
      <c r="F571" s="1">
        <f>IFERROR(__xludf.DUMMYFUNCTION("""COMPUTED_VALUE"""),2.076335E7)</f>
        <v>20763350</v>
      </c>
    </row>
    <row r="572">
      <c r="A572" s="2">
        <f>IFERROR(__xludf.DUMMYFUNCTION("""COMPUTED_VALUE"""),45181.66666666667)</f>
        <v>45181.66667</v>
      </c>
      <c r="B572" s="1">
        <f>IFERROR(__xludf.DUMMYFUNCTION("""COMPUTED_VALUE"""),136.26)</f>
        <v>136.26</v>
      </c>
      <c r="C572" s="1">
        <f>IFERROR(__xludf.DUMMYFUNCTION("""COMPUTED_VALUE"""),136.87)</f>
        <v>136.87</v>
      </c>
      <c r="D572" s="1">
        <f>IFERROR(__xludf.DUMMYFUNCTION("""COMPUTED_VALUE"""),135.19)</f>
        <v>135.19</v>
      </c>
      <c r="E572" s="1">
        <f>IFERROR(__xludf.DUMMYFUNCTION("""COMPUTED_VALUE"""),135.34)</f>
        <v>135.34</v>
      </c>
      <c r="F572" s="1">
        <f>IFERROR(__xludf.DUMMYFUNCTION("""COMPUTED_VALUE"""),1.8405505E7)</f>
        <v>18405505</v>
      </c>
    </row>
    <row r="573">
      <c r="A573" s="2">
        <f>IFERROR(__xludf.DUMMYFUNCTION("""COMPUTED_VALUE"""),45182.66666666667)</f>
        <v>45182.66667</v>
      </c>
      <c r="B573" s="1">
        <f>IFERROR(__xludf.DUMMYFUNCTION("""COMPUTED_VALUE"""),135.09)</f>
        <v>135.09</v>
      </c>
      <c r="C573" s="1">
        <f>IFERROR(__xludf.DUMMYFUNCTION("""COMPUTED_VALUE"""),136.9)</f>
        <v>136.9</v>
      </c>
      <c r="D573" s="1">
        <f>IFERROR(__xludf.DUMMYFUNCTION("""COMPUTED_VALUE"""),134.15)</f>
        <v>134.15</v>
      </c>
      <c r="E573" s="1">
        <f>IFERROR(__xludf.DUMMYFUNCTION("""COMPUTED_VALUE"""),136.71)</f>
        <v>136.71</v>
      </c>
      <c r="F573" s="1">
        <f>IFERROR(__xludf.DUMMYFUNCTION("""COMPUTED_VALUE"""),2.0749496E7)</f>
        <v>20749496</v>
      </c>
    </row>
    <row r="574">
      <c r="A574" s="2">
        <f>IFERROR(__xludf.DUMMYFUNCTION("""COMPUTED_VALUE"""),45183.66666666667)</f>
        <v>45183.66667</v>
      </c>
      <c r="B574" s="1">
        <f>IFERROR(__xludf.DUMMYFUNCTION("""COMPUTED_VALUE"""),137.6)</f>
        <v>137.6</v>
      </c>
      <c r="C574" s="1">
        <f>IFERROR(__xludf.DUMMYFUNCTION("""COMPUTED_VALUE"""),138.7)</f>
        <v>138.7</v>
      </c>
      <c r="D574" s="1">
        <f>IFERROR(__xludf.DUMMYFUNCTION("""COMPUTED_VALUE"""),136.24)</f>
        <v>136.24</v>
      </c>
      <c r="E574" s="1">
        <f>IFERROR(__xludf.DUMMYFUNCTION("""COMPUTED_VALUE"""),138.1)</f>
        <v>138.1</v>
      </c>
      <c r="F574" s="1">
        <f>IFERROR(__xludf.DUMMYFUNCTION("""COMPUTED_VALUE"""),2.4750968E7)</f>
        <v>24750968</v>
      </c>
    </row>
    <row r="575">
      <c r="A575" s="2">
        <f>IFERROR(__xludf.DUMMYFUNCTION("""COMPUTED_VALUE"""),45184.66666666667)</f>
        <v>45184.66667</v>
      </c>
      <c r="B575" s="1">
        <f>IFERROR(__xludf.DUMMYFUNCTION("""COMPUTED_VALUE"""),137.98)</f>
        <v>137.98</v>
      </c>
      <c r="C575" s="1">
        <f>IFERROR(__xludf.DUMMYFUNCTION("""COMPUTED_VALUE"""),138.52)</f>
        <v>138.52</v>
      </c>
      <c r="D575" s="1">
        <f>IFERROR(__xludf.DUMMYFUNCTION("""COMPUTED_VALUE"""),136.48)</f>
        <v>136.48</v>
      </c>
      <c r="E575" s="1">
        <f>IFERROR(__xludf.DUMMYFUNCTION("""COMPUTED_VALUE"""),137.4)</f>
        <v>137.4</v>
      </c>
      <c r="F575" s="1">
        <f>IFERROR(__xludf.DUMMYFUNCTION("""COMPUTED_VALUE"""),3.8919614E7)</f>
        <v>38919614</v>
      </c>
    </row>
    <row r="576">
      <c r="A576" s="2">
        <f>IFERROR(__xludf.DUMMYFUNCTION("""COMPUTED_VALUE"""),45187.66666666667)</f>
        <v>45187.66667</v>
      </c>
      <c r="B576" s="1">
        <f>IFERROR(__xludf.DUMMYFUNCTION("""COMPUTED_VALUE"""),136.61)</f>
        <v>136.61</v>
      </c>
      <c r="C576" s="1">
        <f>IFERROR(__xludf.DUMMYFUNCTION("""COMPUTED_VALUE"""),139.16)</f>
        <v>139.16</v>
      </c>
      <c r="D576" s="1">
        <f>IFERROR(__xludf.DUMMYFUNCTION("""COMPUTED_VALUE"""),136.61)</f>
        <v>136.61</v>
      </c>
      <c r="E576" s="1">
        <f>IFERROR(__xludf.DUMMYFUNCTION("""COMPUTED_VALUE"""),138.21)</f>
        <v>138.21</v>
      </c>
      <c r="F576" s="1">
        <f>IFERROR(__xludf.DUMMYFUNCTION("""COMPUTED_VALUE"""),2.1861346E7)</f>
        <v>21861346</v>
      </c>
    </row>
    <row r="577">
      <c r="A577" s="2">
        <f>IFERROR(__xludf.DUMMYFUNCTION("""COMPUTED_VALUE"""),45188.66666666667)</f>
        <v>45188.66667</v>
      </c>
      <c r="B577" s="1">
        <f>IFERROR(__xludf.DUMMYFUNCTION("""COMPUTED_VALUE"""),137.42)</f>
        <v>137.42</v>
      </c>
      <c r="C577" s="1">
        <f>IFERROR(__xludf.DUMMYFUNCTION("""COMPUTED_VALUE"""),138.41)</f>
        <v>138.41</v>
      </c>
      <c r="D577" s="1">
        <f>IFERROR(__xludf.DUMMYFUNCTION("""COMPUTED_VALUE"""),136.62)</f>
        <v>136.62</v>
      </c>
      <c r="E577" s="1">
        <f>IFERROR(__xludf.DUMMYFUNCTION("""COMPUTED_VALUE"""),138.04)</f>
        <v>138.04</v>
      </c>
      <c r="F577" s="1">
        <f>IFERROR(__xludf.DUMMYFUNCTION("""COMPUTED_VALUE"""),2.0353653E7)</f>
        <v>20353653</v>
      </c>
    </row>
    <row r="578">
      <c r="A578" s="2">
        <f>IFERROR(__xludf.DUMMYFUNCTION("""COMPUTED_VALUE"""),45189.66666666667)</f>
        <v>45189.66667</v>
      </c>
      <c r="B578" s="1">
        <f>IFERROR(__xludf.DUMMYFUNCTION("""COMPUTED_VALUE"""),138.08)</f>
        <v>138.08</v>
      </c>
      <c r="C578" s="1">
        <f>IFERROR(__xludf.DUMMYFUNCTION("""COMPUTED_VALUE"""),138.08)</f>
        <v>138.08</v>
      </c>
      <c r="D578" s="1">
        <f>IFERROR(__xludf.DUMMYFUNCTION("""COMPUTED_VALUE"""),133.62)</f>
        <v>133.62</v>
      </c>
      <c r="E578" s="1">
        <f>IFERROR(__xludf.DUMMYFUNCTION("""COMPUTED_VALUE"""),133.74)</f>
        <v>133.74</v>
      </c>
      <c r="F578" s="1">
        <f>IFERROR(__xludf.DUMMYFUNCTION("""COMPUTED_VALUE"""),2.9927475E7)</f>
        <v>29927475</v>
      </c>
    </row>
    <row r="579">
      <c r="A579" s="2">
        <f>IFERROR(__xludf.DUMMYFUNCTION("""COMPUTED_VALUE"""),45190.66666666667)</f>
        <v>45190.66667</v>
      </c>
      <c r="B579" s="1">
        <f>IFERROR(__xludf.DUMMYFUNCTION("""COMPUTED_VALUE"""),131.44)</f>
        <v>131.44</v>
      </c>
      <c r="C579" s="1">
        <f>IFERROR(__xludf.DUMMYFUNCTION("""COMPUTED_VALUE"""),132.23)</f>
        <v>132.23</v>
      </c>
      <c r="D579" s="1">
        <f>IFERROR(__xludf.DUMMYFUNCTION("""COMPUTED_VALUE"""),130.07)</f>
        <v>130.07</v>
      </c>
      <c r="E579" s="1">
        <f>IFERROR(__xludf.DUMMYFUNCTION("""COMPUTED_VALUE"""),130.44)</f>
        <v>130.44</v>
      </c>
      <c r="F579" s="1">
        <f>IFERROR(__xludf.DUMMYFUNCTION("""COMPUTED_VALUE"""),3.150391E7)</f>
        <v>31503910</v>
      </c>
    </row>
    <row r="580">
      <c r="A580" s="2">
        <f>IFERROR(__xludf.DUMMYFUNCTION("""COMPUTED_VALUE"""),45191.66666666667)</f>
        <v>45191.66667</v>
      </c>
      <c r="B580" s="1">
        <f>IFERROR(__xludf.DUMMYFUNCTION("""COMPUTED_VALUE"""),130.76)</f>
        <v>130.76</v>
      </c>
      <c r="C580" s="1">
        <f>IFERROR(__xludf.DUMMYFUNCTION("""COMPUTED_VALUE"""),132.03)</f>
        <v>132.03</v>
      </c>
      <c r="D580" s="1">
        <f>IFERROR(__xludf.DUMMYFUNCTION("""COMPUTED_VALUE"""),129.6)</f>
        <v>129.6</v>
      </c>
      <c r="E580" s="1">
        <f>IFERROR(__xludf.DUMMYFUNCTION("""COMPUTED_VALUE"""),130.25)</f>
        <v>130.25</v>
      </c>
      <c r="F580" s="1">
        <f>IFERROR(__xludf.DUMMYFUNCTION("""COMPUTED_VALUE"""),2.6397337E7)</f>
        <v>26397337</v>
      </c>
    </row>
    <row r="581">
      <c r="A581" s="2">
        <f>IFERROR(__xludf.DUMMYFUNCTION("""COMPUTED_VALUE"""),45194.66666666667)</f>
        <v>45194.66667</v>
      </c>
      <c r="B581" s="1">
        <f>IFERROR(__xludf.DUMMYFUNCTION("""COMPUTED_VALUE"""),129.83)</f>
        <v>129.83</v>
      </c>
      <c r="C581" s="1">
        <f>IFERROR(__xludf.DUMMYFUNCTION("""COMPUTED_VALUE"""),131.17)</f>
        <v>131.17</v>
      </c>
      <c r="D581" s="1">
        <f>IFERROR(__xludf.DUMMYFUNCTION("""COMPUTED_VALUE"""),128.96)</f>
        <v>128.96</v>
      </c>
      <c r="E581" s="1">
        <f>IFERROR(__xludf.DUMMYFUNCTION("""COMPUTED_VALUE"""),131.11)</f>
        <v>131.11</v>
      </c>
      <c r="F581" s="1">
        <f>IFERROR(__xludf.DUMMYFUNCTION("""COMPUTED_VALUE"""),2.0094643E7)</f>
        <v>20094643</v>
      </c>
    </row>
    <row r="582">
      <c r="A582" s="2">
        <f>IFERROR(__xludf.DUMMYFUNCTION("""COMPUTED_VALUE"""),45195.66666666667)</f>
        <v>45195.66667</v>
      </c>
      <c r="B582" s="1">
        <f>IFERROR(__xludf.DUMMYFUNCTION("""COMPUTED_VALUE"""),129.77)</f>
        <v>129.77</v>
      </c>
      <c r="C582" s="1">
        <f>IFERROR(__xludf.DUMMYFUNCTION("""COMPUTED_VALUE"""),130.36)</f>
        <v>130.36</v>
      </c>
      <c r="D582" s="1">
        <f>IFERROR(__xludf.DUMMYFUNCTION("""COMPUTED_VALUE"""),127.22)</f>
        <v>127.22</v>
      </c>
      <c r="E582" s="1">
        <f>IFERROR(__xludf.DUMMYFUNCTION("""COMPUTED_VALUE"""),128.57)</f>
        <v>128.57</v>
      </c>
      <c r="F582" s="1">
        <f>IFERROR(__xludf.DUMMYFUNCTION("""COMPUTED_VALUE"""),2.5718704E7)</f>
        <v>25718704</v>
      </c>
    </row>
    <row r="583">
      <c r="A583" s="2">
        <f>IFERROR(__xludf.DUMMYFUNCTION("""COMPUTED_VALUE"""),45196.66666666667)</f>
        <v>45196.66667</v>
      </c>
      <c r="B583" s="1">
        <f>IFERROR(__xludf.DUMMYFUNCTION("""COMPUTED_VALUE"""),128.57)</f>
        <v>128.57</v>
      </c>
      <c r="C583" s="1">
        <f>IFERROR(__xludf.DUMMYFUNCTION("""COMPUTED_VALUE"""),130.9)</f>
        <v>130.9</v>
      </c>
      <c r="D583" s="1">
        <f>IFERROR(__xludf.DUMMYFUNCTION("""COMPUTED_VALUE"""),128.57)</f>
        <v>128.57</v>
      </c>
      <c r="E583" s="1">
        <f>IFERROR(__xludf.DUMMYFUNCTION("""COMPUTED_VALUE"""),130.54)</f>
        <v>130.54</v>
      </c>
      <c r="F583" s="1">
        <f>IFERROR(__xludf.DUMMYFUNCTION("""COMPUTED_VALUE"""),2.2746452E7)</f>
        <v>22746452</v>
      </c>
    </row>
    <row r="584">
      <c r="A584" s="2">
        <f>IFERROR(__xludf.DUMMYFUNCTION("""COMPUTED_VALUE"""),45197.66666666667)</f>
        <v>45197.66667</v>
      </c>
      <c r="B584" s="1">
        <f>IFERROR(__xludf.DUMMYFUNCTION("""COMPUTED_VALUE"""),129.84)</f>
        <v>129.84</v>
      </c>
      <c r="C584" s="1">
        <f>IFERROR(__xludf.DUMMYFUNCTION("""COMPUTED_VALUE"""),133.3)</f>
        <v>133.3</v>
      </c>
      <c r="D584" s="1">
        <f>IFERROR(__xludf.DUMMYFUNCTION("""COMPUTED_VALUE"""),129.79)</f>
        <v>129.79</v>
      </c>
      <c r="E584" s="1">
        <f>IFERROR(__xludf.DUMMYFUNCTION("""COMPUTED_VALUE"""),132.31)</f>
        <v>132.31</v>
      </c>
      <c r="F584" s="1">
        <f>IFERROR(__xludf.DUMMYFUNCTION("""COMPUTED_VALUE"""),2.2513132E7)</f>
        <v>22513132</v>
      </c>
    </row>
    <row r="585">
      <c r="A585" s="2">
        <f>IFERROR(__xludf.DUMMYFUNCTION("""COMPUTED_VALUE"""),45198.66666666667)</f>
        <v>45198.66667</v>
      </c>
      <c r="B585" s="1">
        <f>IFERROR(__xludf.DUMMYFUNCTION("""COMPUTED_VALUE"""),133.28)</f>
        <v>133.28</v>
      </c>
      <c r="C585" s="1">
        <f>IFERROR(__xludf.DUMMYFUNCTION("""COMPUTED_VALUE"""),134.05)</f>
        <v>134.05</v>
      </c>
      <c r="D585" s="1">
        <f>IFERROR(__xludf.DUMMYFUNCTION("""COMPUTED_VALUE"""),130.36)</f>
        <v>130.36</v>
      </c>
      <c r="E585" s="1">
        <f>IFERROR(__xludf.DUMMYFUNCTION("""COMPUTED_VALUE"""),130.86)</f>
        <v>130.86</v>
      </c>
      <c r="F585" s="1">
        <f>IFERROR(__xludf.DUMMYFUNCTION("""COMPUTED_VALUE"""),3.085979E7)</f>
        <v>30859790</v>
      </c>
    </row>
    <row r="586">
      <c r="A586" s="2">
        <f>IFERROR(__xludf.DUMMYFUNCTION("""COMPUTED_VALUE"""),45201.66666666667)</f>
        <v>45201.66667</v>
      </c>
      <c r="B586" s="1">
        <f>IFERROR(__xludf.DUMMYFUNCTION("""COMPUTED_VALUE"""),131.21)</f>
        <v>131.21</v>
      </c>
      <c r="C586" s="1">
        <f>IFERROR(__xludf.DUMMYFUNCTION("""COMPUTED_VALUE"""),134.42)</f>
        <v>134.42</v>
      </c>
      <c r="D586" s="1">
        <f>IFERROR(__xludf.DUMMYFUNCTION("""COMPUTED_VALUE"""),131.17)</f>
        <v>131.17</v>
      </c>
      <c r="E586" s="1">
        <f>IFERROR(__xludf.DUMMYFUNCTION("""COMPUTED_VALUE"""),134.17)</f>
        <v>134.17</v>
      </c>
      <c r="F586" s="1">
        <f>IFERROR(__xludf.DUMMYFUNCTION("""COMPUTED_VALUE"""),2.2288038E7)</f>
        <v>22288038</v>
      </c>
    </row>
    <row r="587">
      <c r="A587" s="2">
        <f>IFERROR(__xludf.DUMMYFUNCTION("""COMPUTED_VALUE"""),45202.66666666667)</f>
        <v>45202.66667</v>
      </c>
      <c r="B587" s="1">
        <f>IFERROR(__xludf.DUMMYFUNCTION("""COMPUTED_VALUE"""),133.94)</f>
        <v>133.94</v>
      </c>
      <c r="C587" s="1">
        <f>IFERROR(__xludf.DUMMYFUNCTION("""COMPUTED_VALUE"""),134.26)</f>
        <v>134.26</v>
      </c>
      <c r="D587" s="1">
        <f>IFERROR(__xludf.DUMMYFUNCTION("""COMPUTED_VALUE"""),131.84)</f>
        <v>131.84</v>
      </c>
      <c r="E587" s="1">
        <f>IFERROR(__xludf.DUMMYFUNCTION("""COMPUTED_VALUE"""),132.43)</f>
        <v>132.43</v>
      </c>
      <c r="F587" s="1">
        <f>IFERROR(__xludf.DUMMYFUNCTION("""COMPUTED_VALUE"""),2.2989401E7)</f>
        <v>22989401</v>
      </c>
    </row>
    <row r="588">
      <c r="A588" s="2">
        <f>IFERROR(__xludf.DUMMYFUNCTION("""COMPUTED_VALUE"""),45203.66666666667)</f>
        <v>45203.66667</v>
      </c>
      <c r="B588" s="1">
        <f>IFERROR(__xludf.DUMMYFUNCTION("""COMPUTED_VALUE"""),132.79)</f>
        <v>132.79</v>
      </c>
      <c r="C588" s="1">
        <f>IFERROR(__xludf.DUMMYFUNCTION("""COMPUTED_VALUE"""),135.57)</f>
        <v>135.57</v>
      </c>
      <c r="D588" s="1">
        <f>IFERROR(__xludf.DUMMYFUNCTION("""COMPUTED_VALUE"""),132.53)</f>
        <v>132.53</v>
      </c>
      <c r="E588" s="1">
        <f>IFERROR(__xludf.DUMMYFUNCTION("""COMPUTED_VALUE"""),135.24)</f>
        <v>135.24</v>
      </c>
      <c r="F588" s="1">
        <f>IFERROR(__xludf.DUMMYFUNCTION("""COMPUTED_VALUE"""),2.6752295E7)</f>
        <v>26752295</v>
      </c>
    </row>
    <row r="589">
      <c r="A589" s="2">
        <f>IFERROR(__xludf.DUMMYFUNCTION("""COMPUTED_VALUE"""),45204.66666666667)</f>
        <v>45204.66667</v>
      </c>
      <c r="B589" s="1">
        <f>IFERROR(__xludf.DUMMYFUNCTION("""COMPUTED_VALUE"""),135.07)</f>
        <v>135.07</v>
      </c>
      <c r="C589" s="1">
        <f>IFERROR(__xludf.DUMMYFUNCTION("""COMPUTED_VALUE"""),135.49)</f>
        <v>135.49</v>
      </c>
      <c r="D589" s="1">
        <f>IFERROR(__xludf.DUMMYFUNCTION("""COMPUTED_VALUE"""),133.45)</f>
        <v>133.45</v>
      </c>
      <c r="E589" s="1">
        <f>IFERROR(__xludf.DUMMYFUNCTION("""COMPUTED_VALUE"""),135.07)</f>
        <v>135.07</v>
      </c>
      <c r="F589" s="1">
        <f>IFERROR(__xludf.DUMMYFUNCTION("""COMPUTED_VALUE"""),1.9832615E7)</f>
        <v>19832615</v>
      </c>
    </row>
    <row r="590">
      <c r="A590" s="2">
        <f>IFERROR(__xludf.DUMMYFUNCTION("""COMPUTED_VALUE"""),45205.66666666667)</f>
        <v>45205.66667</v>
      </c>
      <c r="B590" s="1">
        <f>IFERROR(__xludf.DUMMYFUNCTION("""COMPUTED_VALUE"""),134.01)</f>
        <v>134.01</v>
      </c>
      <c r="C590" s="1">
        <f>IFERROR(__xludf.DUMMYFUNCTION("""COMPUTED_VALUE"""),138.16)</f>
        <v>138.16</v>
      </c>
      <c r="D590" s="1">
        <f>IFERROR(__xludf.DUMMYFUNCTION("""COMPUTED_VALUE"""),134.01)</f>
        <v>134.01</v>
      </c>
      <c r="E590" s="1">
        <f>IFERROR(__xludf.DUMMYFUNCTION("""COMPUTED_VALUE"""),137.58)</f>
        <v>137.58</v>
      </c>
      <c r="F590" s="1">
        <f>IFERROR(__xludf.DUMMYFUNCTION("""COMPUTED_VALUE"""),2.7597598E7)</f>
        <v>27597598</v>
      </c>
    </row>
    <row r="591">
      <c r="A591" s="2">
        <f>IFERROR(__xludf.DUMMYFUNCTION("""COMPUTED_VALUE"""),45208.66666666667)</f>
        <v>45208.66667</v>
      </c>
      <c r="B591" s="1">
        <f>IFERROR(__xludf.DUMMYFUNCTION("""COMPUTED_VALUE"""),136.94)</f>
        <v>136.94</v>
      </c>
      <c r="C591" s="1">
        <f>IFERROR(__xludf.DUMMYFUNCTION("""COMPUTED_VALUE"""),138.94)</f>
        <v>138.94</v>
      </c>
      <c r="D591" s="1">
        <f>IFERROR(__xludf.DUMMYFUNCTION("""COMPUTED_VALUE"""),135.61)</f>
        <v>135.61</v>
      </c>
      <c r="E591" s="1">
        <f>IFERROR(__xludf.DUMMYFUNCTION("""COMPUTED_VALUE"""),138.42)</f>
        <v>138.42</v>
      </c>
      <c r="F591" s="1">
        <f>IFERROR(__xludf.DUMMYFUNCTION("""COMPUTED_VALUE"""),1.927807E7)</f>
        <v>19278070</v>
      </c>
    </row>
    <row r="592">
      <c r="A592" s="2">
        <f>IFERROR(__xludf.DUMMYFUNCTION("""COMPUTED_VALUE"""),45209.66666666667)</f>
        <v>45209.66667</v>
      </c>
      <c r="B592" s="1">
        <f>IFERROR(__xludf.DUMMYFUNCTION("""COMPUTED_VALUE"""),138.5)</f>
        <v>138.5</v>
      </c>
      <c r="C592" s="1">
        <f>IFERROR(__xludf.DUMMYFUNCTION("""COMPUTED_VALUE"""),139.72)</f>
        <v>139.72</v>
      </c>
      <c r="D592" s="1">
        <f>IFERROR(__xludf.DUMMYFUNCTION("""COMPUTED_VALUE"""),137.33)</f>
        <v>137.33</v>
      </c>
      <c r="E592" s="1">
        <f>IFERROR(__xludf.DUMMYFUNCTION("""COMPUTED_VALUE"""),138.06)</f>
        <v>138.06</v>
      </c>
      <c r="F592" s="1">
        <f>IFERROR(__xludf.DUMMYFUNCTION("""COMPUTED_VALUE"""),2.7786613E7)</f>
        <v>27786613</v>
      </c>
    </row>
    <row r="593">
      <c r="A593" s="2">
        <f>IFERROR(__xludf.DUMMYFUNCTION("""COMPUTED_VALUE"""),45210.66666666667)</f>
        <v>45210.66667</v>
      </c>
      <c r="B593" s="1">
        <f>IFERROR(__xludf.DUMMYFUNCTION("""COMPUTED_VALUE"""),138.58)</f>
        <v>138.58</v>
      </c>
      <c r="C593" s="1">
        <f>IFERROR(__xludf.DUMMYFUNCTION("""COMPUTED_VALUE"""),141.11)</f>
        <v>141.11</v>
      </c>
      <c r="D593" s="1">
        <f>IFERROR(__xludf.DUMMYFUNCTION("""COMPUTED_VALUE"""),138.58)</f>
        <v>138.58</v>
      </c>
      <c r="E593" s="1">
        <f>IFERROR(__xludf.DUMMYFUNCTION("""COMPUTED_VALUE"""),140.55)</f>
        <v>140.55</v>
      </c>
      <c r="F593" s="1">
        <f>IFERROR(__xludf.DUMMYFUNCTION("""COMPUTED_VALUE"""),2.5884303E7)</f>
        <v>25884303</v>
      </c>
    </row>
    <row r="594">
      <c r="A594" s="2">
        <f>IFERROR(__xludf.DUMMYFUNCTION("""COMPUTED_VALUE"""),45211.66666666667)</f>
        <v>45211.66667</v>
      </c>
      <c r="B594" s="1">
        <f>IFERROR(__xludf.DUMMYFUNCTION("""COMPUTED_VALUE"""),141.05)</f>
        <v>141.05</v>
      </c>
      <c r="C594" s="1">
        <f>IFERROR(__xludf.DUMMYFUNCTION("""COMPUTED_VALUE"""),141.22)</f>
        <v>141.22</v>
      </c>
      <c r="D594" s="1">
        <f>IFERROR(__xludf.DUMMYFUNCTION("""COMPUTED_VALUE"""),138.26)</f>
        <v>138.26</v>
      </c>
      <c r="E594" s="1">
        <f>IFERROR(__xludf.DUMMYFUNCTION("""COMPUTED_VALUE"""),138.97)</f>
        <v>138.97</v>
      </c>
      <c r="F594" s="1">
        <f>IFERROR(__xludf.DUMMYFUNCTION("""COMPUTED_VALUE"""),2.4765537E7)</f>
        <v>24765537</v>
      </c>
    </row>
    <row r="595">
      <c r="A595" s="2">
        <f>IFERROR(__xludf.DUMMYFUNCTION("""COMPUTED_VALUE"""),45212.66666666667)</f>
        <v>45212.66667</v>
      </c>
      <c r="B595" s="1">
        <f>IFERROR(__xludf.DUMMYFUNCTION("""COMPUTED_VALUE"""),139.38)</f>
        <v>139.38</v>
      </c>
      <c r="C595" s="1">
        <f>IFERROR(__xludf.DUMMYFUNCTION("""COMPUTED_VALUE"""),140.0)</f>
        <v>140</v>
      </c>
      <c r="D595" s="1">
        <f>IFERROR(__xludf.DUMMYFUNCTION("""COMPUTED_VALUE"""),136.62)</f>
        <v>136.62</v>
      </c>
      <c r="E595" s="1">
        <f>IFERROR(__xludf.DUMMYFUNCTION("""COMPUTED_VALUE"""),137.36)</f>
        <v>137.36</v>
      </c>
      <c r="F595" s="1">
        <f>IFERROR(__xludf.DUMMYFUNCTION("""COMPUTED_VALUE"""),2.3435599E7)</f>
        <v>23435599</v>
      </c>
    </row>
    <row r="596">
      <c r="A596" s="2">
        <f>IFERROR(__xludf.DUMMYFUNCTION("""COMPUTED_VALUE"""),45215.66666666667)</f>
        <v>45215.66667</v>
      </c>
      <c r="B596" s="1">
        <f>IFERROR(__xludf.DUMMYFUNCTION("""COMPUTED_VALUE"""),138.17)</f>
        <v>138.17</v>
      </c>
      <c r="C596" s="1">
        <f>IFERROR(__xludf.DUMMYFUNCTION("""COMPUTED_VALUE"""),139.63)</f>
        <v>139.63</v>
      </c>
      <c r="D596" s="1">
        <f>IFERROR(__xludf.DUMMYFUNCTION("""COMPUTED_VALUE"""),137.99)</f>
        <v>137.99</v>
      </c>
      <c r="E596" s="1">
        <f>IFERROR(__xludf.DUMMYFUNCTION("""COMPUTED_VALUE"""),139.1)</f>
        <v>139.1</v>
      </c>
      <c r="F596" s="1">
        <f>IFERROR(__xludf.DUMMYFUNCTION("""COMPUTED_VALUE"""),2.8501871E7)</f>
        <v>28501871</v>
      </c>
    </row>
    <row r="597">
      <c r="A597" s="2">
        <f>IFERROR(__xludf.DUMMYFUNCTION("""COMPUTED_VALUE"""),45216.66666666667)</f>
        <v>45216.66667</v>
      </c>
      <c r="B597" s="1">
        <f>IFERROR(__xludf.DUMMYFUNCTION("""COMPUTED_VALUE"""),138.63)</f>
        <v>138.63</v>
      </c>
      <c r="C597" s="1">
        <f>IFERROR(__xludf.DUMMYFUNCTION("""COMPUTED_VALUE"""),139.9)</f>
        <v>139.9</v>
      </c>
      <c r="D597" s="1">
        <f>IFERROR(__xludf.DUMMYFUNCTION("""COMPUTED_VALUE"""),137.18)</f>
        <v>137.18</v>
      </c>
      <c r="E597" s="1">
        <f>IFERROR(__xludf.DUMMYFUNCTION("""COMPUTED_VALUE"""),139.72)</f>
        <v>139.72</v>
      </c>
      <c r="F597" s="1">
        <f>IFERROR(__xludf.DUMMYFUNCTION("""COMPUTED_VALUE"""),2.351578E7)</f>
        <v>23515780</v>
      </c>
    </row>
    <row r="598">
      <c r="A598" s="2">
        <f>IFERROR(__xludf.DUMMYFUNCTION("""COMPUTED_VALUE"""),45217.66666666667)</f>
        <v>45217.66667</v>
      </c>
      <c r="B598" s="1">
        <f>IFERROR(__xludf.DUMMYFUNCTION("""COMPUTED_VALUE"""),139.45)</f>
        <v>139.45</v>
      </c>
      <c r="C598" s="1">
        <f>IFERROR(__xludf.DUMMYFUNCTION("""COMPUTED_VALUE"""),140.72)</f>
        <v>140.72</v>
      </c>
      <c r="D598" s="1">
        <f>IFERROR(__xludf.DUMMYFUNCTION("""COMPUTED_VALUE"""),137.38)</f>
        <v>137.38</v>
      </c>
      <c r="E598" s="1">
        <f>IFERROR(__xludf.DUMMYFUNCTION("""COMPUTED_VALUE"""),137.96)</f>
        <v>137.96</v>
      </c>
      <c r="F598" s="1">
        <f>IFERROR(__xludf.DUMMYFUNCTION("""COMPUTED_VALUE"""),2.3374998E7)</f>
        <v>23374998</v>
      </c>
    </row>
    <row r="599">
      <c r="A599" s="2">
        <f>IFERROR(__xludf.DUMMYFUNCTION("""COMPUTED_VALUE"""),45218.66666666667)</f>
        <v>45218.66667</v>
      </c>
      <c r="B599" s="1">
        <f>IFERROR(__xludf.DUMMYFUNCTION("""COMPUTED_VALUE"""),138.5)</f>
        <v>138.5</v>
      </c>
      <c r="C599" s="1">
        <f>IFERROR(__xludf.DUMMYFUNCTION("""COMPUTED_VALUE"""),139.66)</f>
        <v>139.66</v>
      </c>
      <c r="D599" s="1">
        <f>IFERROR(__xludf.DUMMYFUNCTION("""COMPUTED_VALUE"""),137.38)</f>
        <v>137.38</v>
      </c>
      <c r="E599" s="1">
        <f>IFERROR(__xludf.DUMMYFUNCTION("""COMPUTED_VALUE"""),137.75)</f>
        <v>137.75</v>
      </c>
      <c r="F599" s="1">
        <f>IFERROR(__xludf.DUMMYFUNCTION("""COMPUTED_VALUE"""),2.6066011E7)</f>
        <v>26066011</v>
      </c>
    </row>
    <row r="600">
      <c r="A600" s="2">
        <f>IFERROR(__xludf.DUMMYFUNCTION("""COMPUTED_VALUE"""),45219.66666666667)</f>
        <v>45219.66667</v>
      </c>
      <c r="B600" s="1">
        <f>IFERROR(__xludf.DUMMYFUNCTION("""COMPUTED_VALUE"""),137.33)</f>
        <v>137.33</v>
      </c>
      <c r="C600" s="1">
        <f>IFERROR(__xludf.DUMMYFUNCTION("""COMPUTED_VALUE"""),137.87)</f>
        <v>137.87</v>
      </c>
      <c r="D600" s="1">
        <f>IFERROR(__xludf.DUMMYFUNCTION("""COMPUTED_VALUE"""),135.08)</f>
        <v>135.08</v>
      </c>
      <c r="E600" s="1">
        <f>IFERROR(__xludf.DUMMYFUNCTION("""COMPUTED_VALUE"""),135.6)</f>
        <v>135.6</v>
      </c>
      <c r="F600" s="1">
        <f>IFERROR(__xludf.DUMMYFUNCTION("""COMPUTED_VALUE"""),2.6335673E7)</f>
        <v>26335673</v>
      </c>
    </row>
    <row r="601">
      <c r="A601" s="2">
        <f>IFERROR(__xludf.DUMMYFUNCTION("""COMPUTED_VALUE"""),45222.66666666667)</f>
        <v>45222.66667</v>
      </c>
      <c r="B601" s="1">
        <f>IFERROR(__xludf.DUMMYFUNCTION("""COMPUTED_VALUE"""),135.04)</f>
        <v>135.04</v>
      </c>
      <c r="C601" s="1">
        <f>IFERROR(__xludf.DUMMYFUNCTION("""COMPUTED_VALUE"""),137.66)</f>
        <v>137.66</v>
      </c>
      <c r="D601" s="1">
        <f>IFERROR(__xludf.DUMMYFUNCTION("""COMPUTED_VALUE"""),133.95)</f>
        <v>133.95</v>
      </c>
      <c r="E601" s="1">
        <f>IFERROR(__xludf.DUMMYFUNCTION("""COMPUTED_VALUE"""),136.5)</f>
        <v>136.5</v>
      </c>
      <c r="F601" s="1">
        <f>IFERROR(__xludf.DUMMYFUNCTION("""COMPUTED_VALUE"""),2.631793E7)</f>
        <v>26317930</v>
      </c>
    </row>
    <row r="602">
      <c r="A602" s="2">
        <f>IFERROR(__xludf.DUMMYFUNCTION("""COMPUTED_VALUE"""),45223.66666666667)</f>
        <v>45223.66667</v>
      </c>
      <c r="B602" s="1">
        <f>IFERROR(__xludf.DUMMYFUNCTION("""COMPUTED_VALUE"""),137.83)</f>
        <v>137.83</v>
      </c>
      <c r="C602" s="1">
        <f>IFERROR(__xludf.DUMMYFUNCTION("""COMPUTED_VALUE"""),139.36)</f>
        <v>139.36</v>
      </c>
      <c r="D602" s="1">
        <f>IFERROR(__xludf.DUMMYFUNCTION("""COMPUTED_VALUE"""),137.42)</f>
        <v>137.42</v>
      </c>
      <c r="E602" s="1">
        <f>IFERROR(__xludf.DUMMYFUNCTION("""COMPUTED_VALUE"""),138.81)</f>
        <v>138.81</v>
      </c>
      <c r="F602" s="1">
        <f>IFERROR(__xludf.DUMMYFUNCTION("""COMPUTED_VALUE"""),4.4814321E7)</f>
        <v>44814321</v>
      </c>
    </row>
    <row r="603">
      <c r="A603" s="2">
        <f>IFERROR(__xludf.DUMMYFUNCTION("""COMPUTED_VALUE"""),45224.66666666667)</f>
        <v>45224.66667</v>
      </c>
      <c r="B603" s="1">
        <f>IFERROR(__xludf.DUMMYFUNCTION("""COMPUTED_VALUE"""),128.16)</f>
        <v>128.16</v>
      </c>
      <c r="C603" s="1">
        <f>IFERROR(__xludf.DUMMYFUNCTION("""COMPUTED_VALUE"""),128.31)</f>
        <v>128.31</v>
      </c>
      <c r="D603" s="1">
        <f>IFERROR(__xludf.DUMMYFUNCTION("""COMPUTED_VALUE"""),125.07)</f>
        <v>125.07</v>
      </c>
      <c r="E603" s="1">
        <f>IFERROR(__xludf.DUMMYFUNCTION("""COMPUTED_VALUE"""),125.61)</f>
        <v>125.61</v>
      </c>
      <c r="F603" s="1">
        <f>IFERROR(__xludf.DUMMYFUNCTION("""COMPUTED_VALUE"""),8.4366208E7)</f>
        <v>84366208</v>
      </c>
    </row>
    <row r="604">
      <c r="A604" s="2">
        <f>IFERROR(__xludf.DUMMYFUNCTION("""COMPUTED_VALUE"""),45225.66666666667)</f>
        <v>45225.66667</v>
      </c>
      <c r="B604" s="1">
        <f>IFERROR(__xludf.DUMMYFUNCTION("""COMPUTED_VALUE"""),123.27)</f>
        <v>123.27</v>
      </c>
      <c r="C604" s="1">
        <f>IFERROR(__xludf.DUMMYFUNCTION("""COMPUTED_VALUE"""),124.33)</f>
        <v>124.33</v>
      </c>
      <c r="D604" s="1">
        <f>IFERROR(__xludf.DUMMYFUNCTION("""COMPUTED_VALUE"""),121.27)</f>
        <v>121.27</v>
      </c>
      <c r="E604" s="1">
        <f>IFERROR(__xludf.DUMMYFUNCTION("""COMPUTED_VALUE"""),122.28)</f>
        <v>122.28</v>
      </c>
      <c r="F604" s="1">
        <f>IFERROR(__xludf.DUMMYFUNCTION("""COMPUTED_VALUE"""),5.706114E7)</f>
        <v>57061140</v>
      </c>
    </row>
    <row r="605">
      <c r="A605" s="2">
        <f>IFERROR(__xludf.DUMMYFUNCTION("""COMPUTED_VALUE"""),45226.66666666667)</f>
        <v>45226.66667</v>
      </c>
      <c r="B605" s="1">
        <f>IFERROR(__xludf.DUMMYFUNCTION("""COMPUTED_VALUE"""),122.88)</f>
        <v>122.88</v>
      </c>
      <c r="C605" s="1">
        <f>IFERROR(__xludf.DUMMYFUNCTION("""COMPUTED_VALUE"""),123.31)</f>
        <v>123.31</v>
      </c>
      <c r="D605" s="1">
        <f>IFERROR(__xludf.DUMMYFUNCTION("""COMPUTED_VALUE"""),120.21)</f>
        <v>120.21</v>
      </c>
      <c r="E605" s="1">
        <f>IFERROR(__xludf.DUMMYFUNCTION("""COMPUTED_VALUE"""),122.17)</f>
        <v>122.17</v>
      </c>
      <c r="F605" s="1">
        <f>IFERROR(__xludf.DUMMYFUNCTION("""COMPUTED_VALUE"""),4.4566506E7)</f>
        <v>44566506</v>
      </c>
    </row>
    <row r="606">
      <c r="A606" s="2">
        <f>IFERROR(__xludf.DUMMYFUNCTION("""COMPUTED_VALUE"""),45229.66666666667)</f>
        <v>45229.66667</v>
      </c>
      <c r="B606" s="1">
        <f>IFERROR(__xludf.DUMMYFUNCTION("""COMPUTED_VALUE"""),123.21)</f>
        <v>123.21</v>
      </c>
      <c r="C606" s="1">
        <f>IFERROR(__xludf.DUMMYFUNCTION("""COMPUTED_VALUE"""),125.4)</f>
        <v>125.4</v>
      </c>
      <c r="D606" s="1">
        <f>IFERROR(__xludf.DUMMYFUNCTION("""COMPUTED_VALUE"""),122.75)</f>
        <v>122.75</v>
      </c>
      <c r="E606" s="1">
        <f>IFERROR(__xludf.DUMMYFUNCTION("""COMPUTED_VALUE"""),124.46)</f>
        <v>124.46</v>
      </c>
      <c r="F606" s="1">
        <f>IFERROR(__xludf.DUMMYFUNCTION("""COMPUTED_VALUE"""),2.8940081E7)</f>
        <v>28940081</v>
      </c>
    </row>
    <row r="607">
      <c r="A607" s="2">
        <f>IFERROR(__xludf.DUMMYFUNCTION("""COMPUTED_VALUE"""),45230.66666666667)</f>
        <v>45230.66667</v>
      </c>
      <c r="B607" s="1">
        <f>IFERROR(__xludf.DUMMYFUNCTION("""COMPUTED_VALUE"""),125.06)</f>
        <v>125.06</v>
      </c>
      <c r="C607" s="1">
        <f>IFERROR(__xludf.DUMMYFUNCTION("""COMPUTED_VALUE"""),125.37)</f>
        <v>125.37</v>
      </c>
      <c r="D607" s="1">
        <f>IFERROR(__xludf.DUMMYFUNCTION("""COMPUTED_VALUE"""),122.69)</f>
        <v>122.69</v>
      </c>
      <c r="E607" s="1">
        <f>IFERROR(__xludf.DUMMYFUNCTION("""COMPUTED_VALUE"""),124.08)</f>
        <v>124.08</v>
      </c>
      <c r="F607" s="1">
        <f>IFERROR(__xludf.DUMMYFUNCTION("""COMPUTED_VALUE"""),2.6292342E7)</f>
        <v>26292342</v>
      </c>
    </row>
    <row r="608">
      <c r="A608" s="2">
        <f>IFERROR(__xludf.DUMMYFUNCTION("""COMPUTED_VALUE"""),45231.66666666667)</f>
        <v>45231.66667</v>
      </c>
      <c r="B608" s="1">
        <f>IFERROR(__xludf.DUMMYFUNCTION("""COMPUTED_VALUE"""),124.07)</f>
        <v>124.07</v>
      </c>
      <c r="C608" s="1">
        <f>IFERROR(__xludf.DUMMYFUNCTION("""COMPUTED_VALUE"""),126.49)</f>
        <v>126.49</v>
      </c>
      <c r="D608" s="1">
        <f>IFERROR(__xludf.DUMMYFUNCTION("""COMPUTED_VALUE"""),123.72)</f>
        <v>123.72</v>
      </c>
      <c r="E608" s="1">
        <f>IFERROR(__xludf.DUMMYFUNCTION("""COMPUTED_VALUE"""),126.45)</f>
        <v>126.45</v>
      </c>
      <c r="F608" s="1">
        <f>IFERROR(__xludf.DUMMYFUNCTION("""COMPUTED_VALUE"""),3.0082438E7)</f>
        <v>30082438</v>
      </c>
    </row>
    <row r="609">
      <c r="A609" s="2">
        <f>IFERROR(__xludf.DUMMYFUNCTION("""COMPUTED_VALUE"""),45232.66666666667)</f>
        <v>45232.66667</v>
      </c>
      <c r="B609" s="1">
        <f>IFERROR(__xludf.DUMMYFUNCTION("""COMPUTED_VALUE"""),128.42)</f>
        <v>128.42</v>
      </c>
      <c r="C609" s="1">
        <f>IFERROR(__xludf.DUMMYFUNCTION("""COMPUTED_VALUE"""),128.98)</f>
        <v>128.98</v>
      </c>
      <c r="D609" s="1">
        <f>IFERROR(__xludf.DUMMYFUNCTION("""COMPUTED_VALUE"""),126.93)</f>
        <v>126.93</v>
      </c>
      <c r="E609" s="1">
        <f>IFERROR(__xludf.DUMMYFUNCTION("""COMPUTED_VALUE"""),127.49)</f>
        <v>127.49</v>
      </c>
      <c r="F609" s="1">
        <f>IFERROR(__xludf.DUMMYFUNCTION("""COMPUTED_VALUE"""),2.7124647E7)</f>
        <v>27124647</v>
      </c>
    </row>
    <row r="610">
      <c r="A610" s="2">
        <f>IFERROR(__xludf.DUMMYFUNCTION("""COMPUTED_VALUE"""),45233.66666666667)</f>
        <v>45233.66667</v>
      </c>
      <c r="B610" s="1">
        <f>IFERROR(__xludf.DUMMYFUNCTION("""COMPUTED_VALUE"""),128.02)</f>
        <v>128.02</v>
      </c>
      <c r="C610" s="1">
        <f>IFERROR(__xludf.DUMMYFUNCTION("""COMPUTED_VALUE"""),129.53)</f>
        <v>129.53</v>
      </c>
      <c r="D610" s="1">
        <f>IFERROR(__xludf.DUMMYFUNCTION("""COMPUTED_VALUE"""),127.86)</f>
        <v>127.86</v>
      </c>
      <c r="E610" s="1">
        <f>IFERROR(__xludf.DUMMYFUNCTION("""COMPUTED_VALUE"""),129.1)</f>
        <v>129.1</v>
      </c>
      <c r="F610" s="1">
        <f>IFERROR(__xludf.DUMMYFUNCTION("""COMPUTED_VALUE"""),2.6393109E7)</f>
        <v>26393109</v>
      </c>
    </row>
    <row r="611">
      <c r="A611" s="2">
        <f>IFERROR(__xludf.DUMMYFUNCTION("""COMPUTED_VALUE"""),45236.66666666667)</f>
        <v>45236.66667</v>
      </c>
      <c r="B611" s="1">
        <f>IFERROR(__xludf.DUMMYFUNCTION("""COMPUTED_VALUE"""),129.05)</f>
        <v>129.05</v>
      </c>
      <c r="C611" s="1">
        <f>IFERROR(__xludf.DUMMYFUNCTION("""COMPUTED_VALUE"""),130.34)</f>
        <v>130.34</v>
      </c>
      <c r="D611" s="1">
        <f>IFERROR(__xludf.DUMMYFUNCTION("""COMPUTED_VALUE"""),128.67)</f>
        <v>128.67</v>
      </c>
      <c r="E611" s="1">
        <f>IFERROR(__xludf.DUMMYFUNCTION("""COMPUTED_VALUE"""),130.25)</f>
        <v>130.25</v>
      </c>
      <c r="F611" s="1">
        <f>IFERROR(__xludf.DUMMYFUNCTION("""COMPUTED_VALUE"""),1.905274E7)</f>
        <v>19052740</v>
      </c>
    </row>
    <row r="612">
      <c r="A612" s="2">
        <f>IFERROR(__xludf.DUMMYFUNCTION("""COMPUTED_VALUE"""),45237.66666666667)</f>
        <v>45237.66667</v>
      </c>
      <c r="B612" s="1">
        <f>IFERROR(__xludf.DUMMYFUNCTION("""COMPUTED_VALUE"""),130.71)</f>
        <v>130.71</v>
      </c>
      <c r="C612" s="1">
        <f>IFERROR(__xludf.DUMMYFUNCTION("""COMPUTED_VALUE"""),131.91)</f>
        <v>131.91</v>
      </c>
      <c r="D612" s="1">
        <f>IFERROR(__xludf.DUMMYFUNCTION("""COMPUTED_VALUE"""),129.88)</f>
        <v>129.88</v>
      </c>
      <c r="E612" s="1">
        <f>IFERROR(__xludf.DUMMYFUNCTION("""COMPUTED_VALUE"""),130.97)</f>
        <v>130.97</v>
      </c>
      <c r="F612" s="1">
        <f>IFERROR(__xludf.DUMMYFUNCTION("""COMPUTED_VALUE"""),2.9757276E7)</f>
        <v>29757276</v>
      </c>
    </row>
    <row r="613">
      <c r="A613" s="2">
        <f>IFERROR(__xludf.DUMMYFUNCTION("""COMPUTED_VALUE"""),45238.66666666667)</f>
        <v>45238.66667</v>
      </c>
      <c r="B613" s="1">
        <f>IFERROR(__xludf.DUMMYFUNCTION("""COMPUTED_VALUE"""),130.97)</f>
        <v>130.97</v>
      </c>
      <c r="C613" s="1">
        <f>IFERROR(__xludf.DUMMYFUNCTION("""COMPUTED_VALUE"""),132.21)</f>
        <v>132.21</v>
      </c>
      <c r="D613" s="1">
        <f>IFERROR(__xludf.DUMMYFUNCTION("""COMPUTED_VALUE"""),130.78)</f>
        <v>130.78</v>
      </c>
      <c r="E613" s="1">
        <f>IFERROR(__xludf.DUMMYFUNCTION("""COMPUTED_VALUE"""),131.84)</f>
        <v>131.84</v>
      </c>
      <c r="F613" s="1">
        <f>IFERROR(__xludf.DUMMYFUNCTION("""COMPUTED_VALUE"""),2.6425849E7)</f>
        <v>26425849</v>
      </c>
    </row>
    <row r="614">
      <c r="A614" s="2">
        <f>IFERROR(__xludf.DUMMYFUNCTION("""COMPUTED_VALUE"""),45239.66666666667)</f>
        <v>45239.66667</v>
      </c>
      <c r="B614" s="1">
        <f>IFERROR(__xludf.DUMMYFUNCTION("""COMPUTED_VALUE"""),131.96)</f>
        <v>131.96</v>
      </c>
      <c r="C614" s="1">
        <f>IFERROR(__xludf.DUMMYFUNCTION("""COMPUTED_VALUE"""),132.55)</f>
        <v>132.55</v>
      </c>
      <c r="D614" s="1">
        <f>IFERROR(__xludf.DUMMYFUNCTION("""COMPUTED_VALUE"""),130.07)</f>
        <v>130.07</v>
      </c>
      <c r="E614" s="1">
        <f>IFERROR(__xludf.DUMMYFUNCTION("""COMPUTED_VALUE"""),130.24)</f>
        <v>130.24</v>
      </c>
      <c r="F614" s="1">
        <f>IFERROR(__xludf.DUMMYFUNCTION("""COMPUTED_VALUE"""),2.3747773E7)</f>
        <v>23747773</v>
      </c>
    </row>
    <row r="615">
      <c r="A615" s="2">
        <f>IFERROR(__xludf.DUMMYFUNCTION("""COMPUTED_VALUE"""),45240.66666666667)</f>
        <v>45240.66667</v>
      </c>
      <c r="B615" s="1">
        <f>IFERROR(__xludf.DUMMYFUNCTION("""COMPUTED_VALUE"""),130.1)</f>
        <v>130.1</v>
      </c>
      <c r="C615" s="1">
        <f>IFERROR(__xludf.DUMMYFUNCTION("""COMPUTED_VALUE"""),132.8)</f>
        <v>132.8</v>
      </c>
      <c r="D615" s="1">
        <f>IFERROR(__xludf.DUMMYFUNCTION("""COMPUTED_VALUE"""),129.41)</f>
        <v>129.41</v>
      </c>
      <c r="E615" s="1">
        <f>IFERROR(__xludf.DUMMYFUNCTION("""COMPUTED_VALUE"""),132.59)</f>
        <v>132.59</v>
      </c>
      <c r="F615" s="1">
        <f>IFERROR(__xludf.DUMMYFUNCTION("""COMPUTED_VALUE"""),2.6927826E7)</f>
        <v>26927826</v>
      </c>
    </row>
    <row r="616">
      <c r="A616" s="2">
        <f>IFERROR(__xludf.DUMMYFUNCTION("""COMPUTED_VALUE"""),45243.66666666667)</f>
        <v>45243.66667</v>
      </c>
      <c r="B616" s="1">
        <f>IFERROR(__xludf.DUMMYFUNCTION("""COMPUTED_VALUE"""),131.78)</f>
        <v>131.78</v>
      </c>
      <c r="C616" s="1">
        <f>IFERROR(__xludf.DUMMYFUNCTION("""COMPUTED_VALUE"""),132.59)</f>
        <v>132.59</v>
      </c>
      <c r="D616" s="1">
        <f>IFERROR(__xludf.DUMMYFUNCTION("""COMPUTED_VALUE"""),131.25)</f>
        <v>131.25</v>
      </c>
      <c r="E616" s="1">
        <f>IFERROR(__xludf.DUMMYFUNCTION("""COMPUTED_VALUE"""),132.09)</f>
        <v>132.09</v>
      </c>
      <c r="F616" s="1">
        <f>IFERROR(__xludf.DUMMYFUNCTION("""COMPUTED_VALUE"""),1.8324751E7)</f>
        <v>18324751</v>
      </c>
    </row>
    <row r="617">
      <c r="A617" s="2">
        <f>IFERROR(__xludf.DUMMYFUNCTION("""COMPUTED_VALUE"""),45244.66666666667)</f>
        <v>45244.66667</v>
      </c>
      <c r="B617" s="1">
        <f>IFERROR(__xludf.DUMMYFUNCTION("""COMPUTED_VALUE"""),134.19)</f>
        <v>134.19</v>
      </c>
      <c r="C617" s="1">
        <f>IFERROR(__xludf.DUMMYFUNCTION("""COMPUTED_VALUE"""),135.7)</f>
        <v>135.7</v>
      </c>
      <c r="D617" s="1">
        <f>IFERROR(__xludf.DUMMYFUNCTION("""COMPUTED_VALUE"""),133.32)</f>
        <v>133.32</v>
      </c>
      <c r="E617" s="1">
        <f>IFERROR(__xludf.DUMMYFUNCTION("""COMPUTED_VALUE"""),133.62)</f>
        <v>133.62</v>
      </c>
      <c r="F617" s="1">
        <f>IFERROR(__xludf.DUMMYFUNCTION("""COMPUTED_VALUE"""),3.2395178E7)</f>
        <v>32395178</v>
      </c>
    </row>
    <row r="618">
      <c r="A618" s="2">
        <f>IFERROR(__xludf.DUMMYFUNCTION("""COMPUTED_VALUE"""),45245.66666666667)</f>
        <v>45245.66667</v>
      </c>
      <c r="B618" s="1">
        <f>IFERROR(__xludf.DUMMYFUNCTION("""COMPUTED_VALUE"""),134.87)</f>
        <v>134.87</v>
      </c>
      <c r="C618" s="1">
        <f>IFERROR(__xludf.DUMMYFUNCTION("""COMPUTED_VALUE"""),135.03)</f>
        <v>135.03</v>
      </c>
      <c r="D618" s="1">
        <f>IFERROR(__xludf.DUMMYFUNCTION("""COMPUTED_VALUE"""),133.57)</f>
        <v>133.57</v>
      </c>
      <c r="E618" s="1">
        <f>IFERROR(__xludf.DUMMYFUNCTION("""COMPUTED_VALUE"""),134.62)</f>
        <v>134.62</v>
      </c>
      <c r="F618" s="1">
        <f>IFERROR(__xludf.DUMMYFUNCTION("""COMPUTED_VALUE"""),2.3861515E7)</f>
        <v>23861515</v>
      </c>
    </row>
    <row r="619">
      <c r="A619" s="2">
        <f>IFERROR(__xludf.DUMMYFUNCTION("""COMPUTED_VALUE"""),45246.66666666667)</f>
        <v>45246.66667</v>
      </c>
      <c r="B619" s="1">
        <f>IFERROR(__xludf.DUMMYFUNCTION("""COMPUTED_VALUE"""),135.19)</f>
        <v>135.19</v>
      </c>
      <c r="C619" s="1">
        <f>IFERROR(__xludf.DUMMYFUNCTION("""COMPUTED_VALUE"""),137.22)</f>
        <v>137.22</v>
      </c>
      <c r="D619" s="1">
        <f>IFERROR(__xludf.DUMMYFUNCTION("""COMPUTED_VALUE"""),134.32)</f>
        <v>134.32</v>
      </c>
      <c r="E619" s="1">
        <f>IFERROR(__xludf.DUMMYFUNCTION("""COMPUTED_VALUE"""),136.93)</f>
        <v>136.93</v>
      </c>
      <c r="F619" s="1">
        <f>IFERROR(__xludf.DUMMYFUNCTION("""COMPUTED_VALUE"""),2.8013179E7)</f>
        <v>28013179</v>
      </c>
    </row>
    <row r="620">
      <c r="A620" s="2">
        <f>IFERROR(__xludf.DUMMYFUNCTION("""COMPUTED_VALUE"""),45247.66666666667)</f>
        <v>45247.66667</v>
      </c>
      <c r="B620" s="1">
        <f>IFERROR(__xludf.DUMMYFUNCTION("""COMPUTED_VALUE"""),136.0)</f>
        <v>136</v>
      </c>
      <c r="C620" s="1">
        <f>IFERROR(__xludf.DUMMYFUNCTION("""COMPUTED_VALUE"""),136.06)</f>
        <v>136.06</v>
      </c>
      <c r="D620" s="1">
        <f>IFERROR(__xludf.DUMMYFUNCTION("""COMPUTED_VALUE"""),133.65)</f>
        <v>133.65</v>
      </c>
      <c r="E620" s="1">
        <f>IFERROR(__xludf.DUMMYFUNCTION("""COMPUTED_VALUE"""),135.31)</f>
        <v>135.31</v>
      </c>
      <c r="F620" s="1">
        <f>IFERROR(__xludf.DUMMYFUNCTION("""COMPUTED_VALUE"""),3.7287691E7)</f>
        <v>37287691</v>
      </c>
    </row>
    <row r="621">
      <c r="A621" s="2">
        <f>IFERROR(__xludf.DUMMYFUNCTION("""COMPUTED_VALUE"""),45250.66666666667)</f>
        <v>45250.66667</v>
      </c>
      <c r="B621" s="1">
        <f>IFERROR(__xludf.DUMMYFUNCTION("""COMPUTED_VALUE"""),133.69)</f>
        <v>133.69</v>
      </c>
      <c r="C621" s="1">
        <f>IFERROR(__xludf.DUMMYFUNCTION("""COMPUTED_VALUE"""),136.66)</f>
        <v>136.66</v>
      </c>
      <c r="D621" s="1">
        <f>IFERROR(__xludf.DUMMYFUNCTION("""COMPUTED_VALUE"""),133.62)</f>
        <v>133.62</v>
      </c>
      <c r="E621" s="1">
        <f>IFERROR(__xludf.DUMMYFUNCTION("""COMPUTED_VALUE"""),136.25)</f>
        <v>136.25</v>
      </c>
      <c r="F621" s="1">
        <f>IFERROR(__xludf.DUMMYFUNCTION("""COMPUTED_VALUE"""),2.7850762E7)</f>
        <v>27850762</v>
      </c>
    </row>
    <row r="622">
      <c r="A622" s="2">
        <f>IFERROR(__xludf.DUMMYFUNCTION("""COMPUTED_VALUE"""),45251.66666666667)</f>
        <v>45251.66667</v>
      </c>
      <c r="B622" s="1">
        <f>IFERROR(__xludf.DUMMYFUNCTION("""COMPUTED_VALUE"""),136.29)</f>
        <v>136.29</v>
      </c>
      <c r="C622" s="1">
        <f>IFERROR(__xludf.DUMMYFUNCTION("""COMPUTED_VALUE"""),137.18)</f>
        <v>137.18</v>
      </c>
      <c r="D622" s="1">
        <f>IFERROR(__xludf.DUMMYFUNCTION("""COMPUTED_VALUE"""),135.96)</f>
        <v>135.96</v>
      </c>
      <c r="E622" s="1">
        <f>IFERROR(__xludf.DUMMYFUNCTION("""COMPUTED_VALUE"""),136.97)</f>
        <v>136.97</v>
      </c>
      <c r="F622" s="1">
        <f>IFERROR(__xludf.DUMMYFUNCTION("""COMPUTED_VALUE"""),2.2635272E7)</f>
        <v>22635272</v>
      </c>
    </row>
    <row r="623">
      <c r="A623" s="2">
        <f>IFERROR(__xludf.DUMMYFUNCTION("""COMPUTED_VALUE"""),45252.66666666667)</f>
        <v>45252.66667</v>
      </c>
      <c r="B623" s="1">
        <f>IFERROR(__xludf.DUMMYFUNCTION("""COMPUTED_VALUE"""),137.47)</f>
        <v>137.47</v>
      </c>
      <c r="C623" s="1">
        <f>IFERROR(__xludf.DUMMYFUNCTION("""COMPUTED_VALUE"""),139.42)</f>
        <v>139.42</v>
      </c>
      <c r="D623" s="1">
        <f>IFERROR(__xludf.DUMMYFUNCTION("""COMPUTED_VALUE"""),137.47)</f>
        <v>137.47</v>
      </c>
      <c r="E623" s="1">
        <f>IFERROR(__xludf.DUMMYFUNCTION("""COMPUTED_VALUE"""),138.49)</f>
        <v>138.49</v>
      </c>
      <c r="F623" s="1">
        <f>IFERROR(__xludf.DUMMYFUNCTION("""COMPUTED_VALUE"""),1.7820456E7)</f>
        <v>17820456</v>
      </c>
    </row>
    <row r="624">
      <c r="A624" s="2">
        <f>IFERROR(__xludf.DUMMYFUNCTION("""COMPUTED_VALUE"""),45254.54513888889)</f>
        <v>45254.54514</v>
      </c>
      <c r="B624" s="1">
        <f>IFERROR(__xludf.DUMMYFUNCTION("""COMPUTED_VALUE"""),138.03)</f>
        <v>138.03</v>
      </c>
      <c r="C624" s="1">
        <f>IFERROR(__xludf.DUMMYFUNCTION("""COMPUTED_VALUE"""),138.13)</f>
        <v>138.13</v>
      </c>
      <c r="D624" s="1">
        <f>IFERROR(__xludf.DUMMYFUNCTION("""COMPUTED_VALUE"""),135.99)</f>
        <v>135.99</v>
      </c>
      <c r="E624" s="1">
        <f>IFERROR(__xludf.DUMMYFUNCTION("""COMPUTED_VALUE"""),136.69)</f>
        <v>136.69</v>
      </c>
      <c r="F624" s="1">
        <f>IFERROR(__xludf.DUMMYFUNCTION("""COMPUTED_VALUE"""),1.2514322E7)</f>
        <v>12514322</v>
      </c>
    </row>
    <row r="625">
      <c r="A625" s="2">
        <f>IFERROR(__xludf.DUMMYFUNCTION("""COMPUTED_VALUE"""),45257.66666666667)</f>
        <v>45257.66667</v>
      </c>
      <c r="B625" s="1">
        <f>IFERROR(__xludf.DUMMYFUNCTION("""COMPUTED_VALUE"""),136.03)</f>
        <v>136.03</v>
      </c>
      <c r="C625" s="1">
        <f>IFERROR(__xludf.DUMMYFUNCTION("""COMPUTED_VALUE"""),138.42)</f>
        <v>138.42</v>
      </c>
      <c r="D625" s="1">
        <f>IFERROR(__xludf.DUMMYFUNCTION("""COMPUTED_VALUE"""),136.0)</f>
        <v>136</v>
      </c>
      <c r="E625" s="1">
        <f>IFERROR(__xludf.DUMMYFUNCTION("""COMPUTED_VALUE"""),136.41)</f>
        <v>136.41</v>
      </c>
      <c r="F625" s="1">
        <f>IFERROR(__xludf.DUMMYFUNCTION("""COMPUTED_VALUE"""),2.3436526E7)</f>
        <v>23436526</v>
      </c>
    </row>
    <row r="626">
      <c r="A626" s="2">
        <f>IFERROR(__xludf.DUMMYFUNCTION("""COMPUTED_VALUE"""),45258.66666666667)</f>
        <v>45258.66667</v>
      </c>
      <c r="B626" s="1">
        <f>IFERROR(__xludf.DUMMYFUNCTION("""COMPUTED_VALUE"""),136.08)</f>
        <v>136.08</v>
      </c>
      <c r="C626" s="1">
        <f>IFERROR(__xludf.DUMMYFUNCTION("""COMPUTED_VALUE"""),137.25)</f>
        <v>137.25</v>
      </c>
      <c r="D626" s="1">
        <f>IFERROR(__xludf.DUMMYFUNCTION("""COMPUTED_VALUE"""),135.42)</f>
        <v>135.42</v>
      </c>
      <c r="E626" s="1">
        <f>IFERROR(__xludf.DUMMYFUNCTION("""COMPUTED_VALUE"""),137.2)</f>
        <v>137.2</v>
      </c>
      <c r="F626" s="1">
        <f>IFERROR(__xludf.DUMMYFUNCTION("""COMPUTED_VALUE"""),1.8730032E7)</f>
        <v>18730032</v>
      </c>
    </row>
    <row r="627">
      <c r="A627" s="2">
        <f>IFERROR(__xludf.DUMMYFUNCTION("""COMPUTED_VALUE"""),45259.66666666667)</f>
        <v>45259.66667</v>
      </c>
      <c r="B627" s="1">
        <f>IFERROR(__xludf.DUMMYFUNCTION("""COMPUTED_VALUE"""),137.57)</f>
        <v>137.57</v>
      </c>
      <c r="C627" s="1">
        <f>IFERROR(__xludf.DUMMYFUNCTION("""COMPUTED_VALUE"""),138.29)</f>
        <v>138.29</v>
      </c>
      <c r="D627" s="1">
        <f>IFERROR(__xludf.DUMMYFUNCTION("""COMPUTED_VALUE"""),134.84)</f>
        <v>134.84</v>
      </c>
      <c r="E627" s="1">
        <f>IFERROR(__xludf.DUMMYFUNCTION("""COMPUTED_VALUE"""),134.99)</f>
        <v>134.99</v>
      </c>
      <c r="F627" s="1">
        <f>IFERROR(__xludf.DUMMYFUNCTION("""COMPUTED_VALUE"""),2.3967222E7)</f>
        <v>23967222</v>
      </c>
    </row>
    <row r="628">
      <c r="A628" s="2">
        <f>IFERROR(__xludf.DUMMYFUNCTION("""COMPUTED_VALUE"""),45260.66666666667)</f>
        <v>45260.66667</v>
      </c>
      <c r="B628" s="1">
        <f>IFERROR(__xludf.DUMMYFUNCTION("""COMPUTED_VALUE"""),135.05)</f>
        <v>135.05</v>
      </c>
      <c r="C628" s="1">
        <f>IFERROR(__xludf.DUMMYFUNCTION("""COMPUTED_VALUE"""),135.55)</f>
        <v>135.55</v>
      </c>
      <c r="D628" s="1">
        <f>IFERROR(__xludf.DUMMYFUNCTION("""COMPUTED_VALUE"""),131.28)</f>
        <v>131.28</v>
      </c>
      <c r="E628" s="1">
        <f>IFERROR(__xludf.DUMMYFUNCTION("""COMPUTED_VALUE"""),132.53)</f>
        <v>132.53</v>
      </c>
      <c r="F628" s="1">
        <f>IFERROR(__xludf.DUMMYFUNCTION("""COMPUTED_VALUE"""),3.8988263E7)</f>
        <v>38988263</v>
      </c>
    </row>
    <row r="629">
      <c r="A629" s="2">
        <f>IFERROR(__xludf.DUMMYFUNCTION("""COMPUTED_VALUE"""),45261.66666666667)</f>
        <v>45261.66667</v>
      </c>
      <c r="B629" s="1">
        <f>IFERROR(__xludf.DUMMYFUNCTION("""COMPUTED_VALUE"""),131.86)</f>
        <v>131.86</v>
      </c>
      <c r="C629" s="1">
        <f>IFERROR(__xludf.DUMMYFUNCTION("""COMPUTED_VALUE"""),132.11)</f>
        <v>132.11</v>
      </c>
      <c r="D629" s="1">
        <f>IFERROR(__xludf.DUMMYFUNCTION("""COMPUTED_VALUE"""),130.67)</f>
        <v>130.67</v>
      </c>
      <c r="E629" s="1">
        <f>IFERROR(__xludf.DUMMYFUNCTION("""COMPUTED_VALUE"""),131.86)</f>
        <v>131.86</v>
      </c>
      <c r="F629" s="1">
        <f>IFERROR(__xludf.DUMMYFUNCTION("""COMPUTED_VALUE"""),3.1442263E7)</f>
        <v>31442263</v>
      </c>
    </row>
    <row r="630">
      <c r="A630" s="2">
        <f>IFERROR(__xludf.DUMMYFUNCTION("""COMPUTED_VALUE"""),45264.66666666667)</f>
        <v>45264.66667</v>
      </c>
      <c r="B630" s="1">
        <f>IFERROR(__xludf.DUMMYFUNCTION("""COMPUTED_VALUE"""),129.88)</f>
        <v>129.88</v>
      </c>
      <c r="C630" s="1">
        <f>IFERROR(__xludf.DUMMYFUNCTION("""COMPUTED_VALUE"""),130.03)</f>
        <v>130.03</v>
      </c>
      <c r="D630" s="1">
        <f>IFERROR(__xludf.DUMMYFUNCTION("""COMPUTED_VALUE"""),127.9)</f>
        <v>127.9</v>
      </c>
      <c r="E630" s="1">
        <f>IFERROR(__xludf.DUMMYFUNCTION("""COMPUTED_VALUE"""),129.27)</f>
        <v>129.27</v>
      </c>
      <c r="F630" s="1">
        <f>IFERROR(__xludf.DUMMYFUNCTION("""COMPUTED_VALUE"""),3.6669876E7)</f>
        <v>36669876</v>
      </c>
    </row>
    <row r="631">
      <c r="A631" s="2">
        <f>IFERROR(__xludf.DUMMYFUNCTION("""COMPUTED_VALUE"""),45265.66666666667)</f>
        <v>45265.66667</v>
      </c>
      <c r="B631" s="1">
        <f>IFERROR(__xludf.DUMMYFUNCTION("""COMPUTED_VALUE"""),128.95)</f>
        <v>128.95</v>
      </c>
      <c r="C631" s="1">
        <f>IFERROR(__xludf.DUMMYFUNCTION("""COMPUTED_VALUE"""),132.14)</f>
        <v>132.14</v>
      </c>
      <c r="D631" s="1">
        <f>IFERROR(__xludf.DUMMYFUNCTION("""COMPUTED_VALUE"""),128.25)</f>
        <v>128.25</v>
      </c>
      <c r="E631" s="1">
        <f>IFERROR(__xludf.DUMMYFUNCTION("""COMPUTED_VALUE"""),130.99)</f>
        <v>130.99</v>
      </c>
      <c r="F631" s="1">
        <f>IFERROR(__xludf.DUMMYFUNCTION("""COMPUTED_VALUE"""),2.7384784E7)</f>
        <v>27384784</v>
      </c>
    </row>
    <row r="632">
      <c r="A632" s="2">
        <f>IFERROR(__xludf.DUMMYFUNCTION("""COMPUTED_VALUE"""),45266.66666666667)</f>
        <v>45266.66667</v>
      </c>
      <c r="B632" s="1">
        <f>IFERROR(__xludf.DUMMYFUNCTION("""COMPUTED_VALUE"""),131.44)</f>
        <v>131.44</v>
      </c>
      <c r="C632" s="1">
        <f>IFERROR(__xludf.DUMMYFUNCTION("""COMPUTED_VALUE"""),131.84)</f>
        <v>131.84</v>
      </c>
      <c r="D632" s="1">
        <f>IFERROR(__xludf.DUMMYFUNCTION("""COMPUTED_VALUE"""),129.88)</f>
        <v>129.88</v>
      </c>
      <c r="E632" s="1">
        <f>IFERROR(__xludf.DUMMYFUNCTION("""COMPUTED_VALUE"""),130.02)</f>
        <v>130.02</v>
      </c>
      <c r="F632" s="1">
        <f>IFERROR(__xludf.DUMMYFUNCTION("""COMPUTED_VALUE"""),2.3576176E7)</f>
        <v>23576176</v>
      </c>
    </row>
    <row r="633">
      <c r="A633" s="2">
        <f>IFERROR(__xludf.DUMMYFUNCTION("""COMPUTED_VALUE"""),45267.66666666667)</f>
        <v>45267.66667</v>
      </c>
      <c r="B633" s="1">
        <f>IFERROR(__xludf.DUMMYFUNCTION("""COMPUTED_VALUE"""),135.04)</f>
        <v>135.04</v>
      </c>
      <c r="C633" s="1">
        <f>IFERROR(__xludf.DUMMYFUNCTION("""COMPUTED_VALUE"""),138.56)</f>
        <v>138.56</v>
      </c>
      <c r="D633" s="1">
        <f>IFERROR(__xludf.DUMMYFUNCTION("""COMPUTED_VALUE"""),134.7)</f>
        <v>134.7</v>
      </c>
      <c r="E633" s="1">
        <f>IFERROR(__xludf.DUMMYFUNCTION("""COMPUTED_VALUE"""),136.93)</f>
        <v>136.93</v>
      </c>
      <c r="F633" s="1">
        <f>IFERROR(__xludf.DUMMYFUNCTION("""COMPUTED_VALUE"""),5.67671E7)</f>
        <v>56767100</v>
      </c>
    </row>
    <row r="634">
      <c r="A634" s="2">
        <f>IFERROR(__xludf.DUMMYFUNCTION("""COMPUTED_VALUE"""),45268.66666666667)</f>
        <v>45268.66667</v>
      </c>
      <c r="B634" s="1">
        <f>IFERROR(__xludf.DUMMYFUNCTION("""COMPUTED_VALUE"""),134.2)</f>
        <v>134.2</v>
      </c>
      <c r="C634" s="1">
        <f>IFERROR(__xludf.DUMMYFUNCTION("""COMPUTED_VALUE"""),136.4)</f>
        <v>136.4</v>
      </c>
      <c r="D634" s="1">
        <f>IFERROR(__xludf.DUMMYFUNCTION("""COMPUTED_VALUE"""),134.03)</f>
        <v>134.03</v>
      </c>
      <c r="E634" s="1">
        <f>IFERROR(__xludf.DUMMYFUNCTION("""COMPUTED_VALUE"""),134.99)</f>
        <v>134.99</v>
      </c>
      <c r="F634" s="1">
        <f>IFERROR(__xludf.DUMMYFUNCTION("""COMPUTED_VALUE"""),3.2260112E7)</f>
        <v>32260112</v>
      </c>
    </row>
    <row r="635">
      <c r="A635" s="2">
        <f>IFERROR(__xludf.DUMMYFUNCTION("""COMPUTED_VALUE"""),45271.66666666667)</f>
        <v>45271.66667</v>
      </c>
      <c r="B635" s="1">
        <f>IFERROR(__xludf.DUMMYFUNCTION("""COMPUTED_VALUE"""),132.38)</f>
        <v>132.38</v>
      </c>
      <c r="C635" s="1">
        <f>IFERROR(__xludf.DUMMYFUNCTION("""COMPUTED_VALUE"""),133.34)</f>
        <v>133.34</v>
      </c>
      <c r="D635" s="1">
        <f>IFERROR(__xludf.DUMMYFUNCTION("""COMPUTED_VALUE"""),131.36)</f>
        <v>131.36</v>
      </c>
      <c r="E635" s="1">
        <f>IFERROR(__xludf.DUMMYFUNCTION("""COMPUTED_VALUE"""),133.29)</f>
        <v>133.29</v>
      </c>
      <c r="F635" s="1">
        <f>IFERROR(__xludf.DUMMYFUNCTION("""COMPUTED_VALUE"""),3.1138011E7)</f>
        <v>31138011</v>
      </c>
    </row>
    <row r="636">
      <c r="A636" s="2">
        <f>IFERROR(__xludf.DUMMYFUNCTION("""COMPUTED_VALUE"""),45272.66666666667)</f>
        <v>45272.66667</v>
      </c>
      <c r="B636" s="1">
        <f>IFERROR(__xludf.DUMMYFUNCTION("""COMPUTED_VALUE"""),131.81)</f>
        <v>131.81</v>
      </c>
      <c r="C636" s="1">
        <f>IFERROR(__xludf.DUMMYFUNCTION("""COMPUTED_VALUE"""),133.0)</f>
        <v>133</v>
      </c>
      <c r="D636" s="1">
        <f>IFERROR(__xludf.DUMMYFUNCTION("""COMPUTED_VALUE"""),131.26)</f>
        <v>131.26</v>
      </c>
      <c r="E636" s="1">
        <f>IFERROR(__xludf.DUMMYFUNCTION("""COMPUTED_VALUE"""),132.52)</f>
        <v>132.52</v>
      </c>
      <c r="F636" s="1">
        <f>IFERROR(__xludf.DUMMYFUNCTION("""COMPUTED_VALUE"""),2.9032831E7)</f>
        <v>29032831</v>
      </c>
    </row>
    <row r="637">
      <c r="A637" s="2">
        <f>IFERROR(__xludf.DUMMYFUNCTION("""COMPUTED_VALUE"""),45273.66666666667)</f>
        <v>45273.66667</v>
      </c>
      <c r="B637" s="1">
        <f>IFERROR(__xludf.DUMMYFUNCTION("""COMPUTED_VALUE"""),133.38)</f>
        <v>133.38</v>
      </c>
      <c r="C637" s="1">
        <f>IFERROR(__xludf.DUMMYFUNCTION("""COMPUTED_VALUE"""),133.5)</f>
        <v>133.5</v>
      </c>
      <c r="D637" s="1">
        <f>IFERROR(__xludf.DUMMYFUNCTION("""COMPUTED_VALUE"""),131.57)</f>
        <v>131.57</v>
      </c>
      <c r="E637" s="1">
        <f>IFERROR(__xludf.DUMMYFUNCTION("""COMPUTED_VALUE"""),132.57)</f>
        <v>132.57</v>
      </c>
      <c r="F637" s="1">
        <f>IFERROR(__xludf.DUMMYFUNCTION("""COMPUTED_VALUE"""),3.0104775E7)</f>
        <v>30104775</v>
      </c>
    </row>
    <row r="638">
      <c r="A638" s="2">
        <f>IFERROR(__xludf.DUMMYFUNCTION("""COMPUTED_VALUE"""),45274.66666666667)</f>
        <v>45274.66667</v>
      </c>
      <c r="B638" s="1">
        <f>IFERROR(__xludf.DUMMYFUNCTION("""COMPUTED_VALUE"""),133.38)</f>
        <v>133.38</v>
      </c>
      <c r="C638" s="1">
        <f>IFERROR(__xludf.DUMMYFUNCTION("""COMPUTED_VALUE"""),133.72)</f>
        <v>133.72</v>
      </c>
      <c r="D638" s="1">
        <f>IFERROR(__xludf.DUMMYFUNCTION("""COMPUTED_VALUE"""),129.69)</f>
        <v>129.69</v>
      </c>
      <c r="E638" s="1">
        <f>IFERROR(__xludf.DUMMYFUNCTION("""COMPUTED_VALUE"""),131.94)</f>
        <v>131.94</v>
      </c>
      <c r="F638" s="1">
        <f>IFERROR(__xludf.DUMMYFUNCTION("""COMPUTED_VALUE"""),3.8722413E7)</f>
        <v>38722413</v>
      </c>
    </row>
    <row r="639">
      <c r="A639" s="2">
        <f>IFERROR(__xludf.DUMMYFUNCTION("""COMPUTED_VALUE"""),45275.66666666667)</f>
        <v>45275.66667</v>
      </c>
      <c r="B639" s="1">
        <f>IFERROR(__xludf.DUMMYFUNCTION("""COMPUTED_VALUE"""),131.62)</f>
        <v>131.62</v>
      </c>
      <c r="C639" s="1">
        <f>IFERROR(__xludf.DUMMYFUNCTION("""COMPUTED_VALUE"""),133.51)</f>
        <v>133.51</v>
      </c>
      <c r="D639" s="1">
        <f>IFERROR(__xludf.DUMMYFUNCTION("""COMPUTED_VALUE"""),131.18)</f>
        <v>131.18</v>
      </c>
      <c r="E639" s="1">
        <f>IFERROR(__xludf.DUMMYFUNCTION("""COMPUTED_VALUE"""),132.6)</f>
        <v>132.6</v>
      </c>
      <c r="F639" s="1">
        <f>IFERROR(__xludf.DUMMYFUNCTION("""COMPUTED_VALUE"""),5.0847113E7)</f>
        <v>50847113</v>
      </c>
    </row>
    <row r="640">
      <c r="A640" s="2">
        <f>IFERROR(__xludf.DUMMYFUNCTION("""COMPUTED_VALUE"""),45278.66666666667)</f>
        <v>45278.66667</v>
      </c>
      <c r="B640" s="1">
        <f>IFERROR(__xludf.DUMMYFUNCTION("""COMPUTED_VALUE"""),132.63)</f>
        <v>132.63</v>
      </c>
      <c r="C640" s="1">
        <f>IFERROR(__xludf.DUMMYFUNCTION("""COMPUTED_VALUE"""),137.15)</f>
        <v>137.15</v>
      </c>
      <c r="D640" s="1">
        <f>IFERROR(__xludf.DUMMYFUNCTION("""COMPUTED_VALUE"""),132.43)</f>
        <v>132.43</v>
      </c>
      <c r="E640" s="1">
        <f>IFERROR(__xludf.DUMMYFUNCTION("""COMPUTED_VALUE"""),135.8)</f>
        <v>135.8</v>
      </c>
      <c r="F640" s="1">
        <f>IFERROR(__xludf.DUMMYFUNCTION("""COMPUTED_VALUE"""),3.2257967E7)</f>
        <v>32257967</v>
      </c>
    </row>
    <row r="641">
      <c r="A641" s="2">
        <f>IFERROR(__xludf.DUMMYFUNCTION("""COMPUTED_VALUE"""),45279.66666666667)</f>
        <v>45279.66667</v>
      </c>
      <c r="B641" s="1">
        <f>IFERROR(__xludf.DUMMYFUNCTION("""COMPUTED_VALUE"""),136.84)</f>
        <v>136.84</v>
      </c>
      <c r="C641" s="1">
        <f>IFERROR(__xludf.DUMMYFUNCTION("""COMPUTED_VALUE"""),137.47)</f>
        <v>137.47</v>
      </c>
      <c r="D641" s="1">
        <f>IFERROR(__xludf.DUMMYFUNCTION("""COMPUTED_VALUE"""),136.08)</f>
        <v>136.08</v>
      </c>
      <c r="E641" s="1">
        <f>IFERROR(__xludf.DUMMYFUNCTION("""COMPUTED_VALUE"""),136.65)</f>
        <v>136.65</v>
      </c>
      <c r="F641" s="1">
        <f>IFERROR(__xludf.DUMMYFUNCTION("""COMPUTED_VALUE"""),2.5476753E7)</f>
        <v>25476753</v>
      </c>
    </row>
    <row r="642">
      <c r="A642" s="2">
        <f>IFERROR(__xludf.DUMMYFUNCTION("""COMPUTED_VALUE"""),45280.66666666667)</f>
        <v>45280.66667</v>
      </c>
      <c r="B642" s="1">
        <f>IFERROR(__xludf.DUMMYFUNCTION("""COMPUTED_VALUE"""),138.97)</f>
        <v>138.97</v>
      </c>
      <c r="C642" s="1">
        <f>IFERROR(__xludf.DUMMYFUNCTION("""COMPUTED_VALUE"""),141.7)</f>
        <v>141.7</v>
      </c>
      <c r="D642" s="1">
        <f>IFERROR(__xludf.DUMMYFUNCTION("""COMPUTED_VALUE"""),138.07)</f>
        <v>138.07</v>
      </c>
      <c r="E642" s="1">
        <f>IFERROR(__xludf.DUMMYFUNCTION("""COMPUTED_VALUE"""),138.34)</f>
        <v>138.34</v>
      </c>
      <c r="F642" s="1">
        <f>IFERROR(__xludf.DUMMYFUNCTION("""COMPUTED_VALUE"""),4.9107179E7)</f>
        <v>49107179</v>
      </c>
    </row>
    <row r="643">
      <c r="A643" s="2">
        <f>IFERROR(__xludf.DUMMYFUNCTION("""COMPUTED_VALUE"""),45281.66666666667)</f>
        <v>45281.66667</v>
      </c>
      <c r="B643" s="1">
        <f>IFERROR(__xludf.DUMMYFUNCTION("""COMPUTED_VALUE"""),139.49)</f>
        <v>139.49</v>
      </c>
      <c r="C643" s="1">
        <f>IFERROR(__xludf.DUMMYFUNCTION("""COMPUTED_VALUE"""),140.69)</f>
        <v>140.69</v>
      </c>
      <c r="D643" s="1">
        <f>IFERROR(__xludf.DUMMYFUNCTION("""COMPUTED_VALUE"""),139.18)</f>
        <v>139.18</v>
      </c>
      <c r="E643" s="1">
        <f>IFERROR(__xludf.DUMMYFUNCTION("""COMPUTED_VALUE"""),140.42)</f>
        <v>140.42</v>
      </c>
      <c r="F643" s="1">
        <f>IFERROR(__xludf.DUMMYFUNCTION("""COMPUTED_VALUE"""),2.7488284E7)</f>
        <v>27488284</v>
      </c>
    </row>
    <row r="644">
      <c r="A644" s="2">
        <f>IFERROR(__xludf.DUMMYFUNCTION("""COMPUTED_VALUE"""),45282.66666666667)</f>
        <v>45282.66667</v>
      </c>
      <c r="B644" s="1">
        <f>IFERROR(__xludf.DUMMYFUNCTION("""COMPUTED_VALUE"""),140.77)</f>
        <v>140.77</v>
      </c>
      <c r="C644" s="1">
        <f>IFERROR(__xludf.DUMMYFUNCTION("""COMPUTED_VALUE"""),141.99)</f>
        <v>141.99</v>
      </c>
      <c r="D644" s="1">
        <f>IFERROR(__xludf.DUMMYFUNCTION("""COMPUTED_VALUE"""),140.71)</f>
        <v>140.71</v>
      </c>
      <c r="E644" s="1">
        <f>IFERROR(__xludf.DUMMYFUNCTION("""COMPUTED_VALUE"""),141.49)</f>
        <v>141.49</v>
      </c>
      <c r="F644" s="1">
        <f>IFERROR(__xludf.DUMMYFUNCTION("""COMPUTED_VALUE"""),2.6532199E7)</f>
        <v>26532199</v>
      </c>
    </row>
    <row r="645">
      <c r="A645" s="2">
        <f>IFERROR(__xludf.DUMMYFUNCTION("""COMPUTED_VALUE"""),45286.66666666667)</f>
        <v>45286.66667</v>
      </c>
      <c r="B645" s="1">
        <f>IFERROR(__xludf.DUMMYFUNCTION("""COMPUTED_VALUE"""),141.59)</f>
        <v>141.59</v>
      </c>
      <c r="C645" s="1">
        <f>IFERROR(__xludf.DUMMYFUNCTION("""COMPUTED_VALUE"""),142.68)</f>
        <v>142.68</v>
      </c>
      <c r="D645" s="1">
        <f>IFERROR(__xludf.DUMMYFUNCTION("""COMPUTED_VALUE"""),141.19)</f>
        <v>141.19</v>
      </c>
      <c r="E645" s="1">
        <f>IFERROR(__xludf.DUMMYFUNCTION("""COMPUTED_VALUE"""),141.52)</f>
        <v>141.52</v>
      </c>
      <c r="F645" s="1">
        <f>IFERROR(__xludf.DUMMYFUNCTION("""COMPUTED_VALUE"""),1.6780333E7)</f>
        <v>16780333</v>
      </c>
    </row>
    <row r="646">
      <c r="A646" s="2">
        <f>IFERROR(__xludf.DUMMYFUNCTION("""COMPUTED_VALUE"""),45287.66666666667)</f>
        <v>45287.66667</v>
      </c>
      <c r="B646" s="1">
        <f>IFERROR(__xludf.DUMMYFUNCTION("""COMPUTED_VALUE"""),141.59)</f>
        <v>141.59</v>
      </c>
      <c r="C646" s="1">
        <f>IFERROR(__xludf.DUMMYFUNCTION("""COMPUTED_VALUE"""),142.08)</f>
        <v>142.08</v>
      </c>
      <c r="D646" s="1">
        <f>IFERROR(__xludf.DUMMYFUNCTION("""COMPUTED_VALUE"""),139.89)</f>
        <v>139.89</v>
      </c>
      <c r="E646" s="1">
        <f>IFERROR(__xludf.DUMMYFUNCTION("""COMPUTED_VALUE"""),140.37)</f>
        <v>140.37</v>
      </c>
      <c r="F646" s="1">
        <f>IFERROR(__xludf.DUMMYFUNCTION("""COMPUTED_VALUE"""),1.9628618E7)</f>
        <v>19628618</v>
      </c>
    </row>
    <row r="647">
      <c r="A647" s="2">
        <f>IFERROR(__xludf.DUMMYFUNCTION("""COMPUTED_VALUE"""),45288.66666666667)</f>
        <v>45288.66667</v>
      </c>
      <c r="B647" s="1">
        <f>IFERROR(__xludf.DUMMYFUNCTION("""COMPUTED_VALUE"""),140.78)</f>
        <v>140.78</v>
      </c>
      <c r="C647" s="1">
        <f>IFERROR(__xludf.DUMMYFUNCTION("""COMPUTED_VALUE"""),141.14)</f>
        <v>141.14</v>
      </c>
      <c r="D647" s="1">
        <f>IFERROR(__xludf.DUMMYFUNCTION("""COMPUTED_VALUE"""),139.75)</f>
        <v>139.75</v>
      </c>
      <c r="E647" s="1">
        <f>IFERROR(__xludf.DUMMYFUNCTION("""COMPUTED_VALUE"""),140.23)</f>
        <v>140.23</v>
      </c>
      <c r="F647" s="1">
        <f>IFERROR(__xludf.DUMMYFUNCTION("""COMPUTED_VALUE"""),1.6045712E7)</f>
        <v>16045712</v>
      </c>
    </row>
    <row r="648">
      <c r="A648" s="2">
        <f>IFERROR(__xludf.DUMMYFUNCTION("""COMPUTED_VALUE"""),45289.66666666667)</f>
        <v>45289.66667</v>
      </c>
      <c r="B648" s="1">
        <f>IFERROR(__xludf.DUMMYFUNCTION("""COMPUTED_VALUE"""),139.63)</f>
        <v>139.63</v>
      </c>
      <c r="C648" s="1">
        <f>IFERROR(__xludf.DUMMYFUNCTION("""COMPUTED_VALUE"""),140.36)</f>
        <v>140.36</v>
      </c>
      <c r="D648" s="1">
        <f>IFERROR(__xludf.DUMMYFUNCTION("""COMPUTED_VALUE"""),138.78)</f>
        <v>138.78</v>
      </c>
      <c r="E648" s="1">
        <f>IFERROR(__xludf.DUMMYFUNCTION("""COMPUTED_VALUE"""),139.69)</f>
        <v>139.69</v>
      </c>
      <c r="F648" s="1">
        <f>IFERROR(__xludf.DUMMYFUNCTION("""COMPUTED_VALUE"""),1.8733017E7)</f>
        <v>18733017</v>
      </c>
    </row>
    <row r="649">
      <c r="A649" s="2">
        <f>IFERROR(__xludf.DUMMYFUNCTION("""COMPUTED_VALUE"""),45293.66666666667)</f>
        <v>45293.66667</v>
      </c>
      <c r="B649" s="1">
        <f>IFERROR(__xludf.DUMMYFUNCTION("""COMPUTED_VALUE"""),138.55)</f>
        <v>138.55</v>
      </c>
      <c r="C649" s="1">
        <f>IFERROR(__xludf.DUMMYFUNCTION("""COMPUTED_VALUE"""),139.45)</f>
        <v>139.45</v>
      </c>
      <c r="D649" s="1">
        <f>IFERROR(__xludf.DUMMYFUNCTION("""COMPUTED_VALUE"""),136.48)</f>
        <v>136.48</v>
      </c>
      <c r="E649" s="1">
        <f>IFERROR(__xludf.DUMMYFUNCTION("""COMPUTED_VALUE"""),138.17)</f>
        <v>138.17</v>
      </c>
      <c r="F649" s="1">
        <f>IFERROR(__xludf.DUMMYFUNCTION("""COMPUTED_VALUE"""),2.371122E7)</f>
        <v>23711220</v>
      </c>
    </row>
    <row r="650">
      <c r="A650" s="2">
        <f>IFERROR(__xludf.DUMMYFUNCTION("""COMPUTED_VALUE"""),45294.66666666667)</f>
        <v>45294.66667</v>
      </c>
      <c r="B650" s="1">
        <f>IFERROR(__xludf.DUMMYFUNCTION("""COMPUTED_VALUE"""),137.25)</f>
        <v>137.25</v>
      </c>
      <c r="C650" s="1">
        <f>IFERROR(__xludf.DUMMYFUNCTION("""COMPUTED_VALUE"""),139.63)</f>
        <v>139.63</v>
      </c>
      <c r="D650" s="1">
        <f>IFERROR(__xludf.DUMMYFUNCTION("""COMPUTED_VALUE"""),137.08)</f>
        <v>137.08</v>
      </c>
      <c r="E650" s="1">
        <f>IFERROR(__xludf.DUMMYFUNCTION("""COMPUTED_VALUE"""),138.92)</f>
        <v>138.92</v>
      </c>
      <c r="F650" s="1">
        <f>IFERROR(__xludf.DUMMYFUNCTION("""COMPUTED_VALUE"""),2.4212147E7)</f>
        <v>24212147</v>
      </c>
    </row>
    <row r="651">
      <c r="A651" s="2">
        <f>IFERROR(__xludf.DUMMYFUNCTION("""COMPUTED_VALUE"""),45295.66666666667)</f>
        <v>45295.66667</v>
      </c>
      <c r="B651" s="1">
        <f>IFERROR(__xludf.DUMMYFUNCTION("""COMPUTED_VALUE"""),138.42)</f>
        <v>138.42</v>
      </c>
      <c r="C651" s="1">
        <f>IFERROR(__xludf.DUMMYFUNCTION("""COMPUTED_VALUE"""),139.16)</f>
        <v>139.16</v>
      </c>
      <c r="D651" s="1">
        <f>IFERROR(__xludf.DUMMYFUNCTION("""COMPUTED_VALUE"""),136.35)</f>
        <v>136.35</v>
      </c>
      <c r="E651" s="1">
        <f>IFERROR(__xludf.DUMMYFUNCTION("""COMPUTED_VALUE"""),136.39)</f>
        <v>136.39</v>
      </c>
      <c r="F651" s="1">
        <f>IFERROR(__xludf.DUMMYFUNCTION("""COMPUTED_VALUE"""),2.7137735E7)</f>
        <v>27137735</v>
      </c>
    </row>
    <row r="652">
      <c r="A652" s="2">
        <f>IFERROR(__xludf.DUMMYFUNCTION("""COMPUTED_VALUE"""),45296.66666666667)</f>
        <v>45296.66667</v>
      </c>
      <c r="B652" s="1">
        <f>IFERROR(__xludf.DUMMYFUNCTION("""COMPUTED_VALUE"""),136.75)</f>
        <v>136.75</v>
      </c>
      <c r="C652" s="1">
        <f>IFERROR(__xludf.DUMMYFUNCTION("""COMPUTED_VALUE"""),137.16)</f>
        <v>137.16</v>
      </c>
      <c r="D652" s="1">
        <f>IFERROR(__xludf.DUMMYFUNCTION("""COMPUTED_VALUE"""),135.15)</f>
        <v>135.15</v>
      </c>
      <c r="E652" s="1">
        <f>IFERROR(__xludf.DUMMYFUNCTION("""COMPUTED_VALUE"""),135.73)</f>
        <v>135.73</v>
      </c>
      <c r="F652" s="1">
        <f>IFERROR(__xludf.DUMMYFUNCTION("""COMPUTED_VALUE"""),2.2513854E7)</f>
        <v>22513854</v>
      </c>
    </row>
    <row r="653">
      <c r="A653" s="2">
        <f>IFERROR(__xludf.DUMMYFUNCTION("""COMPUTED_VALUE"""),45299.66666666667)</f>
        <v>45299.66667</v>
      </c>
      <c r="B653" s="1">
        <f>IFERROR(__xludf.DUMMYFUNCTION("""COMPUTED_VALUE"""),136.29)</f>
        <v>136.29</v>
      </c>
      <c r="C653" s="1">
        <f>IFERROR(__xludf.DUMMYFUNCTION("""COMPUTED_VALUE"""),139.01)</f>
        <v>139.01</v>
      </c>
      <c r="D653" s="1">
        <f>IFERROR(__xludf.DUMMYFUNCTION("""COMPUTED_VALUE"""),136.26)</f>
        <v>136.26</v>
      </c>
      <c r="E653" s="1">
        <f>IFERROR(__xludf.DUMMYFUNCTION("""COMPUTED_VALUE"""),138.84)</f>
        <v>138.84</v>
      </c>
      <c r="F653" s="1">
        <f>IFERROR(__xludf.DUMMYFUNCTION("""COMPUTED_VALUE"""),2.1403982E7)</f>
        <v>21403982</v>
      </c>
    </row>
    <row r="654">
      <c r="A654" s="2">
        <f>IFERROR(__xludf.DUMMYFUNCTION("""COMPUTED_VALUE"""),45300.66666666667)</f>
        <v>45300.66667</v>
      </c>
      <c r="B654" s="1">
        <f>IFERROR(__xludf.DUMMYFUNCTION("""COMPUTED_VALUE"""),138.5)</f>
        <v>138.5</v>
      </c>
      <c r="C654" s="1">
        <f>IFERROR(__xludf.DUMMYFUNCTION("""COMPUTED_VALUE"""),141.49)</f>
        <v>141.49</v>
      </c>
      <c r="D654" s="1">
        <f>IFERROR(__xludf.DUMMYFUNCTION("""COMPUTED_VALUE"""),138.15)</f>
        <v>138.15</v>
      </c>
      <c r="E654" s="1">
        <f>IFERROR(__xludf.DUMMYFUNCTION("""COMPUTED_VALUE"""),140.95)</f>
        <v>140.95</v>
      </c>
      <c r="F654" s="1">
        <f>IFERROR(__xludf.DUMMYFUNCTION("""COMPUTED_VALUE"""),2.4759598E7)</f>
        <v>24759598</v>
      </c>
    </row>
    <row r="655">
      <c r="A655" s="2">
        <f>IFERROR(__xludf.DUMMYFUNCTION("""COMPUTED_VALUE"""),45301.66666666667)</f>
        <v>45301.66667</v>
      </c>
      <c r="B655" s="1">
        <f>IFERROR(__xludf.DUMMYFUNCTION("""COMPUTED_VALUE"""),141.0)</f>
        <v>141</v>
      </c>
      <c r="C655" s="1">
        <f>IFERROR(__xludf.DUMMYFUNCTION("""COMPUTED_VALUE"""),143.0)</f>
        <v>143</v>
      </c>
      <c r="D655" s="1">
        <f>IFERROR(__xludf.DUMMYFUNCTION("""COMPUTED_VALUE"""),140.91)</f>
        <v>140.91</v>
      </c>
      <c r="E655" s="1">
        <f>IFERROR(__xludf.DUMMYFUNCTION("""COMPUTED_VALUE"""),142.28)</f>
        <v>142.28</v>
      </c>
      <c r="F655" s="1">
        <f>IFERROR(__xludf.DUMMYFUNCTION("""COMPUTED_VALUE"""),2.1320203E7)</f>
        <v>21320203</v>
      </c>
    </row>
    <row r="656">
      <c r="A656" s="2">
        <f>IFERROR(__xludf.DUMMYFUNCTION("""COMPUTED_VALUE"""),45302.66666666667)</f>
        <v>45302.66667</v>
      </c>
      <c r="B656" s="1">
        <f>IFERROR(__xludf.DUMMYFUNCTION("""COMPUTED_VALUE"""),143.49)</f>
        <v>143.49</v>
      </c>
      <c r="C656" s="1">
        <f>IFERROR(__xludf.DUMMYFUNCTION("""COMPUTED_VALUE"""),145.22)</f>
        <v>145.22</v>
      </c>
      <c r="D656" s="1">
        <f>IFERROR(__xludf.DUMMYFUNCTION("""COMPUTED_VALUE"""),140.64)</f>
        <v>140.64</v>
      </c>
      <c r="E656" s="1">
        <f>IFERROR(__xludf.DUMMYFUNCTION("""COMPUTED_VALUE"""),142.08)</f>
        <v>142.08</v>
      </c>
      <c r="F656" s="1">
        <f>IFERROR(__xludf.DUMMYFUNCTION("""COMPUTED_VALUE"""),2.4008722E7)</f>
        <v>24008722</v>
      </c>
    </row>
    <row r="657">
      <c r="A657" s="2">
        <f>IFERROR(__xludf.DUMMYFUNCTION("""COMPUTED_VALUE"""),45303.66666666667)</f>
        <v>45303.66667</v>
      </c>
      <c r="B657" s="1">
        <f>IFERROR(__xludf.DUMMYFUNCTION("""COMPUTED_VALUE"""),142.67)</f>
        <v>142.67</v>
      </c>
      <c r="C657" s="1">
        <f>IFERROR(__xludf.DUMMYFUNCTION("""COMPUTED_VALUE"""),143.2)</f>
        <v>143.2</v>
      </c>
      <c r="D657" s="1">
        <f>IFERROR(__xludf.DUMMYFUNCTION("""COMPUTED_VALUE"""),141.82)</f>
        <v>141.82</v>
      </c>
      <c r="E657" s="1">
        <f>IFERROR(__xludf.DUMMYFUNCTION("""COMPUTED_VALUE"""),142.65)</f>
        <v>142.65</v>
      </c>
      <c r="F657" s="1">
        <f>IFERROR(__xludf.DUMMYFUNCTION("""COMPUTED_VALUE"""),1.8785514E7)</f>
        <v>18785514</v>
      </c>
    </row>
    <row r="658">
      <c r="A658" s="2">
        <f>IFERROR(__xludf.DUMMYFUNCTION("""COMPUTED_VALUE"""),45307.66666666667)</f>
        <v>45307.66667</v>
      </c>
      <c r="B658" s="1">
        <f>IFERROR(__xludf.DUMMYFUNCTION("""COMPUTED_VALUE"""),142.0)</f>
        <v>142</v>
      </c>
      <c r="C658" s="1">
        <f>IFERROR(__xludf.DUMMYFUNCTION("""COMPUTED_VALUE"""),144.35)</f>
        <v>144.35</v>
      </c>
      <c r="D658" s="1">
        <f>IFERROR(__xludf.DUMMYFUNCTION("""COMPUTED_VALUE"""),141.45)</f>
        <v>141.45</v>
      </c>
      <c r="E658" s="1">
        <f>IFERROR(__xludf.DUMMYFUNCTION("""COMPUTED_VALUE"""),142.49)</f>
        <v>142.49</v>
      </c>
      <c r="F658" s="1">
        <f>IFERROR(__xludf.DUMMYFUNCTION("""COMPUTED_VALUE"""),2.2670467E7)</f>
        <v>22670467</v>
      </c>
    </row>
    <row r="659">
      <c r="A659" s="2">
        <f>IFERROR(__xludf.DUMMYFUNCTION("""COMPUTED_VALUE"""),45308.66666666667)</f>
        <v>45308.66667</v>
      </c>
      <c r="B659" s="1">
        <f>IFERROR(__xludf.DUMMYFUNCTION("""COMPUTED_VALUE"""),141.35)</f>
        <v>141.35</v>
      </c>
      <c r="C659" s="1">
        <f>IFERROR(__xludf.DUMMYFUNCTION("""COMPUTED_VALUE"""),141.84)</f>
        <v>141.84</v>
      </c>
      <c r="D659" s="1">
        <f>IFERROR(__xludf.DUMMYFUNCTION("""COMPUTED_VALUE"""),138.9)</f>
        <v>138.9</v>
      </c>
      <c r="E659" s="1">
        <f>IFERROR(__xludf.DUMMYFUNCTION("""COMPUTED_VALUE"""),141.47)</f>
        <v>141.47</v>
      </c>
      <c r="F659" s="1">
        <f>IFERROR(__xludf.DUMMYFUNCTION("""COMPUTED_VALUE"""),2.0968649E7)</f>
        <v>20968649</v>
      </c>
    </row>
    <row r="660">
      <c r="A660" s="2">
        <f>IFERROR(__xludf.DUMMYFUNCTION("""COMPUTED_VALUE"""),45309.66666666667)</f>
        <v>45309.66667</v>
      </c>
      <c r="B660" s="1">
        <f>IFERROR(__xludf.DUMMYFUNCTION("""COMPUTED_VALUE"""),142.05)</f>
        <v>142.05</v>
      </c>
      <c r="C660" s="1">
        <f>IFERROR(__xludf.DUMMYFUNCTION("""COMPUTED_VALUE"""),144.21)</f>
        <v>144.21</v>
      </c>
      <c r="D660" s="1">
        <f>IFERROR(__xludf.DUMMYFUNCTION("""COMPUTED_VALUE"""),141.99)</f>
        <v>141.99</v>
      </c>
      <c r="E660" s="1">
        <f>IFERROR(__xludf.DUMMYFUNCTION("""COMPUTED_VALUE"""),143.48)</f>
        <v>143.48</v>
      </c>
      <c r="F660" s="1">
        <f>IFERROR(__xludf.DUMMYFUNCTION("""COMPUTED_VALUE"""),2.5746417E7)</f>
        <v>25746417</v>
      </c>
    </row>
    <row r="661">
      <c r="A661" s="2">
        <f>IFERROR(__xludf.DUMMYFUNCTION("""COMPUTED_VALUE"""),45310.66666666667)</f>
        <v>45310.66667</v>
      </c>
      <c r="B661" s="1">
        <f>IFERROR(__xludf.DUMMYFUNCTION("""COMPUTED_VALUE"""),144.74)</f>
        <v>144.74</v>
      </c>
      <c r="C661" s="1">
        <f>IFERROR(__xludf.DUMMYFUNCTION("""COMPUTED_VALUE"""),146.45)</f>
        <v>146.45</v>
      </c>
      <c r="D661" s="1">
        <f>IFERROR(__xludf.DUMMYFUNCTION("""COMPUTED_VALUE"""),144.38)</f>
        <v>144.38</v>
      </c>
      <c r="E661" s="1">
        <f>IFERROR(__xludf.DUMMYFUNCTION("""COMPUTED_VALUE"""),146.38)</f>
        <v>146.38</v>
      </c>
      <c r="F661" s="1">
        <f>IFERROR(__xludf.DUMMYFUNCTION("""COMPUTED_VALUE"""),3.4271867E7)</f>
        <v>34271867</v>
      </c>
    </row>
    <row r="662">
      <c r="A662" s="2">
        <f>IFERROR(__xludf.DUMMYFUNCTION("""COMPUTED_VALUE"""),45313.66666666667)</f>
        <v>45313.66667</v>
      </c>
      <c r="B662" s="1">
        <f>IFERROR(__xludf.DUMMYFUNCTION("""COMPUTED_VALUE"""),147.1)</f>
        <v>147.1</v>
      </c>
      <c r="C662" s="1">
        <f>IFERROR(__xludf.DUMMYFUNCTION("""COMPUTED_VALUE"""),148.39)</f>
        <v>148.39</v>
      </c>
      <c r="D662" s="1">
        <f>IFERROR(__xludf.DUMMYFUNCTION("""COMPUTED_VALUE"""),145.84)</f>
        <v>145.84</v>
      </c>
      <c r="E662" s="1">
        <f>IFERROR(__xludf.DUMMYFUNCTION("""COMPUTED_VALUE"""),145.99)</f>
        <v>145.99</v>
      </c>
      <c r="F662" s="1">
        <f>IFERROR(__xludf.DUMMYFUNCTION("""COMPUTED_VALUE"""),3.2200369E7)</f>
        <v>32200369</v>
      </c>
    </row>
    <row r="663">
      <c r="A663" s="2">
        <f>IFERROR(__xludf.DUMMYFUNCTION("""COMPUTED_VALUE"""),45314.66666666667)</f>
        <v>45314.66667</v>
      </c>
      <c r="B663" s="1">
        <f>IFERROR(__xludf.DUMMYFUNCTION("""COMPUTED_VALUE"""),145.89)</f>
        <v>145.89</v>
      </c>
      <c r="C663" s="1">
        <f>IFERROR(__xludf.DUMMYFUNCTION("""COMPUTED_VALUE"""),147.18)</f>
        <v>147.18</v>
      </c>
      <c r="D663" s="1">
        <f>IFERROR(__xludf.DUMMYFUNCTION("""COMPUTED_VALUE"""),145.5)</f>
        <v>145.5</v>
      </c>
      <c r="E663" s="1">
        <f>IFERROR(__xludf.DUMMYFUNCTION("""COMPUTED_VALUE"""),147.04)</f>
        <v>147.04</v>
      </c>
      <c r="F663" s="1">
        <f>IFERROR(__xludf.DUMMYFUNCTION("""COMPUTED_VALUE"""),2.1636129E7)</f>
        <v>21636129</v>
      </c>
    </row>
    <row r="664">
      <c r="A664" s="2">
        <f>IFERROR(__xludf.DUMMYFUNCTION("""COMPUTED_VALUE"""),45315.66666666667)</f>
        <v>45315.66667</v>
      </c>
      <c r="B664" s="1">
        <f>IFERROR(__xludf.DUMMYFUNCTION("""COMPUTED_VALUE"""),148.54)</f>
        <v>148.54</v>
      </c>
      <c r="C664" s="1">
        <f>IFERROR(__xludf.DUMMYFUNCTION("""COMPUTED_VALUE"""),149.85)</f>
        <v>149.85</v>
      </c>
      <c r="D664" s="1">
        <f>IFERROR(__xludf.DUMMYFUNCTION("""COMPUTED_VALUE"""),148.1)</f>
        <v>148.1</v>
      </c>
      <c r="E664" s="1">
        <f>IFERROR(__xludf.DUMMYFUNCTION("""COMPUTED_VALUE"""),148.7)</f>
        <v>148.7</v>
      </c>
      <c r="F664" s="1">
        <f>IFERROR(__xludf.DUMMYFUNCTION("""COMPUTED_VALUE"""),2.523345E7)</f>
        <v>25233450</v>
      </c>
    </row>
    <row r="665">
      <c r="A665" s="2">
        <f>IFERROR(__xludf.DUMMYFUNCTION("""COMPUTED_VALUE"""),45316.66666666667)</f>
        <v>45316.66667</v>
      </c>
      <c r="B665" s="1">
        <f>IFERROR(__xludf.DUMMYFUNCTION("""COMPUTED_VALUE"""),150.07)</f>
        <v>150.07</v>
      </c>
      <c r="C665" s="1">
        <f>IFERROR(__xludf.DUMMYFUNCTION("""COMPUTED_VALUE"""),153.05)</f>
        <v>153.05</v>
      </c>
      <c r="D665" s="1">
        <f>IFERROR(__xludf.DUMMYFUNCTION("""COMPUTED_VALUE"""),149.54)</f>
        <v>149.54</v>
      </c>
      <c r="E665" s="1">
        <f>IFERROR(__xludf.DUMMYFUNCTION("""COMPUTED_VALUE"""),151.87)</f>
        <v>151.87</v>
      </c>
      <c r="F665" s="1">
        <f>IFERROR(__xludf.DUMMYFUNCTION("""COMPUTED_VALUE"""),2.9149069E7)</f>
        <v>29149069</v>
      </c>
    </row>
    <row r="666">
      <c r="A666" s="2">
        <f>IFERROR(__xludf.DUMMYFUNCTION("""COMPUTED_VALUE"""),45317.66666666667)</f>
        <v>45317.66667</v>
      </c>
      <c r="B666" s="1">
        <f>IFERROR(__xludf.DUMMYFUNCTION("""COMPUTED_VALUE"""),151.1)</f>
        <v>151.1</v>
      </c>
      <c r="C666" s="1">
        <f>IFERROR(__xludf.DUMMYFUNCTION("""COMPUTED_VALUE"""),152.54)</f>
        <v>152.54</v>
      </c>
      <c r="D666" s="1">
        <f>IFERROR(__xludf.DUMMYFUNCTION("""COMPUTED_VALUE"""),151.01)</f>
        <v>151.01</v>
      </c>
      <c r="E666" s="1">
        <f>IFERROR(__xludf.DUMMYFUNCTION("""COMPUTED_VALUE"""),152.19)</f>
        <v>152.19</v>
      </c>
      <c r="F666" s="1">
        <f>IFERROR(__xludf.DUMMYFUNCTION("""COMPUTED_VALUE"""),2.6115494E7)</f>
        <v>26115494</v>
      </c>
    </row>
    <row r="667">
      <c r="A667" s="2">
        <f>IFERROR(__xludf.DUMMYFUNCTION("""COMPUTED_VALUE"""),45320.66666666667)</f>
        <v>45320.66667</v>
      </c>
      <c r="B667" s="1">
        <f>IFERROR(__xludf.DUMMYFUNCTION("""COMPUTED_VALUE"""),152.06)</f>
        <v>152.06</v>
      </c>
      <c r="C667" s="1">
        <f>IFERROR(__xludf.DUMMYFUNCTION("""COMPUTED_VALUE"""),153.78)</f>
        <v>153.78</v>
      </c>
      <c r="D667" s="1">
        <f>IFERROR(__xludf.DUMMYFUNCTION("""COMPUTED_VALUE"""),151.43)</f>
        <v>151.43</v>
      </c>
      <c r="E667" s="1">
        <f>IFERROR(__xludf.DUMMYFUNCTION("""COMPUTED_VALUE"""),153.51)</f>
        <v>153.51</v>
      </c>
      <c r="F667" s="1">
        <f>IFERROR(__xludf.DUMMYFUNCTION("""COMPUTED_VALUE"""),2.7784259E7)</f>
        <v>27784259</v>
      </c>
    </row>
    <row r="668">
      <c r="A668" s="2">
        <f>IFERROR(__xludf.DUMMYFUNCTION("""COMPUTED_VALUE"""),45321.66666666667)</f>
        <v>45321.66667</v>
      </c>
      <c r="B668" s="1">
        <f>IFERROR(__xludf.DUMMYFUNCTION("""COMPUTED_VALUE"""),152.8)</f>
        <v>152.8</v>
      </c>
      <c r="C668" s="1">
        <f>IFERROR(__xludf.DUMMYFUNCTION("""COMPUTED_VALUE"""),153.62)</f>
        <v>153.62</v>
      </c>
      <c r="D668" s="1">
        <f>IFERROR(__xludf.DUMMYFUNCTION("""COMPUTED_VALUE"""),151.19)</f>
        <v>151.19</v>
      </c>
      <c r="E668" s="1">
        <f>IFERROR(__xludf.DUMMYFUNCTION("""COMPUTED_VALUE"""),151.46)</f>
        <v>151.46</v>
      </c>
      <c r="F668" s="1">
        <f>IFERROR(__xludf.DUMMYFUNCTION("""COMPUTED_VALUE"""),3.6331833E7)</f>
        <v>36331833</v>
      </c>
    </row>
    <row r="669">
      <c r="A669" s="2">
        <f>IFERROR(__xludf.DUMMYFUNCTION("""COMPUTED_VALUE"""),45322.66666666667)</f>
        <v>45322.66667</v>
      </c>
      <c r="B669" s="1">
        <f>IFERROR(__xludf.DUMMYFUNCTION("""COMPUTED_VALUE"""),143.62)</f>
        <v>143.62</v>
      </c>
      <c r="C669" s="1">
        <f>IFERROR(__xludf.DUMMYFUNCTION("""COMPUTED_VALUE"""),144.0)</f>
        <v>144</v>
      </c>
      <c r="D669" s="1">
        <f>IFERROR(__xludf.DUMMYFUNCTION("""COMPUTED_VALUE"""),139.87)</f>
        <v>139.87</v>
      </c>
      <c r="E669" s="1">
        <f>IFERROR(__xludf.DUMMYFUNCTION("""COMPUTED_VALUE"""),140.1)</f>
        <v>140.1</v>
      </c>
      <c r="F669" s="1">
        <f>IFERROR(__xludf.DUMMYFUNCTION("""COMPUTED_VALUE"""),7.1910044E7)</f>
        <v>71910044</v>
      </c>
    </row>
    <row r="670">
      <c r="A670" s="2">
        <f>IFERROR(__xludf.DUMMYFUNCTION("""COMPUTED_VALUE"""),45323.66666666667)</f>
        <v>45323.66667</v>
      </c>
      <c r="B670" s="1">
        <f>IFERROR(__xludf.DUMMYFUNCTION("""COMPUTED_VALUE"""),142.12)</f>
        <v>142.12</v>
      </c>
      <c r="C670" s="1">
        <f>IFERROR(__xludf.DUMMYFUNCTION("""COMPUTED_VALUE"""),143.06)</f>
        <v>143.06</v>
      </c>
      <c r="D670" s="1">
        <f>IFERROR(__xludf.DUMMYFUNCTION("""COMPUTED_VALUE"""),140.79)</f>
        <v>140.79</v>
      </c>
      <c r="E670" s="1">
        <f>IFERROR(__xludf.DUMMYFUNCTION("""COMPUTED_VALUE"""),141.16)</f>
        <v>141.16</v>
      </c>
      <c r="F670" s="1">
        <f>IFERROR(__xludf.DUMMYFUNCTION("""COMPUTED_VALUE"""),4.0466549E7)</f>
        <v>40466549</v>
      </c>
    </row>
    <row r="671">
      <c r="A671" s="2">
        <f>IFERROR(__xludf.DUMMYFUNCTION("""COMPUTED_VALUE"""),45324.66666666667)</f>
        <v>45324.66667</v>
      </c>
      <c r="B671" s="1">
        <f>IFERROR(__xludf.DUMMYFUNCTION("""COMPUTED_VALUE"""),139.26)</f>
        <v>139.26</v>
      </c>
      <c r="C671" s="1">
        <f>IFERROR(__xludf.DUMMYFUNCTION("""COMPUTED_VALUE"""),142.62)</f>
        <v>142.62</v>
      </c>
      <c r="D671" s="1">
        <f>IFERROR(__xludf.DUMMYFUNCTION("""COMPUTED_VALUE"""),136.5)</f>
        <v>136.5</v>
      </c>
      <c r="E671" s="1">
        <f>IFERROR(__xludf.DUMMYFUNCTION("""COMPUTED_VALUE"""),142.38)</f>
        <v>142.38</v>
      </c>
      <c r="F671" s="1">
        <f>IFERROR(__xludf.DUMMYFUNCTION("""COMPUTED_VALUE"""),6.2499574E7)</f>
        <v>62499574</v>
      </c>
    </row>
    <row r="672">
      <c r="A672" s="2">
        <f>IFERROR(__xludf.DUMMYFUNCTION("""COMPUTED_VALUE"""),45327.66666666667)</f>
        <v>45327.66667</v>
      </c>
      <c r="B672" s="1">
        <f>IFERROR(__xludf.DUMMYFUNCTION("""COMPUTED_VALUE"""),142.82)</f>
        <v>142.82</v>
      </c>
      <c r="C672" s="1">
        <f>IFERROR(__xludf.DUMMYFUNCTION("""COMPUTED_VALUE"""),145.47)</f>
        <v>145.47</v>
      </c>
      <c r="D672" s="1">
        <f>IFERROR(__xludf.DUMMYFUNCTION("""COMPUTED_VALUE"""),142.78)</f>
        <v>142.78</v>
      </c>
      <c r="E672" s="1">
        <f>IFERROR(__xludf.DUMMYFUNCTION("""COMPUTED_VALUE"""),143.68)</f>
        <v>143.68</v>
      </c>
      <c r="F672" s="1">
        <f>IFERROR(__xludf.DUMMYFUNCTION("""COMPUTED_VALUE"""),3.8505405E7)</f>
        <v>38505405</v>
      </c>
    </row>
    <row r="673">
      <c r="A673" s="2">
        <f>IFERROR(__xludf.DUMMYFUNCTION("""COMPUTED_VALUE"""),45328.66666666667)</f>
        <v>45328.66667</v>
      </c>
      <c r="B673" s="1">
        <f>IFERROR(__xludf.DUMMYFUNCTION("""COMPUTED_VALUE"""),144.65)</f>
        <v>144.65</v>
      </c>
      <c r="C673" s="1">
        <f>IFERROR(__xludf.DUMMYFUNCTION("""COMPUTED_VALUE"""),145.36)</f>
        <v>145.36</v>
      </c>
      <c r="D673" s="1">
        <f>IFERROR(__xludf.DUMMYFUNCTION("""COMPUTED_VALUE"""),143.19)</f>
        <v>143.19</v>
      </c>
      <c r="E673" s="1">
        <f>IFERROR(__xludf.DUMMYFUNCTION("""COMPUTED_VALUE"""),144.1)</f>
        <v>144.1</v>
      </c>
      <c r="F673" s="1">
        <f>IFERROR(__xludf.DUMMYFUNCTION("""COMPUTED_VALUE"""),2.9128201E7)</f>
        <v>29128201</v>
      </c>
    </row>
    <row r="674">
      <c r="A674" s="2">
        <f>IFERROR(__xludf.DUMMYFUNCTION("""COMPUTED_VALUE"""),45329.66666666667)</f>
        <v>45329.66667</v>
      </c>
      <c r="B674" s="1">
        <f>IFERROR(__xludf.DUMMYFUNCTION("""COMPUTED_VALUE"""),144.76)</f>
        <v>144.76</v>
      </c>
      <c r="C674" s="1">
        <f>IFERROR(__xludf.DUMMYFUNCTION("""COMPUTED_VALUE"""),145.62)</f>
        <v>145.62</v>
      </c>
      <c r="D674" s="1">
        <f>IFERROR(__xludf.DUMMYFUNCTION("""COMPUTED_VALUE"""),143.93)</f>
        <v>143.93</v>
      </c>
      <c r="E674" s="1">
        <f>IFERROR(__xludf.DUMMYFUNCTION("""COMPUTED_VALUE"""),145.54)</f>
        <v>145.54</v>
      </c>
      <c r="F674" s="1">
        <f>IFERROR(__xludf.DUMMYFUNCTION("""COMPUTED_VALUE"""),2.5208862E7)</f>
        <v>25208862</v>
      </c>
    </row>
    <row r="675">
      <c r="A675" s="2">
        <f>IFERROR(__xludf.DUMMYFUNCTION("""COMPUTED_VALUE"""),45330.66666666667)</f>
        <v>45330.66667</v>
      </c>
      <c r="B675" s="1">
        <f>IFERROR(__xludf.DUMMYFUNCTION("""COMPUTED_VALUE"""),145.83)</f>
        <v>145.83</v>
      </c>
      <c r="C675" s="1">
        <f>IFERROR(__xludf.DUMMYFUNCTION("""COMPUTED_VALUE"""),146.33)</f>
        <v>146.33</v>
      </c>
      <c r="D675" s="1">
        <f>IFERROR(__xludf.DUMMYFUNCTION("""COMPUTED_VALUE"""),145.1)</f>
        <v>145.1</v>
      </c>
      <c r="E675" s="1">
        <f>IFERROR(__xludf.DUMMYFUNCTION("""COMPUTED_VALUE"""),145.91)</f>
        <v>145.91</v>
      </c>
      <c r="F675" s="1">
        <f>IFERROR(__xludf.DUMMYFUNCTION("""COMPUTED_VALUE"""),2.2563764E7)</f>
        <v>22563764</v>
      </c>
    </row>
    <row r="676">
      <c r="A676" s="2">
        <f>IFERROR(__xludf.DUMMYFUNCTION("""COMPUTED_VALUE"""),45331.66666666667)</f>
        <v>45331.66667</v>
      </c>
      <c r="B676" s="1">
        <f>IFERROR(__xludf.DUMMYFUNCTION("""COMPUTED_VALUE"""),146.68)</f>
        <v>146.68</v>
      </c>
      <c r="C676" s="1">
        <f>IFERROR(__xludf.DUMMYFUNCTION("""COMPUTED_VALUE"""),149.44)</f>
        <v>149.44</v>
      </c>
      <c r="D676" s="1">
        <f>IFERROR(__xludf.DUMMYFUNCTION("""COMPUTED_VALUE"""),146.18)</f>
        <v>146.18</v>
      </c>
      <c r="E676" s="1">
        <f>IFERROR(__xludf.DUMMYFUNCTION("""COMPUTED_VALUE"""),149.0)</f>
        <v>149</v>
      </c>
      <c r="F676" s="1">
        <f>IFERROR(__xludf.DUMMYFUNCTION("""COMPUTED_VALUE"""),2.6829504E7)</f>
        <v>26829504</v>
      </c>
    </row>
    <row r="677">
      <c r="A677" s="2">
        <f>IFERROR(__xludf.DUMMYFUNCTION("""COMPUTED_VALUE"""),45334.66666666667)</f>
        <v>45334.66667</v>
      </c>
      <c r="B677" s="1">
        <f>IFERROR(__xludf.DUMMYFUNCTION("""COMPUTED_VALUE"""),148.42)</f>
        <v>148.42</v>
      </c>
      <c r="C677" s="1">
        <f>IFERROR(__xludf.DUMMYFUNCTION("""COMPUTED_VALUE"""),149.34)</f>
        <v>149.34</v>
      </c>
      <c r="D677" s="1">
        <f>IFERROR(__xludf.DUMMYFUNCTION("""COMPUTED_VALUE"""),147.37)</f>
        <v>147.37</v>
      </c>
      <c r="E677" s="1">
        <f>IFERROR(__xludf.DUMMYFUNCTION("""COMPUTED_VALUE"""),147.53)</f>
        <v>147.53</v>
      </c>
      <c r="F677" s="1">
        <f>IFERROR(__xludf.DUMMYFUNCTION("""COMPUTED_VALUE"""),2.1564085E7)</f>
        <v>21564085</v>
      </c>
    </row>
    <row r="678">
      <c r="A678" s="2">
        <f>IFERROR(__xludf.DUMMYFUNCTION("""COMPUTED_VALUE"""),45335.66666666667)</f>
        <v>45335.66667</v>
      </c>
      <c r="B678" s="1">
        <f>IFERROR(__xludf.DUMMYFUNCTION("""COMPUTED_VALUE"""),144.92)</f>
        <v>144.92</v>
      </c>
      <c r="C678" s="1">
        <f>IFERROR(__xludf.DUMMYFUNCTION("""COMPUTED_VALUE"""),146.67)</f>
        <v>146.67</v>
      </c>
      <c r="D678" s="1">
        <f>IFERROR(__xludf.DUMMYFUNCTION("""COMPUTED_VALUE"""),143.69)</f>
        <v>143.69</v>
      </c>
      <c r="E678" s="1">
        <f>IFERROR(__xludf.DUMMYFUNCTION("""COMPUTED_VALUE"""),145.14)</f>
        <v>145.14</v>
      </c>
      <c r="F678" s="1">
        <f>IFERROR(__xludf.DUMMYFUNCTION("""COMPUTED_VALUE"""),2.783773E7)</f>
        <v>27837730</v>
      </c>
    </row>
    <row r="679">
      <c r="A679" s="2">
        <f>IFERROR(__xludf.DUMMYFUNCTION("""COMPUTED_VALUE"""),45336.66666666667)</f>
        <v>45336.66667</v>
      </c>
      <c r="B679" s="1">
        <f>IFERROR(__xludf.DUMMYFUNCTION("""COMPUTED_VALUE"""),146.08)</f>
        <v>146.08</v>
      </c>
      <c r="C679" s="1">
        <f>IFERROR(__xludf.DUMMYFUNCTION("""COMPUTED_VALUE"""),146.52)</f>
        <v>146.52</v>
      </c>
      <c r="D679" s="1">
        <f>IFERROR(__xludf.DUMMYFUNCTION("""COMPUTED_VALUE"""),144.09)</f>
        <v>144.09</v>
      </c>
      <c r="E679" s="1">
        <f>IFERROR(__xludf.DUMMYFUNCTION("""COMPUTED_VALUE"""),145.94)</f>
        <v>145.94</v>
      </c>
      <c r="F679" s="1">
        <f>IFERROR(__xludf.DUMMYFUNCTION("""COMPUTED_VALUE"""),2.2704166E7)</f>
        <v>22704166</v>
      </c>
    </row>
    <row r="680">
      <c r="A680" s="2">
        <f>IFERROR(__xludf.DUMMYFUNCTION("""COMPUTED_VALUE"""),45337.66666666667)</f>
        <v>45337.66667</v>
      </c>
      <c r="B680" s="1">
        <f>IFERROR(__xludf.DUMMYFUNCTION("""COMPUTED_VALUE"""),143.14)</f>
        <v>143.14</v>
      </c>
      <c r="C680" s="1">
        <f>IFERROR(__xludf.DUMMYFUNCTION("""COMPUTED_VALUE"""),143.52)</f>
        <v>143.52</v>
      </c>
      <c r="D680" s="1">
        <f>IFERROR(__xludf.DUMMYFUNCTION("""COMPUTED_VALUE"""),140.46)</f>
        <v>140.46</v>
      </c>
      <c r="E680" s="1">
        <f>IFERROR(__xludf.DUMMYFUNCTION("""COMPUTED_VALUE"""),142.77)</f>
        <v>142.77</v>
      </c>
      <c r="F680" s="1">
        <f>IFERROR(__xludf.DUMMYFUNCTION("""COMPUTED_VALUE"""),3.7590695E7)</f>
        <v>37590695</v>
      </c>
    </row>
    <row r="681">
      <c r="A681" s="2">
        <f>IFERROR(__xludf.DUMMYFUNCTION("""COMPUTED_VALUE"""),45338.66666666667)</f>
        <v>45338.66667</v>
      </c>
      <c r="B681" s="1">
        <f>IFERROR(__xludf.DUMMYFUNCTION("""COMPUTED_VALUE"""),142.99)</f>
        <v>142.99</v>
      </c>
      <c r="C681" s="1">
        <f>IFERROR(__xludf.DUMMYFUNCTION("""COMPUTED_VALUE"""),143.19)</f>
        <v>143.19</v>
      </c>
      <c r="D681" s="1">
        <f>IFERROR(__xludf.DUMMYFUNCTION("""COMPUTED_VALUE"""),140.14)</f>
        <v>140.14</v>
      </c>
      <c r="E681" s="1">
        <f>IFERROR(__xludf.DUMMYFUNCTION("""COMPUTED_VALUE"""),140.52)</f>
        <v>140.52</v>
      </c>
      <c r="F681" s="1">
        <f>IFERROR(__xludf.DUMMYFUNCTION("""COMPUTED_VALUE"""),3.1468926E7)</f>
        <v>31468926</v>
      </c>
    </row>
    <row r="682">
      <c r="A682" s="2">
        <f>IFERROR(__xludf.DUMMYFUNCTION("""COMPUTED_VALUE"""),45342.66666666667)</f>
        <v>45342.66667</v>
      </c>
      <c r="B682" s="1">
        <f>IFERROR(__xludf.DUMMYFUNCTION("""COMPUTED_VALUE"""),139.66)</f>
        <v>139.66</v>
      </c>
      <c r="C682" s="1">
        <f>IFERROR(__xludf.DUMMYFUNCTION("""COMPUTED_VALUE"""),142.08)</f>
        <v>142.08</v>
      </c>
      <c r="D682" s="1">
        <f>IFERROR(__xludf.DUMMYFUNCTION("""COMPUTED_VALUE"""),139.49)</f>
        <v>139.49</v>
      </c>
      <c r="E682" s="1">
        <f>IFERROR(__xludf.DUMMYFUNCTION("""COMPUTED_VALUE"""),141.12)</f>
        <v>141.12</v>
      </c>
      <c r="F682" s="1">
        <f>IFERROR(__xludf.DUMMYFUNCTION("""COMPUTED_VALUE"""),2.493571E7)</f>
        <v>24935710</v>
      </c>
    </row>
    <row r="683">
      <c r="A683" s="2">
        <f>IFERROR(__xludf.DUMMYFUNCTION("""COMPUTED_VALUE"""),45343.66666666667)</f>
        <v>45343.66667</v>
      </c>
      <c r="B683" s="1">
        <f>IFERROR(__xludf.DUMMYFUNCTION("""COMPUTED_VALUE"""),141.45)</f>
        <v>141.45</v>
      </c>
      <c r="C683" s="1">
        <f>IFERROR(__xludf.DUMMYFUNCTION("""COMPUTED_VALUE"""),142.69)</f>
        <v>142.69</v>
      </c>
      <c r="D683" s="1">
        <f>IFERROR(__xludf.DUMMYFUNCTION("""COMPUTED_VALUE"""),140.68)</f>
        <v>140.68</v>
      </c>
      <c r="E683" s="1">
        <f>IFERROR(__xludf.DUMMYFUNCTION("""COMPUTED_VALUE"""),142.55)</f>
        <v>142.55</v>
      </c>
      <c r="F683" s="1">
        <f>IFERROR(__xludf.DUMMYFUNCTION("""COMPUTED_VALUE"""),2.3315687E7)</f>
        <v>23315687</v>
      </c>
    </row>
    <row r="684">
      <c r="A684" s="2">
        <f>IFERROR(__xludf.DUMMYFUNCTION("""COMPUTED_VALUE"""),45344.66666666667)</f>
        <v>45344.66667</v>
      </c>
      <c r="B684" s="1">
        <f>IFERROR(__xludf.DUMMYFUNCTION("""COMPUTED_VALUE"""),144.93)</f>
        <v>144.93</v>
      </c>
      <c r="C684" s="1">
        <f>IFERROR(__xludf.DUMMYFUNCTION("""COMPUTED_VALUE"""),145.0)</f>
        <v>145</v>
      </c>
      <c r="D684" s="1">
        <f>IFERROR(__xludf.DUMMYFUNCTION("""COMPUTED_VALUE"""),142.8)</f>
        <v>142.8</v>
      </c>
      <c r="E684" s="1">
        <f>IFERROR(__xludf.DUMMYFUNCTION("""COMPUTED_VALUE"""),144.09)</f>
        <v>144.09</v>
      </c>
      <c r="F684" s="1">
        <f>IFERROR(__xludf.DUMMYFUNCTION("""COMPUTED_VALUE"""),2.7191892E7)</f>
        <v>27191892</v>
      </c>
    </row>
    <row r="685">
      <c r="A685" s="2">
        <f>IFERROR(__xludf.DUMMYFUNCTION("""COMPUTED_VALUE"""),45345.66666666667)</f>
        <v>45345.66667</v>
      </c>
      <c r="B685" s="1">
        <f>IFERROR(__xludf.DUMMYFUNCTION("""COMPUTED_VALUE"""),143.67)</f>
        <v>143.67</v>
      </c>
      <c r="C685" s="1">
        <f>IFERROR(__xludf.DUMMYFUNCTION("""COMPUTED_VALUE"""),144.68)</f>
        <v>144.68</v>
      </c>
      <c r="D685" s="1">
        <f>IFERROR(__xludf.DUMMYFUNCTION("""COMPUTED_VALUE"""),143.43)</f>
        <v>143.43</v>
      </c>
      <c r="E685" s="1">
        <f>IFERROR(__xludf.DUMMYFUNCTION("""COMPUTED_VALUE"""),143.96)</f>
        <v>143.96</v>
      </c>
      <c r="F685" s="1">
        <f>IFERROR(__xludf.DUMMYFUNCTION("""COMPUTED_VALUE"""),1.9493752E7)</f>
        <v>19493752</v>
      </c>
    </row>
    <row r="686">
      <c r="A686" s="2">
        <f>IFERROR(__xludf.DUMMYFUNCTION("""COMPUTED_VALUE"""),45348.66666666667)</f>
        <v>45348.66667</v>
      </c>
      <c r="B686" s="1">
        <f>IFERROR(__xludf.DUMMYFUNCTION("""COMPUTED_VALUE"""),142.14)</f>
        <v>142.14</v>
      </c>
      <c r="C686" s="1">
        <f>IFERROR(__xludf.DUMMYFUNCTION("""COMPUTED_VALUE"""),142.44)</f>
        <v>142.44</v>
      </c>
      <c r="D686" s="1">
        <f>IFERROR(__xludf.DUMMYFUNCTION("""COMPUTED_VALUE"""),137.39)</f>
        <v>137.39</v>
      </c>
      <c r="E686" s="1">
        <f>IFERROR(__xludf.DUMMYFUNCTION("""COMPUTED_VALUE"""),137.57)</f>
        <v>137.57</v>
      </c>
      <c r="F686" s="1">
        <f>IFERROR(__xludf.DUMMYFUNCTION("""COMPUTED_VALUE"""),5.3641795E7)</f>
        <v>53641795</v>
      </c>
    </row>
    <row r="687">
      <c r="A687" s="2">
        <f>IFERROR(__xludf.DUMMYFUNCTION("""COMPUTED_VALUE"""),45349.66666666667)</f>
        <v>45349.66667</v>
      </c>
      <c r="B687" s="1">
        <f>IFERROR(__xludf.DUMMYFUNCTION("""COMPUTED_VALUE"""),138.02)</f>
        <v>138.02</v>
      </c>
      <c r="C687" s="1">
        <f>IFERROR(__xludf.DUMMYFUNCTION("""COMPUTED_VALUE"""),139.25)</f>
        <v>139.25</v>
      </c>
      <c r="D687" s="1">
        <f>IFERROR(__xludf.DUMMYFUNCTION("""COMPUTED_VALUE"""),137.09)</f>
        <v>137.09</v>
      </c>
      <c r="E687" s="1">
        <f>IFERROR(__xludf.DUMMYFUNCTION("""COMPUTED_VALUE"""),138.88)</f>
        <v>138.88</v>
      </c>
      <c r="F687" s="1">
        <f>IFERROR(__xludf.DUMMYFUNCTION("""COMPUTED_VALUE"""),3.309919E7)</f>
        <v>33099190</v>
      </c>
    </row>
    <row r="688">
      <c r="A688" s="2">
        <f>IFERROR(__xludf.DUMMYFUNCTION("""COMPUTED_VALUE"""),45350.66666666667)</f>
        <v>45350.66667</v>
      </c>
      <c r="B688" s="1">
        <f>IFERROR(__xludf.DUMMYFUNCTION("""COMPUTED_VALUE"""),137.9)</f>
        <v>137.9</v>
      </c>
      <c r="C688" s="1">
        <f>IFERROR(__xludf.DUMMYFUNCTION("""COMPUTED_VALUE"""),138.01)</f>
        <v>138.01</v>
      </c>
      <c r="D688" s="1">
        <f>IFERROR(__xludf.DUMMYFUNCTION("""COMPUTED_VALUE"""),135.41)</f>
        <v>135.41</v>
      </c>
      <c r="E688" s="1">
        <f>IFERROR(__xludf.DUMMYFUNCTION("""COMPUTED_VALUE"""),136.38)</f>
        <v>136.38</v>
      </c>
      <c r="F688" s="1">
        <f>IFERROR(__xludf.DUMMYFUNCTION("""COMPUTED_VALUE"""),3.7328558E7)</f>
        <v>37328558</v>
      </c>
    </row>
    <row r="689">
      <c r="A689" s="2">
        <f>IFERROR(__xludf.DUMMYFUNCTION("""COMPUTED_VALUE"""),45351.66666666667)</f>
        <v>45351.66667</v>
      </c>
      <c r="B689" s="1">
        <f>IFERROR(__xludf.DUMMYFUNCTION("""COMPUTED_VALUE"""),137.28)</f>
        <v>137.28</v>
      </c>
      <c r="C689" s="1">
        <f>IFERROR(__xludf.DUMMYFUNCTION("""COMPUTED_VALUE"""),138.86)</f>
        <v>138.86</v>
      </c>
      <c r="D689" s="1">
        <f>IFERROR(__xludf.DUMMYFUNCTION("""COMPUTED_VALUE"""),136.4)</f>
        <v>136.4</v>
      </c>
      <c r="E689" s="1">
        <f>IFERROR(__xludf.DUMMYFUNCTION("""COMPUTED_VALUE"""),138.46)</f>
        <v>138.46</v>
      </c>
      <c r="F689" s="1">
        <f>IFERROR(__xludf.DUMMYFUNCTION("""COMPUTED_VALUE"""),4.2132953E7)</f>
        <v>42132953</v>
      </c>
    </row>
    <row r="690">
      <c r="A690" s="2">
        <f>IFERROR(__xludf.DUMMYFUNCTION("""COMPUTED_VALUE"""),45352.66666666667)</f>
        <v>45352.66667</v>
      </c>
      <c r="B690" s="1">
        <f>IFERROR(__xludf.DUMMYFUNCTION("""COMPUTED_VALUE"""),138.43)</f>
        <v>138.43</v>
      </c>
      <c r="C690" s="1">
        <f>IFERROR(__xludf.DUMMYFUNCTION("""COMPUTED_VALUE"""),138.87)</f>
        <v>138.87</v>
      </c>
      <c r="D690" s="1">
        <f>IFERROR(__xludf.DUMMYFUNCTION("""COMPUTED_VALUE"""),136.92)</f>
        <v>136.92</v>
      </c>
      <c r="E690" s="1">
        <f>IFERROR(__xludf.DUMMYFUNCTION("""COMPUTED_VALUE"""),137.14)</f>
        <v>137.14</v>
      </c>
      <c r="F690" s="1">
        <f>IFERROR(__xludf.DUMMYFUNCTION("""COMPUTED_VALUE"""),3.1151116E7)</f>
        <v>31151116</v>
      </c>
    </row>
    <row r="691">
      <c r="A691" s="2">
        <f>IFERROR(__xludf.DUMMYFUNCTION("""COMPUTED_VALUE"""),45355.66666666667)</f>
        <v>45355.66667</v>
      </c>
      <c r="B691" s="1">
        <f>IFERROR(__xludf.DUMMYFUNCTION("""COMPUTED_VALUE"""),135.66)</f>
        <v>135.66</v>
      </c>
      <c r="C691" s="1">
        <f>IFERROR(__xludf.DUMMYFUNCTION("""COMPUTED_VALUE"""),135.66)</f>
        <v>135.66</v>
      </c>
      <c r="D691" s="1">
        <f>IFERROR(__xludf.DUMMYFUNCTION("""COMPUTED_VALUE"""),131.91)</f>
        <v>131.91</v>
      </c>
      <c r="E691" s="1">
        <f>IFERROR(__xludf.DUMMYFUNCTION("""COMPUTED_VALUE"""),133.35)</f>
        <v>133.35</v>
      </c>
      <c r="F691" s="1">
        <f>IFERROR(__xludf.DUMMYFUNCTION("""COMPUTED_VALUE"""),5.5999415E7)</f>
        <v>55999415</v>
      </c>
    </row>
    <row r="692">
      <c r="A692" s="2">
        <f>IFERROR(__xludf.DUMMYFUNCTION("""COMPUTED_VALUE"""),45356.66666666667)</f>
        <v>45356.66667</v>
      </c>
      <c r="B692" s="1">
        <f>IFERROR(__xludf.DUMMYFUNCTION("""COMPUTED_VALUE"""),131.88)</f>
        <v>131.88</v>
      </c>
      <c r="C692" s="1">
        <f>IFERROR(__xludf.DUMMYFUNCTION("""COMPUTED_VALUE"""),133.24)</f>
        <v>133.24</v>
      </c>
      <c r="D692" s="1">
        <f>IFERROR(__xludf.DUMMYFUNCTION("""COMPUTED_VALUE"""),130.67)</f>
        <v>130.67</v>
      </c>
      <c r="E692" s="1">
        <f>IFERROR(__xludf.DUMMYFUNCTION("""COMPUTED_VALUE"""),132.67)</f>
        <v>132.67</v>
      </c>
      <c r="F692" s="1">
        <f>IFERROR(__xludf.DUMMYFUNCTION("""COMPUTED_VALUE"""),4.0194757E7)</f>
        <v>40194757</v>
      </c>
    </row>
    <row r="693">
      <c r="A693" s="2">
        <f>IFERROR(__xludf.DUMMYFUNCTION("""COMPUTED_VALUE"""),45357.66666666667)</f>
        <v>45357.66667</v>
      </c>
      <c r="B693" s="1">
        <f>IFERROR(__xludf.DUMMYFUNCTION("""COMPUTED_VALUE"""),133.12)</f>
        <v>133.12</v>
      </c>
      <c r="C693" s="1">
        <f>IFERROR(__xludf.DUMMYFUNCTION("""COMPUTED_VALUE"""),133.58)</f>
        <v>133.58</v>
      </c>
      <c r="D693" s="1">
        <f>IFERROR(__xludf.DUMMYFUNCTION("""COMPUTED_VALUE"""),130.85)</f>
        <v>130.85</v>
      </c>
      <c r="E693" s="1">
        <f>IFERROR(__xludf.DUMMYFUNCTION("""COMPUTED_VALUE"""),131.4)</f>
        <v>131.4</v>
      </c>
      <c r="F693" s="1">
        <f>IFERROR(__xludf.DUMMYFUNCTION("""COMPUTED_VALUE"""),3.531861E7)</f>
        <v>35318610</v>
      </c>
    </row>
    <row r="694">
      <c r="A694" s="2">
        <f>IFERROR(__xludf.DUMMYFUNCTION("""COMPUTED_VALUE"""),45358.66666666667)</f>
        <v>45358.66667</v>
      </c>
      <c r="B694" s="1">
        <f>IFERROR(__xludf.DUMMYFUNCTION("""COMPUTED_VALUE"""),132.79)</f>
        <v>132.79</v>
      </c>
      <c r="C694" s="1">
        <f>IFERROR(__xludf.DUMMYFUNCTION("""COMPUTED_VALUE"""),134.94)</f>
        <v>134.94</v>
      </c>
      <c r="D694" s="1">
        <f>IFERROR(__xludf.DUMMYFUNCTION("""COMPUTED_VALUE"""),131.61)</f>
        <v>131.61</v>
      </c>
      <c r="E694" s="1">
        <f>IFERROR(__xludf.DUMMYFUNCTION("""COMPUTED_VALUE"""),134.38)</f>
        <v>134.38</v>
      </c>
      <c r="F694" s="1">
        <f>IFERROR(__xludf.DUMMYFUNCTION("""COMPUTED_VALUE"""),3.7738209E7)</f>
        <v>37738209</v>
      </c>
    </row>
    <row r="695">
      <c r="A695" s="2">
        <f>IFERROR(__xludf.DUMMYFUNCTION("""COMPUTED_VALUE"""),45359.66666666667)</f>
        <v>45359.66667</v>
      </c>
      <c r="B695" s="1">
        <f>IFERROR(__xludf.DUMMYFUNCTION("""COMPUTED_VALUE"""),134.21)</f>
        <v>134.21</v>
      </c>
      <c r="C695" s="1">
        <f>IFERROR(__xludf.DUMMYFUNCTION("""COMPUTED_VALUE"""),138.09)</f>
        <v>138.09</v>
      </c>
      <c r="D695" s="1">
        <f>IFERROR(__xludf.DUMMYFUNCTION("""COMPUTED_VALUE"""),134.0)</f>
        <v>134</v>
      </c>
      <c r="E695" s="1">
        <f>IFERROR(__xludf.DUMMYFUNCTION("""COMPUTED_VALUE"""),135.41)</f>
        <v>135.41</v>
      </c>
      <c r="F695" s="1">
        <f>IFERROR(__xludf.DUMMYFUNCTION("""COMPUTED_VALUE"""),3.9370392E7)</f>
        <v>39370392</v>
      </c>
    </row>
    <row r="696">
      <c r="A696" s="2">
        <f>IFERROR(__xludf.DUMMYFUNCTION("""COMPUTED_VALUE"""),45362.66666666667)</f>
        <v>45362.66667</v>
      </c>
      <c r="B696" s="1">
        <f>IFERROR(__xludf.DUMMYFUNCTION("""COMPUTED_VALUE"""),136.13)</f>
        <v>136.13</v>
      </c>
      <c r="C696" s="1">
        <f>IFERROR(__xludf.DUMMYFUNCTION("""COMPUTED_VALUE"""),139.1)</f>
        <v>139.1</v>
      </c>
      <c r="D696" s="1">
        <f>IFERROR(__xludf.DUMMYFUNCTION("""COMPUTED_VALUE"""),136.13)</f>
        <v>136.13</v>
      </c>
      <c r="E696" s="1">
        <f>IFERROR(__xludf.DUMMYFUNCTION("""COMPUTED_VALUE"""),137.67)</f>
        <v>137.67</v>
      </c>
      <c r="F696" s="1">
        <f>IFERROR(__xludf.DUMMYFUNCTION("""COMPUTED_VALUE"""),3.2437772E7)</f>
        <v>32437772</v>
      </c>
    </row>
    <row r="697">
      <c r="A697" s="2">
        <f>IFERROR(__xludf.DUMMYFUNCTION("""COMPUTED_VALUE"""),45363.66666666667)</f>
        <v>45363.66667</v>
      </c>
      <c r="B697" s="1">
        <f>IFERROR(__xludf.DUMMYFUNCTION("""COMPUTED_VALUE"""),137.03)</f>
        <v>137.03</v>
      </c>
      <c r="C697" s="1">
        <f>IFERROR(__xludf.DUMMYFUNCTION("""COMPUTED_VALUE"""),139.38)</f>
        <v>139.38</v>
      </c>
      <c r="D697" s="1">
        <f>IFERROR(__xludf.DUMMYFUNCTION("""COMPUTED_VALUE"""),137.03)</f>
        <v>137.03</v>
      </c>
      <c r="E697" s="1">
        <f>IFERROR(__xludf.DUMMYFUNCTION("""COMPUTED_VALUE"""),138.5)</f>
        <v>138.5</v>
      </c>
      <c r="F697" s="1">
        <f>IFERROR(__xludf.DUMMYFUNCTION("""COMPUTED_VALUE"""),2.7563354E7)</f>
        <v>27563354</v>
      </c>
    </row>
    <row r="698">
      <c r="A698" s="2">
        <f>IFERROR(__xludf.DUMMYFUNCTION("""COMPUTED_VALUE"""),45364.66666666667)</f>
        <v>45364.66667</v>
      </c>
      <c r="B698" s="1">
        <f>IFERROR(__xludf.DUMMYFUNCTION("""COMPUTED_VALUE"""),139.0)</f>
        <v>139</v>
      </c>
      <c r="C698" s="1">
        <f>IFERROR(__xludf.DUMMYFUNCTION("""COMPUTED_VALUE"""),141.09)</f>
        <v>141.09</v>
      </c>
      <c r="D698" s="1">
        <f>IFERROR(__xludf.DUMMYFUNCTION("""COMPUTED_VALUE"""),138.99)</f>
        <v>138.99</v>
      </c>
      <c r="E698" s="1">
        <f>IFERROR(__xludf.DUMMYFUNCTION("""COMPUTED_VALUE"""),139.79)</f>
        <v>139.79</v>
      </c>
      <c r="F698" s="1">
        <f>IFERROR(__xludf.DUMMYFUNCTION("""COMPUTED_VALUE"""),2.3347208E7)</f>
        <v>23347208</v>
      </c>
    </row>
    <row r="699">
      <c r="A699" s="2">
        <f>IFERROR(__xludf.DUMMYFUNCTION("""COMPUTED_VALUE"""),45365.66666666667)</f>
        <v>45365.66667</v>
      </c>
      <c r="B699" s="1">
        <f>IFERROR(__xludf.DUMMYFUNCTION("""COMPUTED_VALUE"""),141.19)</f>
        <v>141.19</v>
      </c>
      <c r="C699" s="1">
        <f>IFERROR(__xludf.DUMMYFUNCTION("""COMPUTED_VALUE"""),143.59)</f>
        <v>143.59</v>
      </c>
      <c r="D699" s="1">
        <f>IFERROR(__xludf.DUMMYFUNCTION("""COMPUTED_VALUE"""),140.46)</f>
        <v>140.46</v>
      </c>
      <c r="E699" s="1">
        <f>IFERROR(__xludf.DUMMYFUNCTION("""COMPUTED_VALUE"""),143.1)</f>
        <v>143.1</v>
      </c>
      <c r="F699" s="1">
        <f>IFERROR(__xludf.DUMMYFUNCTION("""COMPUTED_VALUE"""),4.2753387E7)</f>
        <v>42753387</v>
      </c>
    </row>
    <row r="700">
      <c r="A700" s="2">
        <f>IFERROR(__xludf.DUMMYFUNCTION("""COMPUTED_VALUE"""),45366.66666666667)</f>
        <v>45366.66667</v>
      </c>
      <c r="B700" s="1">
        <f>IFERROR(__xludf.DUMMYFUNCTION("""COMPUTED_VALUE"""),142.5)</f>
        <v>142.5</v>
      </c>
      <c r="C700" s="1">
        <f>IFERROR(__xludf.DUMMYFUNCTION("""COMPUTED_VALUE"""),143.18)</f>
        <v>143.18</v>
      </c>
      <c r="D700" s="1">
        <f>IFERROR(__xludf.DUMMYFUNCTION("""COMPUTED_VALUE"""),140.03)</f>
        <v>140.03</v>
      </c>
      <c r="E700" s="1">
        <f>IFERROR(__xludf.DUMMYFUNCTION("""COMPUTED_VALUE"""),141.18)</f>
        <v>141.18</v>
      </c>
      <c r="F700" s="1">
        <f>IFERROR(__xludf.DUMMYFUNCTION("""COMPUTED_VALUE"""),4.9475417E7)</f>
        <v>49475417</v>
      </c>
    </row>
    <row r="701">
      <c r="A701" s="2">
        <f>IFERROR(__xludf.DUMMYFUNCTION("""COMPUTED_VALUE"""),45369.66666666667)</f>
        <v>45369.66667</v>
      </c>
      <c r="B701" s="1">
        <f>IFERROR(__xludf.DUMMYFUNCTION("""COMPUTED_VALUE"""),148.61)</f>
        <v>148.61</v>
      </c>
      <c r="C701" s="1">
        <f>IFERROR(__xludf.DUMMYFUNCTION("""COMPUTED_VALUE"""),152.15)</f>
        <v>152.15</v>
      </c>
      <c r="D701" s="1">
        <f>IFERROR(__xludf.DUMMYFUNCTION("""COMPUTED_VALUE"""),147.17)</f>
        <v>147.17</v>
      </c>
      <c r="E701" s="1">
        <f>IFERROR(__xludf.DUMMYFUNCTION("""COMPUTED_VALUE"""),147.68)</f>
        <v>147.68</v>
      </c>
      <c r="F701" s="1">
        <f>IFERROR(__xludf.DUMMYFUNCTION("""COMPUTED_VALUE"""),6.9273699E7)</f>
        <v>69273699</v>
      </c>
    </row>
    <row r="702">
      <c r="A702" s="2">
        <f>IFERROR(__xludf.DUMMYFUNCTION("""COMPUTED_VALUE"""),45370.66666666667)</f>
        <v>45370.66667</v>
      </c>
      <c r="B702" s="1">
        <f>IFERROR(__xludf.DUMMYFUNCTION("""COMPUTED_VALUE"""),148.16)</f>
        <v>148.16</v>
      </c>
      <c r="C702" s="1">
        <f>IFERROR(__xludf.DUMMYFUNCTION("""COMPUTED_VALUE"""),148.79)</f>
        <v>148.79</v>
      </c>
      <c r="D702" s="1">
        <f>IFERROR(__xludf.DUMMYFUNCTION("""COMPUTED_VALUE"""),146.08)</f>
        <v>146.08</v>
      </c>
      <c r="E702" s="1">
        <f>IFERROR(__xludf.DUMMYFUNCTION("""COMPUTED_VALUE"""),147.03)</f>
        <v>147.03</v>
      </c>
      <c r="F702" s="1">
        <f>IFERROR(__xludf.DUMMYFUNCTION("""COMPUTED_VALUE"""),2.4070435E7)</f>
        <v>24070435</v>
      </c>
    </row>
    <row r="703">
      <c r="A703" s="2">
        <f>IFERROR(__xludf.DUMMYFUNCTION("""COMPUTED_VALUE"""),45371.66666666667)</f>
        <v>45371.66667</v>
      </c>
      <c r="B703" s="1">
        <f>IFERROR(__xludf.DUMMYFUNCTION("""COMPUTED_VALUE"""),148.0)</f>
        <v>148</v>
      </c>
      <c r="C703" s="1">
        <f>IFERROR(__xludf.DUMMYFUNCTION("""COMPUTED_VALUE"""),148.86)</f>
        <v>148.86</v>
      </c>
      <c r="D703" s="1">
        <f>IFERROR(__xludf.DUMMYFUNCTION("""COMPUTED_VALUE"""),146.74)</f>
        <v>146.74</v>
      </c>
      <c r="E703" s="1">
        <f>IFERROR(__xludf.DUMMYFUNCTION("""COMPUTED_VALUE"""),148.74)</f>
        <v>148.74</v>
      </c>
      <c r="F703" s="1">
        <f>IFERROR(__xludf.DUMMYFUNCTION("""COMPUTED_VALUE"""),2.1311501E7)</f>
        <v>21311501</v>
      </c>
    </row>
    <row r="704">
      <c r="A704" s="2">
        <f>IFERROR(__xludf.DUMMYFUNCTION("""COMPUTED_VALUE"""),45372.66666666667)</f>
        <v>45372.66667</v>
      </c>
      <c r="B704" s="1">
        <f>IFERROR(__xludf.DUMMYFUNCTION("""COMPUTED_VALUE"""),149.47)</f>
        <v>149.47</v>
      </c>
      <c r="C704" s="1">
        <f>IFERROR(__xludf.DUMMYFUNCTION("""COMPUTED_VALUE"""),150.37)</f>
        <v>150.37</v>
      </c>
      <c r="D704" s="1">
        <f>IFERROR(__xludf.DUMMYFUNCTION("""COMPUTED_VALUE"""),146.9)</f>
        <v>146.9</v>
      </c>
      <c r="E704" s="1">
        <f>IFERROR(__xludf.DUMMYFUNCTION("""COMPUTED_VALUE"""),147.6)</f>
        <v>147.6</v>
      </c>
      <c r="F704" s="1">
        <f>IFERROR(__xludf.DUMMYFUNCTION("""COMPUTED_VALUE"""),2.4755597E7)</f>
        <v>24755597</v>
      </c>
    </row>
    <row r="705">
      <c r="A705" s="2">
        <f>IFERROR(__xludf.DUMMYFUNCTION("""COMPUTED_VALUE"""),45373.66666666667)</f>
        <v>45373.66667</v>
      </c>
      <c r="B705" s="1">
        <f>IFERROR(__xludf.DUMMYFUNCTION("""COMPUTED_VALUE"""),149.12)</f>
        <v>149.12</v>
      </c>
      <c r="C705" s="1">
        <f>IFERROR(__xludf.DUMMYFUNCTION("""COMPUTED_VALUE"""),151.58)</f>
        <v>151.58</v>
      </c>
      <c r="D705" s="1">
        <f>IFERROR(__xludf.DUMMYFUNCTION("""COMPUTED_VALUE"""),148.98)</f>
        <v>148.98</v>
      </c>
      <c r="E705" s="1">
        <f>IFERROR(__xludf.DUMMYFUNCTION("""COMPUTED_VALUE"""),150.77)</f>
        <v>150.77</v>
      </c>
      <c r="F705" s="1">
        <f>IFERROR(__xludf.DUMMYFUNCTION("""COMPUTED_VALUE"""),2.9211769E7)</f>
        <v>29211769</v>
      </c>
    </row>
    <row r="706">
      <c r="A706" s="2">
        <f>IFERROR(__xludf.DUMMYFUNCTION("""COMPUTED_VALUE"""),45376.66666666667)</f>
        <v>45376.66667</v>
      </c>
      <c r="B706" s="1">
        <f>IFERROR(__xludf.DUMMYFUNCTION("""COMPUTED_VALUE"""),149.94)</f>
        <v>149.94</v>
      </c>
      <c r="C706" s="1">
        <f>IFERROR(__xludf.DUMMYFUNCTION("""COMPUTED_VALUE"""),150.38)</f>
        <v>150.38</v>
      </c>
      <c r="D706" s="1">
        <f>IFERROR(__xludf.DUMMYFUNCTION("""COMPUTED_VALUE"""),147.82)</f>
        <v>147.82</v>
      </c>
      <c r="E706" s="1">
        <f>IFERROR(__xludf.DUMMYFUNCTION("""COMPUTED_VALUE"""),150.07)</f>
        <v>150.07</v>
      </c>
      <c r="F706" s="1">
        <f>IFERROR(__xludf.DUMMYFUNCTION("""COMPUTED_VALUE"""),1.9229285E7)</f>
        <v>19229285</v>
      </c>
    </row>
    <row r="707">
      <c r="A707" s="2">
        <f>IFERROR(__xludf.DUMMYFUNCTION("""COMPUTED_VALUE"""),45377.66666666667)</f>
        <v>45377.66667</v>
      </c>
      <c r="B707" s="1">
        <f>IFERROR(__xludf.DUMMYFUNCTION("""COMPUTED_VALUE"""),150.22)</f>
        <v>150.22</v>
      </c>
      <c r="C707" s="1">
        <f>IFERROR(__xludf.DUMMYFUNCTION("""COMPUTED_VALUE"""),152.26)</f>
        <v>152.26</v>
      </c>
      <c r="D707" s="1">
        <f>IFERROR(__xludf.DUMMYFUNCTION("""COMPUTED_VALUE"""),149.98)</f>
        <v>149.98</v>
      </c>
      <c r="E707" s="1">
        <f>IFERROR(__xludf.DUMMYFUNCTION("""COMPUTED_VALUE"""),150.67)</f>
        <v>150.67</v>
      </c>
      <c r="F707" s="1">
        <f>IFERROR(__xludf.DUMMYFUNCTION("""COMPUTED_VALUE"""),2.2149137E7)</f>
        <v>22149137</v>
      </c>
    </row>
    <row r="708">
      <c r="A708" s="2">
        <f>IFERROR(__xludf.DUMMYFUNCTION("""COMPUTED_VALUE"""),45378.66666666667)</f>
        <v>45378.66667</v>
      </c>
      <c r="B708" s="1">
        <f>IFERROR(__xludf.DUMMYFUNCTION("""COMPUTED_VALUE"""),151.18)</f>
        <v>151.18</v>
      </c>
      <c r="C708" s="1">
        <f>IFERROR(__xludf.DUMMYFUNCTION("""COMPUTED_VALUE"""),151.64)</f>
        <v>151.64</v>
      </c>
      <c r="D708" s="1">
        <f>IFERROR(__xludf.DUMMYFUNCTION("""COMPUTED_VALUE"""),148.9)</f>
        <v>148.9</v>
      </c>
      <c r="E708" s="1">
        <f>IFERROR(__xludf.DUMMYFUNCTION("""COMPUTED_VALUE"""),150.87)</f>
        <v>150.87</v>
      </c>
      <c r="F708" s="1">
        <f>IFERROR(__xludf.DUMMYFUNCTION("""COMPUTED_VALUE"""),2.2879178E7)</f>
        <v>22879178</v>
      </c>
    </row>
    <row r="709">
      <c r="A709" s="2">
        <f>IFERROR(__xludf.DUMMYFUNCTION("""COMPUTED_VALUE"""),45379.66666666667)</f>
        <v>45379.66667</v>
      </c>
      <c r="B709" s="1">
        <f>IFERROR(__xludf.DUMMYFUNCTION("""COMPUTED_VALUE"""),150.85)</f>
        <v>150.85</v>
      </c>
      <c r="C709" s="1">
        <f>IFERROR(__xludf.DUMMYFUNCTION("""COMPUTED_VALUE"""),151.43)</f>
        <v>151.43</v>
      </c>
      <c r="D709" s="1">
        <f>IFERROR(__xludf.DUMMYFUNCTION("""COMPUTED_VALUE"""),150.17)</f>
        <v>150.17</v>
      </c>
      <c r="E709" s="1">
        <f>IFERROR(__xludf.DUMMYFUNCTION("""COMPUTED_VALUE"""),150.93)</f>
        <v>150.93</v>
      </c>
      <c r="F709" s="1">
        <f>IFERROR(__xludf.DUMMYFUNCTION("""COMPUTED_VALUE"""),2.448539E7)</f>
        <v>24485390</v>
      </c>
    </row>
    <row r="710">
      <c r="A710" s="2">
        <f>IFERROR(__xludf.DUMMYFUNCTION("""COMPUTED_VALUE"""),45383.66666666667)</f>
        <v>45383.66667</v>
      </c>
      <c r="B710" s="1">
        <f>IFERROR(__xludf.DUMMYFUNCTION("""COMPUTED_VALUE"""),150.69)</f>
        <v>150.69</v>
      </c>
      <c r="C710" s="1">
        <f>IFERROR(__xludf.DUMMYFUNCTION("""COMPUTED_VALUE"""),155.74)</f>
        <v>155.74</v>
      </c>
      <c r="D710" s="1">
        <f>IFERROR(__xludf.DUMMYFUNCTION("""COMPUTED_VALUE"""),150.61)</f>
        <v>150.61</v>
      </c>
      <c r="E710" s="1">
        <f>IFERROR(__xludf.DUMMYFUNCTION("""COMPUTED_VALUE"""),155.49)</f>
        <v>155.49</v>
      </c>
      <c r="F710" s="1">
        <f>IFERROR(__xludf.DUMMYFUNCTION("""COMPUTED_VALUE"""),3.1730848E7)</f>
        <v>31730848</v>
      </c>
    </row>
    <row r="711">
      <c r="A711" s="2">
        <f>IFERROR(__xludf.DUMMYFUNCTION("""COMPUTED_VALUE"""),45384.66666666667)</f>
        <v>45384.66667</v>
      </c>
      <c r="B711" s="1">
        <f>IFERROR(__xludf.DUMMYFUNCTION("""COMPUTED_VALUE"""),153.5)</f>
        <v>153.5</v>
      </c>
      <c r="C711" s="1">
        <f>IFERROR(__xludf.DUMMYFUNCTION("""COMPUTED_VALUE"""),154.7)</f>
        <v>154.7</v>
      </c>
      <c r="D711" s="1">
        <f>IFERROR(__xludf.DUMMYFUNCTION("""COMPUTED_VALUE"""),152.15)</f>
        <v>152.15</v>
      </c>
      <c r="E711" s="1">
        <f>IFERROR(__xludf.DUMMYFUNCTION("""COMPUTED_VALUE"""),154.56)</f>
        <v>154.56</v>
      </c>
      <c r="F711" s="1">
        <f>IFERROR(__xludf.DUMMYFUNCTION("""COMPUTED_VALUE"""),2.4585985E7)</f>
        <v>24585985</v>
      </c>
    </row>
    <row r="712">
      <c r="A712" s="2">
        <f>IFERROR(__xludf.DUMMYFUNCTION("""COMPUTED_VALUE"""),45385.66666666667)</f>
        <v>45385.66667</v>
      </c>
      <c r="B712" s="1">
        <f>IFERROR(__xludf.DUMMYFUNCTION("""COMPUTED_VALUE"""),153.6)</f>
        <v>153.6</v>
      </c>
      <c r="C712" s="1">
        <f>IFERROR(__xludf.DUMMYFUNCTION("""COMPUTED_VALUE"""),155.08)</f>
        <v>155.08</v>
      </c>
      <c r="D712" s="1">
        <f>IFERROR(__xludf.DUMMYFUNCTION("""COMPUTED_VALUE"""),152.73)</f>
        <v>152.73</v>
      </c>
      <c r="E712" s="1">
        <f>IFERROR(__xludf.DUMMYFUNCTION("""COMPUTED_VALUE"""),154.92)</f>
        <v>154.92</v>
      </c>
      <c r="F712" s="1">
        <f>IFERROR(__xludf.DUMMYFUNCTION("""COMPUTED_VALUE"""),2.4704991E7)</f>
        <v>24704991</v>
      </c>
    </row>
    <row r="713">
      <c r="A713" s="2">
        <f>IFERROR(__xludf.DUMMYFUNCTION("""COMPUTED_VALUE"""),45386.66666666667)</f>
        <v>45386.66667</v>
      </c>
      <c r="B713" s="1">
        <f>IFERROR(__xludf.DUMMYFUNCTION("""COMPUTED_VALUE"""),153.5)</f>
        <v>153.5</v>
      </c>
      <c r="C713" s="1">
        <f>IFERROR(__xludf.DUMMYFUNCTION("""COMPUTED_VALUE"""),154.77)</f>
        <v>154.77</v>
      </c>
      <c r="D713" s="1">
        <f>IFERROR(__xludf.DUMMYFUNCTION("""COMPUTED_VALUE"""),150.45)</f>
        <v>150.45</v>
      </c>
      <c r="E713" s="1">
        <f>IFERROR(__xludf.DUMMYFUNCTION("""COMPUTED_VALUE"""),150.53)</f>
        <v>150.53</v>
      </c>
      <c r="F713" s="1">
        <f>IFERROR(__xludf.DUMMYFUNCTION("""COMPUTED_VALUE"""),3.4724738E7)</f>
        <v>34724738</v>
      </c>
    </row>
    <row r="714">
      <c r="A714" s="2">
        <f>IFERROR(__xludf.DUMMYFUNCTION("""COMPUTED_VALUE"""),45387.66666666667)</f>
        <v>45387.66667</v>
      </c>
      <c r="B714" s="1">
        <f>IFERROR(__xludf.DUMMYFUNCTION("""COMPUTED_VALUE"""),150.03)</f>
        <v>150.03</v>
      </c>
      <c r="C714" s="1">
        <f>IFERROR(__xludf.DUMMYFUNCTION("""COMPUTED_VALUE"""),153.42)</f>
        <v>153.42</v>
      </c>
      <c r="D714" s="1">
        <f>IFERROR(__xludf.DUMMYFUNCTION("""COMPUTED_VALUE"""),149.6)</f>
        <v>149.6</v>
      </c>
      <c r="E714" s="1">
        <f>IFERROR(__xludf.DUMMYFUNCTION("""COMPUTED_VALUE"""),152.5)</f>
        <v>152.5</v>
      </c>
      <c r="F714" s="1">
        <f>IFERROR(__xludf.DUMMYFUNCTION("""COMPUTED_VALUE"""),2.3459246E7)</f>
        <v>23459246</v>
      </c>
    </row>
    <row r="715">
      <c r="A715" s="2">
        <f>IFERROR(__xludf.DUMMYFUNCTION("""COMPUTED_VALUE"""),45390.66666666667)</f>
        <v>45390.66667</v>
      </c>
      <c r="B715" s="1">
        <f>IFERROR(__xludf.DUMMYFUNCTION("""COMPUTED_VALUE"""),152.78)</f>
        <v>152.78</v>
      </c>
      <c r="C715" s="1">
        <f>IFERROR(__xludf.DUMMYFUNCTION("""COMPUTED_VALUE"""),155.27)</f>
        <v>155.27</v>
      </c>
      <c r="D715" s="1">
        <f>IFERROR(__xludf.DUMMYFUNCTION("""COMPUTED_VALUE"""),152.61)</f>
        <v>152.61</v>
      </c>
      <c r="E715" s="1">
        <f>IFERROR(__xludf.DUMMYFUNCTION("""COMPUTED_VALUE"""),154.85)</f>
        <v>154.85</v>
      </c>
      <c r="F715" s="1">
        <f>IFERROR(__xludf.DUMMYFUNCTION("""COMPUTED_VALUE"""),2.0701974E7)</f>
        <v>20701974</v>
      </c>
    </row>
    <row r="716">
      <c r="A716" s="2">
        <f>IFERROR(__xludf.DUMMYFUNCTION("""COMPUTED_VALUE"""),45391.66666666667)</f>
        <v>45391.66667</v>
      </c>
      <c r="B716" s="1">
        <f>IFERROR(__xludf.DUMMYFUNCTION("""COMPUTED_VALUE"""),156.09)</f>
        <v>156.09</v>
      </c>
      <c r="C716" s="1">
        <f>IFERROR(__xludf.DUMMYFUNCTION("""COMPUTED_VALUE"""),158.56)</f>
        <v>158.56</v>
      </c>
      <c r="D716" s="1">
        <f>IFERROR(__xludf.DUMMYFUNCTION("""COMPUTED_VALUE"""),155.19)</f>
        <v>155.19</v>
      </c>
      <c r="E716" s="1">
        <f>IFERROR(__xludf.DUMMYFUNCTION("""COMPUTED_VALUE"""),156.6)</f>
        <v>156.6</v>
      </c>
      <c r="F716" s="1">
        <f>IFERROR(__xludf.DUMMYFUNCTION("""COMPUTED_VALUE"""),3.1113013E7)</f>
        <v>31113013</v>
      </c>
    </row>
    <row r="717">
      <c r="A717" s="2">
        <f>IFERROR(__xludf.DUMMYFUNCTION("""COMPUTED_VALUE"""),45392.66666666667)</f>
        <v>45392.66667</v>
      </c>
      <c r="B717" s="1">
        <f>IFERROR(__xludf.DUMMYFUNCTION("""COMPUTED_VALUE"""),156.21)</f>
        <v>156.21</v>
      </c>
      <c r="C717" s="1">
        <f>IFERROR(__xludf.DUMMYFUNCTION("""COMPUTED_VALUE"""),156.61)</f>
        <v>156.61</v>
      </c>
      <c r="D717" s="1">
        <f>IFERROR(__xludf.DUMMYFUNCTION("""COMPUTED_VALUE"""),154.68)</f>
        <v>154.68</v>
      </c>
      <c r="E717" s="1">
        <f>IFERROR(__xludf.DUMMYFUNCTION("""COMPUTED_VALUE"""),156.14)</f>
        <v>156.14</v>
      </c>
      <c r="F717" s="1">
        <f>IFERROR(__xludf.DUMMYFUNCTION("""COMPUTED_VALUE"""),2.2838629E7)</f>
        <v>22838629</v>
      </c>
    </row>
    <row r="718">
      <c r="A718" s="2">
        <f>IFERROR(__xludf.DUMMYFUNCTION("""COMPUTED_VALUE"""),45393.66666666667)</f>
        <v>45393.66667</v>
      </c>
      <c r="B718" s="1">
        <f>IFERROR(__xludf.DUMMYFUNCTION("""COMPUTED_VALUE"""),156.91)</f>
        <v>156.91</v>
      </c>
      <c r="C718" s="1">
        <f>IFERROR(__xludf.DUMMYFUNCTION("""COMPUTED_VALUE"""),159.68)</f>
        <v>159.68</v>
      </c>
      <c r="D718" s="1">
        <f>IFERROR(__xludf.DUMMYFUNCTION("""COMPUTED_VALUE"""),156.46)</f>
        <v>156.46</v>
      </c>
      <c r="E718" s="1">
        <f>IFERROR(__xludf.DUMMYFUNCTION("""COMPUTED_VALUE"""),159.41)</f>
        <v>159.41</v>
      </c>
      <c r="F718" s="1">
        <f>IFERROR(__xludf.DUMMYFUNCTION("""COMPUTED_VALUE"""),2.7166431E7)</f>
        <v>27166431</v>
      </c>
    </row>
    <row r="719">
      <c r="A719" s="2">
        <f>IFERROR(__xludf.DUMMYFUNCTION("""COMPUTED_VALUE"""),45394.66666666667)</f>
        <v>45394.66667</v>
      </c>
      <c r="B719" s="1">
        <f>IFERROR(__xludf.DUMMYFUNCTION("""COMPUTED_VALUE"""),157.96)</f>
        <v>157.96</v>
      </c>
      <c r="C719" s="1">
        <f>IFERROR(__xludf.DUMMYFUNCTION("""COMPUTED_VALUE"""),160.22)</f>
        <v>160.22</v>
      </c>
      <c r="D719" s="1">
        <f>IFERROR(__xludf.DUMMYFUNCTION("""COMPUTED_VALUE"""),157.14)</f>
        <v>157.14</v>
      </c>
      <c r="E719" s="1">
        <f>IFERROR(__xludf.DUMMYFUNCTION("""COMPUTED_VALUE"""),157.73)</f>
        <v>157.73</v>
      </c>
      <c r="F719" s="1">
        <f>IFERROR(__xludf.DUMMYFUNCTION("""COMPUTED_VALUE"""),2.5353746E7)</f>
        <v>25353746</v>
      </c>
    </row>
    <row r="720">
      <c r="A720" s="2">
        <f>IFERROR(__xludf.DUMMYFUNCTION("""COMPUTED_VALUE"""),45397.66666666667)</f>
        <v>45397.66667</v>
      </c>
      <c r="B720" s="1">
        <f>IFERROR(__xludf.DUMMYFUNCTION("""COMPUTED_VALUE"""),158.86)</f>
        <v>158.86</v>
      </c>
      <c r="C720" s="1">
        <f>IFERROR(__xludf.DUMMYFUNCTION("""COMPUTED_VALUE"""),159.24)</f>
        <v>159.24</v>
      </c>
      <c r="D720" s="1">
        <f>IFERROR(__xludf.DUMMYFUNCTION("""COMPUTED_VALUE"""),154.59)</f>
        <v>154.59</v>
      </c>
      <c r="E720" s="1">
        <f>IFERROR(__xludf.DUMMYFUNCTION("""COMPUTED_VALUE"""),154.86)</f>
        <v>154.86</v>
      </c>
      <c r="F720" s="1">
        <f>IFERROR(__xludf.DUMMYFUNCTION("""COMPUTED_VALUE"""),2.7136472E7)</f>
        <v>27136472</v>
      </c>
    </row>
    <row r="721">
      <c r="A721" s="2">
        <f>IFERROR(__xludf.DUMMYFUNCTION("""COMPUTED_VALUE"""),45398.66666666667)</f>
        <v>45398.66667</v>
      </c>
      <c r="B721" s="1">
        <f>IFERROR(__xludf.DUMMYFUNCTION("""COMPUTED_VALUE"""),154.19)</f>
        <v>154.19</v>
      </c>
      <c r="C721" s="1">
        <f>IFERROR(__xludf.DUMMYFUNCTION("""COMPUTED_VALUE"""),155.65)</f>
        <v>155.65</v>
      </c>
      <c r="D721" s="1">
        <f>IFERROR(__xludf.DUMMYFUNCTION("""COMPUTED_VALUE"""),153.43)</f>
        <v>153.43</v>
      </c>
      <c r="E721" s="1">
        <f>IFERROR(__xludf.DUMMYFUNCTION("""COMPUTED_VALUE"""),154.4)</f>
        <v>154.4</v>
      </c>
      <c r="F721" s="1">
        <f>IFERROR(__xludf.DUMMYFUNCTION("""COMPUTED_VALUE"""),2.0779495E7)</f>
        <v>20779495</v>
      </c>
    </row>
    <row r="722">
      <c r="A722" s="2">
        <f>IFERROR(__xludf.DUMMYFUNCTION("""COMPUTED_VALUE"""),45399.66666666667)</f>
        <v>45399.66667</v>
      </c>
      <c r="B722" s="1">
        <f>IFERROR(__xludf.DUMMYFUNCTION("""COMPUTED_VALUE"""),155.62)</f>
        <v>155.62</v>
      </c>
      <c r="C722" s="1">
        <f>IFERROR(__xludf.DUMMYFUNCTION("""COMPUTED_VALUE"""),157.08)</f>
        <v>157.08</v>
      </c>
      <c r="D722" s="1">
        <f>IFERROR(__xludf.DUMMYFUNCTION("""COMPUTED_VALUE"""),154.58)</f>
        <v>154.58</v>
      </c>
      <c r="E722" s="1">
        <f>IFERROR(__xludf.DUMMYFUNCTION("""COMPUTED_VALUE"""),155.47)</f>
        <v>155.47</v>
      </c>
      <c r="F722" s="1">
        <f>IFERROR(__xludf.DUMMYFUNCTION("""COMPUTED_VALUE"""),2.176313E7)</f>
        <v>21763130</v>
      </c>
    </row>
    <row r="723">
      <c r="A723" s="2">
        <f>IFERROR(__xludf.DUMMYFUNCTION("""COMPUTED_VALUE"""),45400.66666666667)</f>
        <v>45400.66667</v>
      </c>
      <c r="B723" s="1">
        <f>IFERROR(__xludf.DUMMYFUNCTION("""COMPUTED_VALUE"""),155.34)</f>
        <v>155.34</v>
      </c>
      <c r="C723" s="1">
        <f>IFERROR(__xludf.DUMMYFUNCTION("""COMPUTED_VALUE"""),156.94)</f>
        <v>156.94</v>
      </c>
      <c r="D723" s="1">
        <f>IFERROR(__xludf.DUMMYFUNCTION("""COMPUTED_VALUE"""),154.62)</f>
        <v>154.62</v>
      </c>
      <c r="E723" s="1">
        <f>IFERROR(__xludf.DUMMYFUNCTION("""COMPUTED_VALUE"""),156.01)</f>
        <v>156.01</v>
      </c>
      <c r="F723" s="1">
        <f>IFERROR(__xludf.DUMMYFUNCTION("""COMPUTED_VALUE"""),1.9883044E7)</f>
        <v>19883044</v>
      </c>
    </row>
    <row r="724">
      <c r="A724" s="2">
        <f>IFERROR(__xludf.DUMMYFUNCTION("""COMPUTED_VALUE"""),45401.66666666667)</f>
        <v>45401.66667</v>
      </c>
      <c r="B724" s="1">
        <f>IFERROR(__xludf.DUMMYFUNCTION("""COMPUTED_VALUE"""),156.2)</f>
        <v>156.2</v>
      </c>
      <c r="C724" s="1">
        <f>IFERROR(__xludf.DUMMYFUNCTION("""COMPUTED_VALUE"""),156.36)</f>
        <v>156.36</v>
      </c>
      <c r="D724" s="1">
        <f>IFERROR(__xludf.DUMMYFUNCTION("""COMPUTED_VALUE"""),152.3)</f>
        <v>152.3</v>
      </c>
      <c r="E724" s="1">
        <f>IFERROR(__xludf.DUMMYFUNCTION("""COMPUTED_VALUE"""),154.09)</f>
        <v>154.09</v>
      </c>
      <c r="F724" s="1">
        <f>IFERROR(__xludf.DUMMYFUNCTION("""COMPUTED_VALUE"""),3.2615639E7)</f>
        <v>32615639</v>
      </c>
    </row>
    <row r="725">
      <c r="A725" s="2">
        <f>IFERROR(__xludf.DUMMYFUNCTION("""COMPUTED_VALUE"""),45404.66666666667)</f>
        <v>45404.66667</v>
      </c>
      <c r="B725" s="1">
        <f>IFERROR(__xludf.DUMMYFUNCTION("""COMPUTED_VALUE"""),154.31)</f>
        <v>154.31</v>
      </c>
      <c r="C725" s="1">
        <f>IFERROR(__xludf.DUMMYFUNCTION("""COMPUTED_VALUE"""),157.64)</f>
        <v>157.64</v>
      </c>
      <c r="D725" s="1">
        <f>IFERROR(__xludf.DUMMYFUNCTION("""COMPUTED_VALUE"""),154.06)</f>
        <v>154.06</v>
      </c>
      <c r="E725" s="1">
        <f>IFERROR(__xludf.DUMMYFUNCTION("""COMPUTED_VALUE"""),156.28)</f>
        <v>156.28</v>
      </c>
      <c r="F725" s="1">
        <f>IFERROR(__xludf.DUMMYFUNCTION("""COMPUTED_VALUE"""),2.6446206E7)</f>
        <v>26446206</v>
      </c>
    </row>
    <row r="726">
      <c r="A726" s="2">
        <f>IFERROR(__xludf.DUMMYFUNCTION("""COMPUTED_VALUE"""),45405.66666666667)</f>
        <v>45405.66667</v>
      </c>
      <c r="B726" s="1">
        <f>IFERROR(__xludf.DUMMYFUNCTION("""COMPUTED_VALUE"""),156.96)</f>
        <v>156.96</v>
      </c>
      <c r="C726" s="1">
        <f>IFERROR(__xludf.DUMMYFUNCTION("""COMPUTED_VALUE"""),158.97)</f>
        <v>158.97</v>
      </c>
      <c r="D726" s="1">
        <f>IFERROR(__xludf.DUMMYFUNCTION("""COMPUTED_VALUE"""),156.28)</f>
        <v>156.28</v>
      </c>
      <c r="E726" s="1">
        <f>IFERROR(__xludf.DUMMYFUNCTION("""COMPUTED_VALUE"""),158.26)</f>
        <v>158.26</v>
      </c>
      <c r="F726" s="1">
        <f>IFERROR(__xludf.DUMMYFUNCTION("""COMPUTED_VALUE"""),2.1151568E7)</f>
        <v>21151568</v>
      </c>
    </row>
    <row r="727">
      <c r="A727" s="2">
        <f>IFERROR(__xludf.DUMMYFUNCTION("""COMPUTED_VALUE"""),45406.66666666667)</f>
        <v>45406.66667</v>
      </c>
      <c r="B727" s="1">
        <f>IFERROR(__xludf.DUMMYFUNCTION("""COMPUTED_VALUE"""),157.49)</f>
        <v>157.49</v>
      </c>
      <c r="C727" s="1">
        <f>IFERROR(__xludf.DUMMYFUNCTION("""COMPUTED_VALUE"""),159.57)</f>
        <v>159.57</v>
      </c>
      <c r="D727" s="1">
        <f>IFERROR(__xludf.DUMMYFUNCTION("""COMPUTED_VALUE"""),157.17)</f>
        <v>157.17</v>
      </c>
      <c r="E727" s="1">
        <f>IFERROR(__xludf.DUMMYFUNCTION("""COMPUTED_VALUE"""),159.13)</f>
        <v>159.13</v>
      </c>
      <c r="F727" s="1">
        <f>IFERROR(__xludf.DUMMYFUNCTION("""COMPUTED_VALUE"""),2.2779112E7)</f>
        <v>22779112</v>
      </c>
    </row>
    <row r="728">
      <c r="A728" s="2">
        <f>IFERROR(__xludf.DUMMYFUNCTION("""COMPUTED_VALUE"""),45407.66666666667)</f>
        <v>45407.66667</v>
      </c>
      <c r="B728" s="1">
        <f>IFERROR(__xludf.DUMMYFUNCTION("""COMPUTED_VALUE"""),151.33)</f>
        <v>151.33</v>
      </c>
      <c r="C728" s="1">
        <f>IFERROR(__xludf.DUMMYFUNCTION("""COMPUTED_VALUE"""),156.49)</f>
        <v>156.49</v>
      </c>
      <c r="D728" s="1">
        <f>IFERROR(__xludf.DUMMYFUNCTION("""COMPUTED_VALUE"""),150.87)</f>
        <v>150.87</v>
      </c>
      <c r="E728" s="1">
        <f>IFERROR(__xludf.DUMMYFUNCTION("""COMPUTED_VALUE"""),156.0)</f>
        <v>156</v>
      </c>
      <c r="F728" s="1">
        <f>IFERROR(__xludf.DUMMYFUNCTION("""COMPUTED_VALUE"""),5.710973E7)</f>
        <v>57109730</v>
      </c>
    </row>
    <row r="729">
      <c r="A729" s="2">
        <f>IFERROR(__xludf.DUMMYFUNCTION("""COMPUTED_VALUE"""),45408.66666666667)</f>
        <v>45408.66667</v>
      </c>
      <c r="B729" s="1">
        <f>IFERROR(__xludf.DUMMYFUNCTION("""COMPUTED_VALUE"""),174.37)</f>
        <v>174.37</v>
      </c>
      <c r="C729" s="1">
        <f>IFERROR(__xludf.DUMMYFUNCTION("""COMPUTED_VALUE"""),174.71)</f>
        <v>174.71</v>
      </c>
      <c r="D729" s="1">
        <f>IFERROR(__xludf.DUMMYFUNCTION("""COMPUTED_VALUE"""),169.65)</f>
        <v>169.65</v>
      </c>
      <c r="E729" s="1">
        <f>IFERROR(__xludf.DUMMYFUNCTION("""COMPUTED_VALUE"""),171.95)</f>
        <v>171.95</v>
      </c>
      <c r="F729" s="1">
        <f>IFERROR(__xludf.DUMMYFUNCTION("""COMPUTED_VALUE"""),6.4665299E7)</f>
        <v>64665299</v>
      </c>
    </row>
    <row r="730">
      <c r="A730" s="2">
        <f>IFERROR(__xludf.DUMMYFUNCTION("""COMPUTED_VALUE"""),45411.66666666667)</f>
        <v>45411.66667</v>
      </c>
      <c r="B730" s="1">
        <f>IFERROR(__xludf.DUMMYFUNCTION("""COMPUTED_VALUE"""),169.06)</f>
        <v>169.06</v>
      </c>
      <c r="C730" s="1">
        <f>IFERROR(__xludf.DUMMYFUNCTION("""COMPUTED_VALUE"""),169.55)</f>
        <v>169.55</v>
      </c>
      <c r="D730" s="1">
        <f>IFERROR(__xludf.DUMMYFUNCTION("""COMPUTED_VALUE"""),165.21)</f>
        <v>165.21</v>
      </c>
      <c r="E730" s="1">
        <f>IFERROR(__xludf.DUMMYFUNCTION("""COMPUTED_VALUE"""),166.15)</f>
        <v>166.15</v>
      </c>
      <c r="F730" s="1">
        <f>IFERROR(__xludf.DUMMYFUNCTION("""COMPUTED_VALUE"""),4.5610024E7)</f>
        <v>45610024</v>
      </c>
    </row>
    <row r="731">
      <c r="A731" s="2">
        <f>IFERROR(__xludf.DUMMYFUNCTION("""COMPUTED_VALUE"""),45412.66666666667)</f>
        <v>45412.66667</v>
      </c>
      <c r="B731" s="1">
        <f>IFERROR(__xludf.DUMMYFUNCTION("""COMPUTED_VALUE"""),165.61)</f>
        <v>165.61</v>
      </c>
      <c r="C731" s="1">
        <f>IFERROR(__xludf.DUMMYFUNCTION("""COMPUTED_VALUE"""),168.1)</f>
        <v>168.1</v>
      </c>
      <c r="D731" s="1">
        <f>IFERROR(__xludf.DUMMYFUNCTION("""COMPUTED_VALUE"""),162.6)</f>
        <v>162.6</v>
      </c>
      <c r="E731" s="1">
        <f>IFERROR(__xludf.DUMMYFUNCTION("""COMPUTED_VALUE"""),162.78)</f>
        <v>162.78</v>
      </c>
      <c r="F731" s="1">
        <f>IFERROR(__xludf.DUMMYFUNCTION("""COMPUTED_VALUE"""),3.3562861E7)</f>
        <v>33562861</v>
      </c>
    </row>
    <row r="732">
      <c r="A732" s="2">
        <f>IFERROR(__xludf.DUMMYFUNCTION("""COMPUTED_VALUE"""),45413.66666666667)</f>
        <v>45413.66667</v>
      </c>
      <c r="B732" s="1">
        <f>IFERROR(__xludf.DUMMYFUNCTION("""COMPUTED_VALUE"""),164.3)</f>
        <v>164.3</v>
      </c>
      <c r="C732" s="1">
        <f>IFERROR(__xludf.DUMMYFUNCTION("""COMPUTED_VALUE"""),167.12)</f>
        <v>167.12</v>
      </c>
      <c r="D732" s="1">
        <f>IFERROR(__xludf.DUMMYFUNCTION("""COMPUTED_VALUE"""),163.09)</f>
        <v>163.09</v>
      </c>
      <c r="E732" s="1">
        <f>IFERROR(__xludf.DUMMYFUNCTION("""COMPUTED_VALUE"""),163.86)</f>
        <v>163.86</v>
      </c>
      <c r="F732" s="1">
        <f>IFERROR(__xludf.DUMMYFUNCTION("""COMPUTED_VALUE"""),3.3493151E7)</f>
        <v>33493151</v>
      </c>
    </row>
    <row r="733">
      <c r="A733" s="2">
        <f>IFERROR(__xludf.DUMMYFUNCTION("""COMPUTED_VALUE"""),45414.66666666667)</f>
        <v>45414.66667</v>
      </c>
      <c r="B733" s="1">
        <f>IFERROR(__xludf.DUMMYFUNCTION("""COMPUTED_VALUE"""),164.79)</f>
        <v>164.79</v>
      </c>
      <c r="C733" s="1">
        <f>IFERROR(__xludf.DUMMYFUNCTION("""COMPUTED_VALUE"""),166.73)</f>
        <v>166.73</v>
      </c>
      <c r="D733" s="1">
        <f>IFERROR(__xludf.DUMMYFUNCTION("""COMPUTED_VALUE"""),163.89)</f>
        <v>163.89</v>
      </c>
      <c r="E733" s="1">
        <f>IFERROR(__xludf.DUMMYFUNCTION("""COMPUTED_VALUE"""),166.62)</f>
        <v>166.62</v>
      </c>
      <c r="F733" s="1">
        <f>IFERROR(__xludf.DUMMYFUNCTION("""COMPUTED_VALUE"""),2.4294549E7)</f>
        <v>24294549</v>
      </c>
    </row>
    <row r="734">
      <c r="A734" s="2">
        <f>IFERROR(__xludf.DUMMYFUNCTION("""COMPUTED_VALUE"""),45415.66666666667)</f>
        <v>45415.66667</v>
      </c>
      <c r="B734" s="1">
        <f>IFERROR(__xludf.DUMMYFUNCTION("""COMPUTED_VALUE"""),167.56)</f>
        <v>167.56</v>
      </c>
      <c r="C734" s="1">
        <f>IFERROR(__xludf.DUMMYFUNCTION("""COMPUTED_VALUE"""),167.96)</f>
        <v>167.96</v>
      </c>
      <c r="D734" s="1">
        <f>IFERROR(__xludf.DUMMYFUNCTION("""COMPUTED_VALUE"""),163.05)</f>
        <v>163.05</v>
      </c>
      <c r="E734" s="1">
        <f>IFERROR(__xludf.DUMMYFUNCTION("""COMPUTED_VALUE"""),167.24)</f>
        <v>167.24</v>
      </c>
      <c r="F734" s="1">
        <f>IFERROR(__xludf.DUMMYFUNCTION("""COMPUTED_VALUE"""),3.4662432E7)</f>
        <v>34662432</v>
      </c>
    </row>
    <row r="735">
      <c r="A735" s="2">
        <f>IFERROR(__xludf.DUMMYFUNCTION("""COMPUTED_VALUE"""),45418.66666666667)</f>
        <v>45418.66667</v>
      </c>
      <c r="B735" s="1">
        <f>IFERROR(__xludf.DUMMYFUNCTION("""COMPUTED_VALUE"""),167.46)</f>
        <v>167.46</v>
      </c>
      <c r="C735" s="1">
        <f>IFERROR(__xludf.DUMMYFUNCTION("""COMPUTED_VALUE"""),168.14)</f>
        <v>168.14</v>
      </c>
      <c r="D735" s="1">
        <f>IFERROR(__xludf.DUMMYFUNCTION("""COMPUTED_VALUE"""),166.03)</f>
        <v>166.03</v>
      </c>
      <c r="E735" s="1">
        <f>IFERROR(__xludf.DUMMYFUNCTION("""COMPUTED_VALUE"""),168.1)</f>
        <v>168.1</v>
      </c>
      <c r="F735" s="1">
        <f>IFERROR(__xludf.DUMMYFUNCTION("""COMPUTED_VALUE"""),2.1871283E7)</f>
        <v>21871283</v>
      </c>
    </row>
    <row r="736">
      <c r="A736" s="2">
        <f>IFERROR(__xludf.DUMMYFUNCTION("""COMPUTED_VALUE"""),45419.66666666667)</f>
        <v>45419.66667</v>
      </c>
      <c r="B736" s="1">
        <f>IFERROR(__xludf.DUMMYFUNCTION("""COMPUTED_VALUE"""),168.5)</f>
        <v>168.5</v>
      </c>
      <c r="C736" s="1">
        <f>IFERROR(__xludf.DUMMYFUNCTION("""COMPUTED_VALUE"""),171.76)</f>
        <v>171.76</v>
      </c>
      <c r="D736" s="1">
        <f>IFERROR(__xludf.DUMMYFUNCTION("""COMPUTED_VALUE"""),168.39)</f>
        <v>168.39</v>
      </c>
      <c r="E736" s="1">
        <f>IFERROR(__xludf.DUMMYFUNCTION("""COMPUTED_VALUE"""),171.25)</f>
        <v>171.25</v>
      </c>
      <c r="F736" s="1">
        <f>IFERROR(__xludf.DUMMYFUNCTION("""COMPUTED_VALUE"""),2.8039696E7)</f>
        <v>28039696</v>
      </c>
    </row>
    <row r="737">
      <c r="A737" s="2">
        <f>IFERROR(__xludf.DUMMYFUNCTION("""COMPUTED_VALUE"""),45420.66666666667)</f>
        <v>45420.66667</v>
      </c>
      <c r="B737" s="1">
        <f>IFERROR(__xludf.DUMMYFUNCTION("""COMPUTED_VALUE"""),169.0)</f>
        <v>169</v>
      </c>
      <c r="C737" s="1">
        <f>IFERROR(__xludf.DUMMYFUNCTION("""COMPUTED_VALUE"""),170.15)</f>
        <v>170.15</v>
      </c>
      <c r="D737" s="1">
        <f>IFERROR(__xludf.DUMMYFUNCTION("""COMPUTED_VALUE"""),168.74)</f>
        <v>168.74</v>
      </c>
      <c r="E737" s="1">
        <f>IFERROR(__xludf.DUMMYFUNCTION("""COMPUTED_VALUE"""),169.38)</f>
        <v>169.38</v>
      </c>
      <c r="F737" s="1">
        <f>IFERROR(__xludf.DUMMYFUNCTION("""COMPUTED_VALUE"""),1.9569146E7)</f>
        <v>19569146</v>
      </c>
    </row>
    <row r="738">
      <c r="A738" s="2">
        <f>IFERROR(__xludf.DUMMYFUNCTION("""COMPUTED_VALUE"""),45421.66666666667)</f>
        <v>45421.66667</v>
      </c>
      <c r="B738" s="1">
        <f>IFERROR(__xludf.DUMMYFUNCTION("""COMPUTED_VALUE"""),169.39)</f>
        <v>169.39</v>
      </c>
      <c r="C738" s="1">
        <f>IFERROR(__xludf.DUMMYFUNCTION("""COMPUTED_VALUE"""),170.69)</f>
        <v>170.69</v>
      </c>
      <c r="D738" s="1">
        <f>IFERROR(__xludf.DUMMYFUNCTION("""COMPUTED_VALUE"""),168.18)</f>
        <v>168.18</v>
      </c>
      <c r="E738" s="1">
        <f>IFERROR(__xludf.DUMMYFUNCTION("""COMPUTED_VALUE"""),169.96)</f>
        <v>169.96</v>
      </c>
      <c r="F738" s="1">
        <f>IFERROR(__xludf.DUMMYFUNCTION("""COMPUTED_VALUE"""),1.53467E7)</f>
        <v>15346700</v>
      </c>
    </row>
    <row r="739">
      <c r="A739" s="2">
        <f>IFERROR(__xludf.DUMMYFUNCTION("""COMPUTED_VALUE"""),45422.66666666667)</f>
        <v>45422.66667</v>
      </c>
      <c r="B739" s="1">
        <f>IFERROR(__xludf.DUMMYFUNCTION("""COMPUTED_VALUE"""),168.03)</f>
        <v>168.03</v>
      </c>
      <c r="C739" s="1">
        <f>IFERROR(__xludf.DUMMYFUNCTION("""COMPUTED_VALUE"""),169.85)</f>
        <v>169.85</v>
      </c>
      <c r="D739" s="1">
        <f>IFERROR(__xludf.DUMMYFUNCTION("""COMPUTED_VALUE"""),166.19)</f>
        <v>166.19</v>
      </c>
      <c r="E739" s="1">
        <f>IFERROR(__xludf.DUMMYFUNCTION("""COMPUTED_VALUE"""),168.65)</f>
        <v>168.65</v>
      </c>
      <c r="F739" s="1">
        <f>IFERROR(__xludf.DUMMYFUNCTION("""COMPUTED_VALUE"""),2.9799931E7)</f>
        <v>29799931</v>
      </c>
    </row>
    <row r="740">
      <c r="A740" s="2">
        <f>IFERROR(__xludf.DUMMYFUNCTION("""COMPUTED_VALUE"""),45425.66666666667)</f>
        <v>45425.66667</v>
      </c>
      <c r="B740" s="1">
        <f>IFERROR(__xludf.DUMMYFUNCTION("""COMPUTED_VALUE"""),164.26)</f>
        <v>164.26</v>
      </c>
      <c r="C740" s="1">
        <f>IFERROR(__xludf.DUMMYFUNCTION("""COMPUTED_VALUE"""),169.28)</f>
        <v>169.28</v>
      </c>
      <c r="D740" s="1">
        <f>IFERROR(__xludf.DUMMYFUNCTION("""COMPUTED_VALUE"""),164.0)</f>
        <v>164</v>
      </c>
      <c r="E740" s="1">
        <f>IFERROR(__xludf.DUMMYFUNCTION("""COMPUTED_VALUE"""),169.14)</f>
        <v>169.14</v>
      </c>
      <c r="F740" s="1">
        <f>IFERROR(__xludf.DUMMYFUNCTION("""COMPUTED_VALUE"""),3.1327602E7)</f>
        <v>31327602</v>
      </c>
    </row>
    <row r="741">
      <c r="A741" s="2">
        <f>IFERROR(__xludf.DUMMYFUNCTION("""COMPUTED_VALUE"""),45426.66666666667)</f>
        <v>45426.66667</v>
      </c>
      <c r="B741" s="1">
        <f>IFERROR(__xludf.DUMMYFUNCTION("""COMPUTED_VALUE"""),169.77)</f>
        <v>169.77</v>
      </c>
      <c r="C741" s="1">
        <f>IFERROR(__xludf.DUMMYFUNCTION("""COMPUTED_VALUE"""),171.25)</f>
        <v>171.25</v>
      </c>
      <c r="D741" s="1">
        <f>IFERROR(__xludf.DUMMYFUNCTION("""COMPUTED_VALUE"""),168.8)</f>
        <v>168.8</v>
      </c>
      <c r="E741" s="1">
        <f>IFERROR(__xludf.DUMMYFUNCTION("""COMPUTED_VALUE"""),170.34)</f>
        <v>170.34</v>
      </c>
      <c r="F741" s="1">
        <f>IFERROR(__xludf.DUMMYFUNCTION("""COMPUTED_VALUE"""),2.5127138E7)</f>
        <v>25127138</v>
      </c>
    </row>
    <row r="742">
      <c r="A742" s="2">
        <f>IFERROR(__xludf.DUMMYFUNCTION("""COMPUTED_VALUE"""),45427.66666666667)</f>
        <v>45427.66667</v>
      </c>
      <c r="B742" s="1">
        <f>IFERROR(__xludf.DUMMYFUNCTION("""COMPUTED_VALUE"""),170.63)</f>
        <v>170.63</v>
      </c>
      <c r="C742" s="1">
        <f>IFERROR(__xludf.DUMMYFUNCTION("""COMPUTED_VALUE"""),172.65)</f>
        <v>172.65</v>
      </c>
      <c r="D742" s="1">
        <f>IFERROR(__xludf.DUMMYFUNCTION("""COMPUTED_VALUE"""),170.51)</f>
        <v>170.51</v>
      </c>
      <c r="E742" s="1">
        <f>IFERROR(__xludf.DUMMYFUNCTION("""COMPUTED_VALUE"""),172.51)</f>
        <v>172.51</v>
      </c>
      <c r="F742" s="1">
        <f>IFERROR(__xludf.DUMMYFUNCTION("""COMPUTED_VALUE"""),2.694837E7)</f>
        <v>26948370</v>
      </c>
    </row>
    <row r="743">
      <c r="A743" s="2">
        <f>IFERROR(__xludf.DUMMYFUNCTION("""COMPUTED_VALUE"""),45428.66666666667)</f>
        <v>45428.66667</v>
      </c>
      <c r="B743" s="1">
        <f>IFERROR(__xludf.DUMMYFUNCTION("""COMPUTED_VALUE"""),173.29)</f>
        <v>173.29</v>
      </c>
      <c r="C743" s="1">
        <f>IFERROR(__xludf.DUMMYFUNCTION("""COMPUTED_VALUE"""),175.12)</f>
        <v>175.12</v>
      </c>
      <c r="D743" s="1">
        <f>IFERROR(__xludf.DUMMYFUNCTION("""COMPUTED_VALUE"""),172.69)</f>
        <v>172.69</v>
      </c>
      <c r="E743" s="1">
        <f>IFERROR(__xludf.DUMMYFUNCTION("""COMPUTED_VALUE"""),174.18)</f>
        <v>174.18</v>
      </c>
      <c r="F743" s="1">
        <f>IFERROR(__xludf.DUMMYFUNCTION("""COMPUTED_VALUE"""),2.7867947E7)</f>
        <v>27867947</v>
      </c>
    </row>
    <row r="744">
      <c r="A744" s="2">
        <f>IFERROR(__xludf.DUMMYFUNCTION("""COMPUTED_VALUE"""),45429.66666666667)</f>
        <v>45429.66667</v>
      </c>
      <c r="B744" s="1">
        <f>IFERROR(__xludf.DUMMYFUNCTION("""COMPUTED_VALUE"""),174.18)</f>
        <v>174.18</v>
      </c>
      <c r="C744" s="1">
        <f>IFERROR(__xludf.DUMMYFUNCTION("""COMPUTED_VALUE"""),176.27)</f>
        <v>176.27</v>
      </c>
      <c r="D744" s="1">
        <f>IFERROR(__xludf.DUMMYFUNCTION("""COMPUTED_VALUE"""),173.69)</f>
        <v>173.69</v>
      </c>
      <c r="E744" s="1">
        <f>IFERROR(__xludf.DUMMYFUNCTION("""COMPUTED_VALUE"""),176.06)</f>
        <v>176.06</v>
      </c>
      <c r="F744" s="1">
        <f>IFERROR(__xludf.DUMMYFUNCTION("""COMPUTED_VALUE"""),2.4479262E7)</f>
        <v>24479262</v>
      </c>
    </row>
    <row r="745">
      <c r="A745" s="2">
        <f>IFERROR(__xludf.DUMMYFUNCTION("""COMPUTED_VALUE"""),45432.66666666667)</f>
        <v>45432.66667</v>
      </c>
      <c r="B745" s="1">
        <f>IFERROR(__xludf.DUMMYFUNCTION("""COMPUTED_VALUE"""),176.19)</f>
        <v>176.19</v>
      </c>
      <c r="C745" s="1">
        <f>IFERROR(__xludf.DUMMYFUNCTION("""COMPUTED_VALUE"""),178.77)</f>
        <v>178.77</v>
      </c>
      <c r="D745" s="1">
        <f>IFERROR(__xludf.DUMMYFUNCTION("""COMPUTED_VALUE"""),176.08)</f>
        <v>176.08</v>
      </c>
      <c r="E745" s="1">
        <f>IFERROR(__xludf.DUMMYFUNCTION("""COMPUTED_VALUE"""),176.92)</f>
        <v>176.92</v>
      </c>
      <c r="F745" s="1">
        <f>IFERROR(__xludf.DUMMYFUNCTION("""COMPUTED_VALUE"""),2.25544E7)</f>
        <v>22554400</v>
      </c>
    </row>
    <row r="746">
      <c r="A746" s="2">
        <f>IFERROR(__xludf.DUMMYFUNCTION("""COMPUTED_VALUE"""),45433.66666666667)</f>
        <v>45433.66667</v>
      </c>
      <c r="B746" s="1">
        <f>IFERROR(__xludf.DUMMYFUNCTION("""COMPUTED_VALUE"""),176.9)</f>
        <v>176.9</v>
      </c>
      <c r="C746" s="1">
        <f>IFERROR(__xludf.DUMMYFUNCTION("""COMPUTED_VALUE"""),178.15)</f>
        <v>178.15</v>
      </c>
      <c r="D746" s="1">
        <f>IFERROR(__xludf.DUMMYFUNCTION("""COMPUTED_VALUE"""),175.81)</f>
        <v>175.81</v>
      </c>
      <c r="E746" s="1">
        <f>IFERROR(__xludf.DUMMYFUNCTION("""COMPUTED_VALUE"""),177.85)</f>
        <v>177.85</v>
      </c>
      <c r="F746" s="1">
        <f>IFERROR(__xludf.DUMMYFUNCTION("""COMPUTED_VALUE"""),1.6989369E7)</f>
        <v>16989369</v>
      </c>
    </row>
    <row r="747">
      <c r="A747" s="2">
        <f>IFERROR(__xludf.DUMMYFUNCTION("""COMPUTED_VALUE"""),45434.66666666667)</f>
        <v>45434.66667</v>
      </c>
      <c r="B747" s="1">
        <f>IFERROR(__xludf.DUMMYFUNCTION("""COMPUTED_VALUE"""),176.64)</f>
        <v>176.64</v>
      </c>
      <c r="C747" s="1">
        <f>IFERROR(__xludf.DUMMYFUNCTION("""COMPUTED_VALUE"""),177.15)</f>
        <v>177.15</v>
      </c>
      <c r="D747" s="1">
        <f>IFERROR(__xludf.DUMMYFUNCTION("""COMPUTED_VALUE"""),175.21)</f>
        <v>175.21</v>
      </c>
      <c r="E747" s="1">
        <f>IFERROR(__xludf.DUMMYFUNCTION("""COMPUTED_VALUE"""),176.38)</f>
        <v>176.38</v>
      </c>
      <c r="F747" s="1">
        <f>IFERROR(__xludf.DUMMYFUNCTION("""COMPUTED_VALUE"""),1.7880042E7)</f>
        <v>17880042</v>
      </c>
    </row>
    <row r="748">
      <c r="A748" s="2">
        <f>IFERROR(__xludf.DUMMYFUNCTION("""COMPUTED_VALUE"""),45435.66666666667)</f>
        <v>45435.66667</v>
      </c>
      <c r="B748" s="1">
        <f>IFERROR(__xludf.DUMMYFUNCTION("""COMPUTED_VALUE"""),177.07)</f>
        <v>177.07</v>
      </c>
      <c r="C748" s="1">
        <f>IFERROR(__xludf.DUMMYFUNCTION("""COMPUTED_VALUE"""),178.25)</f>
        <v>178.25</v>
      </c>
      <c r="D748" s="1">
        <f>IFERROR(__xludf.DUMMYFUNCTION("""COMPUTED_VALUE"""),172.95)</f>
        <v>172.95</v>
      </c>
      <c r="E748" s="1">
        <f>IFERROR(__xludf.DUMMYFUNCTION("""COMPUTED_VALUE"""),173.55)</f>
        <v>173.55</v>
      </c>
      <c r="F748" s="1">
        <f>IFERROR(__xludf.DUMMYFUNCTION("""COMPUTED_VALUE"""),2.1024935E7)</f>
        <v>21024935</v>
      </c>
    </row>
    <row r="749">
      <c r="A749" s="2">
        <f>IFERROR(__xludf.DUMMYFUNCTION("""COMPUTED_VALUE"""),45436.66666666667)</f>
        <v>45436.66667</v>
      </c>
      <c r="B749" s="1">
        <f>IFERROR(__xludf.DUMMYFUNCTION("""COMPUTED_VALUE"""),174.98)</f>
        <v>174.98</v>
      </c>
      <c r="C749" s="1">
        <f>IFERROR(__xludf.DUMMYFUNCTION("""COMPUTED_VALUE"""),175.77)</f>
        <v>175.77</v>
      </c>
      <c r="D749" s="1">
        <f>IFERROR(__xludf.DUMMYFUNCTION("""COMPUTED_VALUE"""),173.65)</f>
        <v>173.65</v>
      </c>
      <c r="E749" s="1">
        <f>IFERROR(__xludf.DUMMYFUNCTION("""COMPUTED_VALUE"""),174.99)</f>
        <v>174.99</v>
      </c>
      <c r="F749" s="1">
        <f>IFERROR(__xludf.DUMMYFUNCTION("""COMPUTED_VALUE"""),1.6579438E7)</f>
        <v>16579438</v>
      </c>
    </row>
    <row r="750">
      <c r="A750" s="2">
        <f>IFERROR(__xludf.DUMMYFUNCTION("""COMPUTED_VALUE"""),45440.66666666667)</f>
        <v>45440.66667</v>
      </c>
      <c r="B750" s="1">
        <f>IFERROR(__xludf.DUMMYFUNCTION("""COMPUTED_VALUE"""),174.45)</f>
        <v>174.45</v>
      </c>
      <c r="C750" s="1">
        <f>IFERROR(__xludf.DUMMYFUNCTION("""COMPUTED_VALUE"""),177.27)</f>
        <v>177.27</v>
      </c>
      <c r="D750" s="1">
        <f>IFERROR(__xludf.DUMMYFUNCTION("""COMPUTED_VALUE"""),174.37)</f>
        <v>174.37</v>
      </c>
      <c r="E750" s="1">
        <f>IFERROR(__xludf.DUMMYFUNCTION("""COMPUTED_VALUE"""),176.4)</f>
        <v>176.4</v>
      </c>
      <c r="F750" s="1">
        <f>IFERROR(__xludf.DUMMYFUNCTION("""COMPUTED_VALUE"""),2.0572157E7)</f>
        <v>20572157</v>
      </c>
    </row>
    <row r="751">
      <c r="A751" s="2">
        <f>IFERROR(__xludf.DUMMYFUNCTION("""COMPUTED_VALUE"""),45441.66666666667)</f>
        <v>45441.66667</v>
      </c>
      <c r="B751" s="1">
        <f>IFERROR(__xludf.DUMMYFUNCTION("""COMPUTED_VALUE"""),175.43)</f>
        <v>175.43</v>
      </c>
      <c r="C751" s="1">
        <f>IFERROR(__xludf.DUMMYFUNCTION("""COMPUTED_VALUE"""),176.84)</f>
        <v>176.84</v>
      </c>
      <c r="D751" s="1">
        <f>IFERROR(__xludf.DUMMYFUNCTION("""COMPUTED_VALUE"""),174.72)</f>
        <v>174.72</v>
      </c>
      <c r="E751" s="1">
        <f>IFERROR(__xludf.DUMMYFUNCTION("""COMPUTED_VALUE"""),175.9)</f>
        <v>175.9</v>
      </c>
      <c r="F751" s="1">
        <f>IFERROR(__xludf.DUMMYFUNCTION("""COMPUTED_VALUE"""),2.3388693E7)</f>
        <v>23388693</v>
      </c>
    </row>
    <row r="752">
      <c r="A752" s="2">
        <f>IFERROR(__xludf.DUMMYFUNCTION("""COMPUTED_VALUE"""),45442.66666666667)</f>
        <v>45442.66667</v>
      </c>
      <c r="B752" s="1">
        <f>IFERROR(__xludf.DUMMYFUNCTION("""COMPUTED_VALUE"""),175.2)</f>
        <v>175.2</v>
      </c>
      <c r="C752" s="1">
        <f>IFERROR(__xludf.DUMMYFUNCTION("""COMPUTED_VALUE"""),175.22)</f>
        <v>175.22</v>
      </c>
      <c r="D752" s="1">
        <f>IFERROR(__xludf.DUMMYFUNCTION("""COMPUTED_VALUE"""),171.79)</f>
        <v>171.79</v>
      </c>
      <c r="E752" s="1">
        <f>IFERROR(__xludf.DUMMYFUNCTION("""COMPUTED_VALUE"""),172.11)</f>
        <v>172.11</v>
      </c>
      <c r="F752" s="1">
        <f>IFERROR(__xludf.DUMMYFUNCTION("""COMPUTED_VALUE"""),2.2958677E7)</f>
        <v>22958677</v>
      </c>
    </row>
    <row r="753">
      <c r="A753" s="2">
        <f>IFERROR(__xludf.DUMMYFUNCTION("""COMPUTED_VALUE"""),45443.66666666667)</f>
        <v>45443.66667</v>
      </c>
      <c r="B753" s="1">
        <f>IFERROR(__xludf.DUMMYFUNCTION("""COMPUTED_VALUE"""),171.86)</f>
        <v>171.86</v>
      </c>
      <c r="C753" s="1">
        <f>IFERROR(__xludf.DUMMYFUNCTION("""COMPUTED_VALUE"""),173.06)</f>
        <v>173.06</v>
      </c>
      <c r="D753" s="1">
        <f>IFERROR(__xludf.DUMMYFUNCTION("""COMPUTED_VALUE"""),169.44)</f>
        <v>169.44</v>
      </c>
      <c r="E753" s="1">
        <f>IFERROR(__xludf.DUMMYFUNCTION("""COMPUTED_VALUE"""),172.5)</f>
        <v>172.5</v>
      </c>
      <c r="F753" s="1">
        <f>IFERROR(__xludf.DUMMYFUNCTION("""COMPUTED_VALUE"""),3.7638876E7)</f>
        <v>37638876</v>
      </c>
    </row>
    <row r="754">
      <c r="A754" s="2">
        <f>IFERROR(__xludf.DUMMYFUNCTION("""COMPUTED_VALUE"""),45446.66666666667)</f>
        <v>45446.66667</v>
      </c>
      <c r="B754" s="1">
        <f>IFERROR(__xludf.DUMMYFUNCTION("""COMPUTED_VALUE"""),172.54)</f>
        <v>172.54</v>
      </c>
      <c r="C754" s="1">
        <f>IFERROR(__xludf.DUMMYFUNCTION("""COMPUTED_VALUE"""),174.53)</f>
        <v>174.53</v>
      </c>
      <c r="D754" s="1">
        <f>IFERROR(__xludf.DUMMYFUNCTION("""COMPUTED_VALUE"""),171.16)</f>
        <v>171.16</v>
      </c>
      <c r="E754" s="1">
        <f>IFERROR(__xludf.DUMMYFUNCTION("""COMPUTED_VALUE"""),173.17)</f>
        <v>173.17</v>
      </c>
      <c r="F754" s="1">
        <f>IFERROR(__xludf.DUMMYFUNCTION("""COMPUTED_VALUE"""),2.7459118E7)</f>
        <v>27459118</v>
      </c>
    </row>
    <row r="755">
      <c r="A755" s="2">
        <f>IFERROR(__xludf.DUMMYFUNCTION("""COMPUTED_VALUE"""),45447.66666666667)</f>
        <v>45447.66667</v>
      </c>
      <c r="B755" s="1">
        <f>IFERROR(__xludf.DUMMYFUNCTION("""COMPUTED_VALUE"""),173.28)</f>
        <v>173.28</v>
      </c>
      <c r="C755" s="1">
        <f>IFERROR(__xludf.DUMMYFUNCTION("""COMPUTED_VALUE"""),173.85)</f>
        <v>173.85</v>
      </c>
      <c r="D755" s="1">
        <f>IFERROR(__xludf.DUMMYFUNCTION("""COMPUTED_VALUE"""),171.89)</f>
        <v>171.89</v>
      </c>
      <c r="E755" s="1">
        <f>IFERROR(__xludf.DUMMYFUNCTION("""COMPUTED_VALUE"""),173.79)</f>
        <v>173.79</v>
      </c>
      <c r="F755" s="1">
        <f>IFERROR(__xludf.DUMMYFUNCTION("""COMPUTED_VALUE"""),2.6879596E7)</f>
        <v>26879596</v>
      </c>
    </row>
    <row r="756">
      <c r="A756" s="2">
        <f>IFERROR(__xludf.DUMMYFUNCTION("""COMPUTED_VALUE"""),45448.66666666667)</f>
        <v>45448.66667</v>
      </c>
      <c r="B756" s="1">
        <f>IFERROR(__xludf.DUMMYFUNCTION("""COMPUTED_VALUE"""),175.2)</f>
        <v>175.2</v>
      </c>
      <c r="C756" s="1">
        <f>IFERROR(__xludf.DUMMYFUNCTION("""COMPUTED_VALUE"""),176.65)</f>
        <v>176.65</v>
      </c>
      <c r="D756" s="1">
        <f>IFERROR(__xludf.DUMMYFUNCTION("""COMPUTED_VALUE"""),173.93)</f>
        <v>173.93</v>
      </c>
      <c r="E756" s="1">
        <f>IFERROR(__xludf.DUMMYFUNCTION("""COMPUTED_VALUE"""),175.41)</f>
        <v>175.41</v>
      </c>
      <c r="F756" s="1">
        <f>IFERROR(__xludf.DUMMYFUNCTION("""COMPUTED_VALUE"""),2.2068519E7)</f>
        <v>22068519</v>
      </c>
    </row>
    <row r="757">
      <c r="A757" s="2">
        <f>IFERROR(__xludf.DUMMYFUNCTION("""COMPUTED_VALUE"""),45449.66666666667)</f>
        <v>45449.66667</v>
      </c>
      <c r="B757" s="1">
        <f>IFERROR(__xludf.DUMMYFUNCTION("""COMPUTED_VALUE"""),175.9)</f>
        <v>175.9</v>
      </c>
      <c r="C757" s="1">
        <f>IFERROR(__xludf.DUMMYFUNCTION("""COMPUTED_VALUE"""),177.15)</f>
        <v>177.15</v>
      </c>
      <c r="D757" s="1">
        <f>IFERROR(__xludf.DUMMYFUNCTION("""COMPUTED_VALUE"""),175.75)</f>
        <v>175.75</v>
      </c>
      <c r="E757" s="1">
        <f>IFERROR(__xludf.DUMMYFUNCTION("""COMPUTED_VALUE"""),176.73)</f>
        <v>176.73</v>
      </c>
      <c r="F757" s="1">
        <f>IFERROR(__xludf.DUMMYFUNCTION("""COMPUTED_VALUE"""),2.3251013E7)</f>
        <v>23251013</v>
      </c>
    </row>
    <row r="758">
      <c r="A758" s="2">
        <f>IFERROR(__xludf.DUMMYFUNCTION("""COMPUTED_VALUE"""),45450.66666666667)</f>
        <v>45450.66667</v>
      </c>
      <c r="B758" s="1">
        <f>IFERROR(__xludf.DUMMYFUNCTION("""COMPUTED_VALUE"""),177.05)</f>
        <v>177.05</v>
      </c>
      <c r="C758" s="1">
        <f>IFERROR(__xludf.DUMMYFUNCTION("""COMPUTED_VALUE"""),177.87)</f>
        <v>177.87</v>
      </c>
      <c r="D758" s="1">
        <f>IFERROR(__xludf.DUMMYFUNCTION("""COMPUTED_VALUE"""),174.3)</f>
        <v>174.3</v>
      </c>
      <c r="E758" s="1">
        <f>IFERROR(__xludf.DUMMYFUNCTION("""COMPUTED_VALUE"""),174.46)</f>
        <v>174.46</v>
      </c>
      <c r="F758" s="1">
        <f>IFERROR(__xludf.DUMMYFUNCTION("""COMPUTED_VALUE"""),1.9661399E7)</f>
        <v>19661399</v>
      </c>
    </row>
    <row r="759">
      <c r="A759" s="2">
        <f>IFERROR(__xludf.DUMMYFUNCTION("""COMPUTED_VALUE"""),45453.66666666667)</f>
        <v>45453.66667</v>
      </c>
      <c r="B759" s="1">
        <f>IFERROR(__xludf.DUMMYFUNCTION("""COMPUTED_VALUE"""),174.97)</f>
        <v>174.97</v>
      </c>
      <c r="C759" s="1">
        <f>IFERROR(__xludf.DUMMYFUNCTION("""COMPUTED_VALUE"""),177.06)</f>
        <v>177.06</v>
      </c>
      <c r="D759" s="1">
        <f>IFERROR(__xludf.DUMMYFUNCTION("""COMPUTED_VALUE"""),172.76)</f>
        <v>172.76</v>
      </c>
      <c r="E759" s="1">
        <f>IFERROR(__xludf.DUMMYFUNCTION("""COMPUTED_VALUE"""),175.01)</f>
        <v>175.01</v>
      </c>
      <c r="F759" s="1">
        <f>IFERROR(__xludf.DUMMYFUNCTION("""COMPUTED_VALUE"""),2.3779218E7)</f>
        <v>23779218</v>
      </c>
    </row>
    <row r="760">
      <c r="A760" s="2">
        <f>IFERROR(__xludf.DUMMYFUNCTION("""COMPUTED_VALUE"""),45454.66666666667)</f>
        <v>45454.66667</v>
      </c>
      <c r="B760" s="1">
        <f>IFERROR(__xludf.DUMMYFUNCTION("""COMPUTED_VALUE"""),176.22)</f>
        <v>176.22</v>
      </c>
      <c r="C760" s="1">
        <f>IFERROR(__xludf.DUMMYFUNCTION("""COMPUTED_VALUE"""),176.84)</f>
        <v>176.84</v>
      </c>
      <c r="D760" s="1">
        <f>IFERROR(__xludf.DUMMYFUNCTION("""COMPUTED_VALUE"""),173.77)</f>
        <v>173.77</v>
      </c>
      <c r="E760" s="1">
        <f>IFERROR(__xludf.DUMMYFUNCTION("""COMPUTED_VALUE"""),176.62)</f>
        <v>176.62</v>
      </c>
      <c r="F760" s="1">
        <f>IFERROR(__xludf.DUMMYFUNCTION("""COMPUTED_VALUE"""),2.1540582E7)</f>
        <v>21540582</v>
      </c>
    </row>
    <row r="761">
      <c r="A761" s="2">
        <f>IFERROR(__xludf.DUMMYFUNCTION("""COMPUTED_VALUE"""),45455.66666666667)</f>
        <v>45455.66667</v>
      </c>
      <c r="B761" s="1">
        <f>IFERROR(__xludf.DUMMYFUNCTION("""COMPUTED_VALUE"""),178.25)</f>
        <v>178.25</v>
      </c>
      <c r="C761" s="1">
        <f>IFERROR(__xludf.DUMMYFUNCTION("""COMPUTED_VALUE"""),180.41)</f>
        <v>180.41</v>
      </c>
      <c r="D761" s="1">
        <f>IFERROR(__xludf.DUMMYFUNCTION("""COMPUTED_VALUE"""),176.11)</f>
        <v>176.11</v>
      </c>
      <c r="E761" s="1">
        <f>IFERROR(__xludf.DUMMYFUNCTION("""COMPUTED_VALUE"""),177.79)</f>
        <v>177.79</v>
      </c>
      <c r="F761" s="1">
        <f>IFERROR(__xludf.DUMMYFUNCTION("""COMPUTED_VALUE"""),2.7864737E7)</f>
        <v>27864737</v>
      </c>
    </row>
    <row r="762">
      <c r="A762" s="2">
        <f>IFERROR(__xludf.DUMMYFUNCTION("""COMPUTED_VALUE"""),45456.66666666667)</f>
        <v>45456.66667</v>
      </c>
      <c r="B762" s="1">
        <f>IFERROR(__xludf.DUMMYFUNCTION("""COMPUTED_VALUE"""),176.11)</f>
        <v>176.11</v>
      </c>
      <c r="C762" s="1">
        <f>IFERROR(__xludf.DUMMYFUNCTION("""COMPUTED_VALUE"""),176.74)</f>
        <v>176.74</v>
      </c>
      <c r="D762" s="1">
        <f>IFERROR(__xludf.DUMMYFUNCTION("""COMPUTED_VALUE"""),174.88)</f>
        <v>174.88</v>
      </c>
      <c r="E762" s="1">
        <f>IFERROR(__xludf.DUMMYFUNCTION("""COMPUTED_VALUE"""),175.16)</f>
        <v>175.16</v>
      </c>
      <c r="F762" s="1">
        <f>IFERROR(__xludf.DUMMYFUNCTION("""COMPUTED_VALUE"""),2.0913299E7)</f>
        <v>20913299</v>
      </c>
    </row>
    <row r="763">
      <c r="A763" s="2">
        <f>IFERROR(__xludf.DUMMYFUNCTION("""COMPUTED_VALUE"""),45457.66666666667)</f>
        <v>45457.66667</v>
      </c>
      <c r="B763" s="1">
        <f>IFERROR(__xludf.DUMMYFUNCTION("""COMPUTED_VALUE"""),174.22)</f>
        <v>174.22</v>
      </c>
      <c r="C763" s="1">
        <f>IFERROR(__xludf.DUMMYFUNCTION("""COMPUTED_VALUE"""),177.06)</f>
        <v>177.06</v>
      </c>
      <c r="D763" s="1">
        <f>IFERROR(__xludf.DUMMYFUNCTION("""COMPUTED_VALUE"""),174.15)</f>
        <v>174.15</v>
      </c>
      <c r="E763" s="1">
        <f>IFERROR(__xludf.DUMMYFUNCTION("""COMPUTED_VALUE"""),176.79)</f>
        <v>176.79</v>
      </c>
      <c r="F763" s="1">
        <f>IFERROR(__xludf.DUMMYFUNCTION("""COMPUTED_VALUE"""),1.8063555E7)</f>
        <v>18063555</v>
      </c>
    </row>
    <row r="764">
      <c r="A764" s="2">
        <f>IFERROR(__xludf.DUMMYFUNCTION("""COMPUTED_VALUE"""),45460.66666666667)</f>
        <v>45460.66667</v>
      </c>
      <c r="B764" s="1">
        <f>IFERROR(__xludf.DUMMYFUNCTION("""COMPUTED_VALUE"""),175.46)</f>
        <v>175.46</v>
      </c>
      <c r="C764" s="1">
        <f>IFERROR(__xludf.DUMMYFUNCTION("""COMPUTED_VALUE"""),178.36)</f>
        <v>178.36</v>
      </c>
      <c r="D764" s="1">
        <f>IFERROR(__xludf.DUMMYFUNCTION("""COMPUTED_VALUE"""),174.81)</f>
        <v>174.81</v>
      </c>
      <c r="E764" s="1">
        <f>IFERROR(__xludf.DUMMYFUNCTION("""COMPUTED_VALUE"""),177.24)</f>
        <v>177.24</v>
      </c>
      <c r="F764" s="1">
        <f>IFERROR(__xludf.DUMMYFUNCTION("""COMPUTED_VALUE"""),1.9618497E7)</f>
        <v>19618497</v>
      </c>
    </row>
    <row r="765">
      <c r="A765" s="2">
        <f>IFERROR(__xludf.DUMMYFUNCTION("""COMPUTED_VALUE"""),45461.66666666667)</f>
        <v>45461.66667</v>
      </c>
      <c r="B765" s="1">
        <f>IFERROR(__xludf.DUMMYFUNCTION("""COMPUTED_VALUE"""),177.14)</f>
        <v>177.14</v>
      </c>
      <c r="C765" s="1">
        <f>IFERROR(__xludf.DUMMYFUNCTION("""COMPUTED_VALUE"""),177.39)</f>
        <v>177.39</v>
      </c>
      <c r="D765" s="1">
        <f>IFERROR(__xludf.DUMMYFUNCTION("""COMPUTED_VALUE"""),174.1)</f>
        <v>174.1</v>
      </c>
      <c r="E765" s="1">
        <f>IFERROR(__xludf.DUMMYFUNCTION("""COMPUTED_VALUE"""),175.09)</f>
        <v>175.09</v>
      </c>
      <c r="F765" s="1">
        <f>IFERROR(__xludf.DUMMYFUNCTION("""COMPUTED_VALUE"""),2.1869857E7)</f>
        <v>21869857</v>
      </c>
    </row>
    <row r="766">
      <c r="A766" s="2">
        <f>IFERROR(__xludf.DUMMYFUNCTION("""COMPUTED_VALUE"""),45463.66666666667)</f>
        <v>45463.66667</v>
      </c>
      <c r="B766" s="1">
        <f>IFERROR(__xludf.DUMMYFUNCTION("""COMPUTED_VALUE"""),175.37)</f>
        <v>175.37</v>
      </c>
      <c r="C766" s="1">
        <f>IFERROR(__xludf.DUMMYFUNCTION("""COMPUTED_VALUE"""),177.29)</f>
        <v>177.29</v>
      </c>
      <c r="D766" s="1">
        <f>IFERROR(__xludf.DUMMYFUNCTION("""COMPUTED_VALUE"""),174.99)</f>
        <v>174.99</v>
      </c>
      <c r="E766" s="1">
        <f>IFERROR(__xludf.DUMMYFUNCTION("""COMPUTED_VALUE"""),176.3)</f>
        <v>176.3</v>
      </c>
      <c r="F766" s="1">
        <f>IFERROR(__xludf.DUMMYFUNCTION("""COMPUTED_VALUE"""),2.0160085E7)</f>
        <v>20160085</v>
      </c>
    </row>
    <row r="767">
      <c r="A767" s="2">
        <f>IFERROR(__xludf.DUMMYFUNCTION("""COMPUTED_VALUE"""),45464.66666666667)</f>
        <v>45464.66667</v>
      </c>
      <c r="B767" s="1">
        <f>IFERROR(__xludf.DUMMYFUNCTION("""COMPUTED_VALUE"""),177.0)</f>
        <v>177</v>
      </c>
      <c r="C767" s="1">
        <f>IFERROR(__xludf.DUMMYFUNCTION("""COMPUTED_VALUE"""),180.85)</f>
        <v>180.85</v>
      </c>
      <c r="D767" s="1">
        <f>IFERROR(__xludf.DUMMYFUNCTION("""COMPUTED_VALUE"""),176.61)</f>
        <v>176.61</v>
      </c>
      <c r="E767" s="1">
        <f>IFERROR(__xludf.DUMMYFUNCTION("""COMPUTED_VALUE"""),179.63)</f>
        <v>179.63</v>
      </c>
      <c r="F767" s="1">
        <f>IFERROR(__xludf.DUMMYFUNCTION("""COMPUTED_VALUE"""),5.8582743E7)</f>
        <v>58582743</v>
      </c>
    </row>
    <row r="768">
      <c r="A768" s="2">
        <f>IFERROR(__xludf.DUMMYFUNCTION("""COMPUTED_VALUE"""),45467.66666666667)</f>
        <v>45467.66667</v>
      </c>
      <c r="B768" s="1">
        <f>IFERROR(__xludf.DUMMYFUNCTION("""COMPUTED_VALUE"""),180.16)</f>
        <v>180.16</v>
      </c>
      <c r="C768" s="1">
        <f>IFERROR(__xludf.DUMMYFUNCTION("""COMPUTED_VALUE"""),180.89)</f>
        <v>180.89</v>
      </c>
      <c r="D768" s="1">
        <f>IFERROR(__xludf.DUMMYFUNCTION("""COMPUTED_VALUE"""),178.67)</f>
        <v>178.67</v>
      </c>
      <c r="E768" s="1">
        <f>IFERROR(__xludf.DUMMYFUNCTION("""COMPUTED_VALUE"""),179.22)</f>
        <v>179.22</v>
      </c>
      <c r="F768" s="1">
        <f>IFERROR(__xludf.DUMMYFUNCTION("""COMPUTED_VALUE"""),1.8298012E7)</f>
        <v>18298012</v>
      </c>
    </row>
    <row r="769">
      <c r="A769" s="2">
        <f>IFERROR(__xludf.DUMMYFUNCTION("""COMPUTED_VALUE"""),45468.66666666667)</f>
        <v>45468.66667</v>
      </c>
      <c r="B769" s="1">
        <f>IFERROR(__xludf.DUMMYFUNCTION("""COMPUTED_VALUE"""),179.62)</f>
        <v>179.62</v>
      </c>
      <c r="C769" s="1">
        <f>IFERROR(__xludf.DUMMYFUNCTION("""COMPUTED_VALUE"""),184.29)</f>
        <v>184.29</v>
      </c>
      <c r="D769" s="1">
        <f>IFERROR(__xludf.DUMMYFUNCTION("""COMPUTED_VALUE"""),179.42)</f>
        <v>179.42</v>
      </c>
      <c r="E769" s="1">
        <f>IFERROR(__xludf.DUMMYFUNCTION("""COMPUTED_VALUE"""),184.03)</f>
        <v>184.03</v>
      </c>
      <c r="F769" s="1">
        <f>IFERROR(__xludf.DUMMYFUNCTION("""COMPUTED_VALUE"""),2.3235589E7)</f>
        <v>23235589</v>
      </c>
    </row>
    <row r="770">
      <c r="A770" s="2">
        <f>IFERROR(__xludf.DUMMYFUNCTION("""COMPUTED_VALUE"""),45469.66666666667)</f>
        <v>45469.66667</v>
      </c>
      <c r="B770" s="1">
        <f>IFERROR(__xludf.DUMMYFUNCTION("""COMPUTED_VALUE"""),182.63)</f>
        <v>182.63</v>
      </c>
      <c r="C770" s="1">
        <f>IFERROR(__xludf.DUMMYFUNCTION("""COMPUTED_VALUE"""),184.51)</f>
        <v>184.51</v>
      </c>
      <c r="D770" s="1">
        <f>IFERROR(__xludf.DUMMYFUNCTION("""COMPUTED_VALUE"""),182.48)</f>
        <v>182.48</v>
      </c>
      <c r="E770" s="1">
        <f>IFERROR(__xludf.DUMMYFUNCTION("""COMPUTED_VALUE"""),183.88)</f>
        <v>183.88</v>
      </c>
      <c r="F770" s="1">
        <f>IFERROR(__xludf.DUMMYFUNCTION("""COMPUTED_VALUE"""),1.9838972E7)</f>
        <v>19838972</v>
      </c>
    </row>
    <row r="771">
      <c r="A771" s="2">
        <f>IFERROR(__xludf.DUMMYFUNCTION("""COMPUTED_VALUE"""),45470.66666666667)</f>
        <v>45470.66667</v>
      </c>
      <c r="B771" s="1">
        <f>IFERROR(__xludf.DUMMYFUNCTION("""COMPUTED_VALUE"""),184.18)</f>
        <v>184.18</v>
      </c>
      <c r="C771" s="1">
        <f>IFERROR(__xludf.DUMMYFUNCTION("""COMPUTED_VALUE"""),186.05)</f>
        <v>186.05</v>
      </c>
      <c r="D771" s="1">
        <f>IFERROR(__xludf.DUMMYFUNCTION("""COMPUTED_VALUE"""),184.02)</f>
        <v>184.02</v>
      </c>
      <c r="E771" s="1">
        <f>IFERROR(__xludf.DUMMYFUNCTION("""COMPUTED_VALUE"""),185.41)</f>
        <v>185.41</v>
      </c>
      <c r="F771" s="1">
        <f>IFERROR(__xludf.DUMMYFUNCTION("""COMPUTED_VALUE"""),1.8848884E7)</f>
        <v>18848884</v>
      </c>
    </row>
    <row r="772">
      <c r="A772" s="2">
        <f>IFERROR(__xludf.DUMMYFUNCTION("""COMPUTED_VALUE"""),45471.66666666667)</f>
        <v>45471.66667</v>
      </c>
      <c r="B772" s="1">
        <f>IFERROR(__xludf.DUMMYFUNCTION("""COMPUTED_VALUE"""),184.32)</f>
        <v>184.32</v>
      </c>
      <c r="C772" s="1">
        <f>IFERROR(__xludf.DUMMYFUNCTION("""COMPUTED_VALUE"""),185.13)</f>
        <v>185.13</v>
      </c>
      <c r="D772" s="1">
        <f>IFERROR(__xludf.DUMMYFUNCTION("""COMPUTED_VALUE"""),181.96)</f>
        <v>181.96</v>
      </c>
      <c r="E772" s="1">
        <f>IFERROR(__xludf.DUMMYFUNCTION("""COMPUTED_VALUE"""),182.15)</f>
        <v>182.15</v>
      </c>
      <c r="F772" s="1">
        <f>IFERROR(__xludf.DUMMYFUNCTION("""COMPUTED_VALUE"""),2.9156644E7)</f>
        <v>29156644</v>
      </c>
    </row>
    <row r="773">
      <c r="A773" s="2">
        <f>IFERROR(__xludf.DUMMYFUNCTION("""COMPUTED_VALUE"""),45474.66666666667)</f>
        <v>45474.66667</v>
      </c>
      <c r="B773" s="1">
        <f>IFERROR(__xludf.DUMMYFUNCTION("""COMPUTED_VALUE"""),183.03)</f>
        <v>183.03</v>
      </c>
      <c r="C773" s="1">
        <f>IFERROR(__xludf.DUMMYFUNCTION("""COMPUTED_VALUE"""),183.88)</f>
        <v>183.88</v>
      </c>
      <c r="D773" s="1">
        <f>IFERROR(__xludf.DUMMYFUNCTION("""COMPUTED_VALUE"""),181.3)</f>
        <v>181.3</v>
      </c>
      <c r="E773" s="1">
        <f>IFERROR(__xludf.DUMMYFUNCTION("""COMPUTED_VALUE"""),182.99)</f>
        <v>182.99</v>
      </c>
      <c r="F773" s="1">
        <f>IFERROR(__xludf.DUMMYFUNCTION("""COMPUTED_VALUE"""),1.6006128E7)</f>
        <v>16006128</v>
      </c>
    </row>
    <row r="774">
      <c r="A774" s="2">
        <f>IFERROR(__xludf.DUMMYFUNCTION("""COMPUTED_VALUE"""),45475.66666666667)</f>
        <v>45475.66667</v>
      </c>
      <c r="B774" s="1">
        <f>IFERROR(__xludf.DUMMYFUNCTION("""COMPUTED_VALUE"""),182.05)</f>
        <v>182.05</v>
      </c>
      <c r="C774" s="1">
        <f>IFERROR(__xludf.DUMMYFUNCTION("""COMPUTED_VALUE"""),185.57)</f>
        <v>185.57</v>
      </c>
      <c r="D774" s="1">
        <f>IFERROR(__xludf.DUMMYFUNCTION("""COMPUTED_VALUE"""),181.56)</f>
        <v>181.56</v>
      </c>
      <c r="E774" s="1">
        <f>IFERROR(__xludf.DUMMYFUNCTION("""COMPUTED_VALUE"""),185.24)</f>
        <v>185.24</v>
      </c>
      <c r="F774" s="1">
        <f>IFERROR(__xludf.DUMMYFUNCTION("""COMPUTED_VALUE"""),1.7372485E7)</f>
        <v>17372485</v>
      </c>
    </row>
    <row r="775">
      <c r="A775" s="2">
        <f>IFERROR(__xludf.DUMMYFUNCTION("""COMPUTED_VALUE"""),45476.54513888889)</f>
        <v>45476.54514</v>
      </c>
      <c r="B775" s="1">
        <f>IFERROR(__xludf.DUMMYFUNCTION("""COMPUTED_VALUE"""),184.85)</f>
        <v>184.85</v>
      </c>
      <c r="C775" s="1">
        <f>IFERROR(__xludf.DUMMYFUNCTION("""COMPUTED_VALUE"""),186.09)</f>
        <v>186.09</v>
      </c>
      <c r="D775" s="1">
        <f>IFERROR(__xludf.DUMMYFUNCTION("""COMPUTED_VALUE"""),184.0)</f>
        <v>184</v>
      </c>
      <c r="E775" s="1">
        <f>IFERROR(__xludf.DUMMYFUNCTION("""COMPUTED_VALUE"""),185.82)</f>
        <v>185.82</v>
      </c>
      <c r="F775" s="1">
        <f>IFERROR(__xludf.DUMMYFUNCTION("""COMPUTED_VALUE"""),1.0242126E7)</f>
        <v>10242126</v>
      </c>
    </row>
    <row r="776">
      <c r="A776" s="2">
        <f>IFERROR(__xludf.DUMMYFUNCTION("""COMPUTED_VALUE"""),45478.66666666667)</f>
        <v>45478.66667</v>
      </c>
      <c r="B776" s="1">
        <f>IFERROR(__xludf.DUMMYFUNCTION("""COMPUTED_VALUE"""),185.86)</f>
        <v>185.86</v>
      </c>
      <c r="C776" s="1">
        <f>IFERROR(__xludf.DUMMYFUNCTION("""COMPUTED_VALUE"""),190.86)</f>
        <v>190.86</v>
      </c>
      <c r="D776" s="1">
        <f>IFERROR(__xludf.DUMMYFUNCTION("""COMPUTED_VALUE"""),185.8)</f>
        <v>185.8</v>
      </c>
      <c r="E776" s="1">
        <f>IFERROR(__xludf.DUMMYFUNCTION("""COMPUTED_VALUE"""),190.6)</f>
        <v>190.6</v>
      </c>
      <c r="F776" s="1">
        <f>IFERROR(__xludf.DUMMYFUNCTION("""COMPUTED_VALUE"""),2.096745E7)</f>
        <v>20967450</v>
      </c>
    </row>
    <row r="777">
      <c r="A777" s="2">
        <f>IFERROR(__xludf.DUMMYFUNCTION("""COMPUTED_VALUE"""),45481.66666666667)</f>
        <v>45481.66667</v>
      </c>
      <c r="B777" s="1">
        <f>IFERROR(__xludf.DUMMYFUNCTION("""COMPUTED_VALUE"""),189.9)</f>
        <v>189.9</v>
      </c>
      <c r="C777" s="1">
        <f>IFERROR(__xludf.DUMMYFUNCTION("""COMPUTED_VALUE"""),190.17)</f>
        <v>190.17</v>
      </c>
      <c r="D777" s="1">
        <f>IFERROR(__xludf.DUMMYFUNCTION("""COMPUTED_VALUE"""),187.78)</f>
        <v>187.78</v>
      </c>
      <c r="E777" s="1">
        <f>IFERROR(__xludf.DUMMYFUNCTION("""COMPUTED_VALUE"""),189.03)</f>
        <v>189.03</v>
      </c>
      <c r="F777" s="1">
        <f>IFERROR(__xludf.DUMMYFUNCTION("""COMPUTED_VALUE"""),2.1035886E7)</f>
        <v>21035886</v>
      </c>
    </row>
    <row r="778">
      <c r="A778" s="2">
        <f>IFERROR(__xludf.DUMMYFUNCTION("""COMPUTED_VALUE"""),45482.66666666667)</f>
        <v>45482.66667</v>
      </c>
      <c r="B778" s="1">
        <f>IFERROR(__xludf.DUMMYFUNCTION("""COMPUTED_VALUE"""),190.31)</f>
        <v>190.31</v>
      </c>
      <c r="C778" s="1">
        <f>IFERROR(__xludf.DUMMYFUNCTION("""COMPUTED_VALUE"""),191.36)</f>
        <v>191.36</v>
      </c>
      <c r="D778" s="1">
        <f>IFERROR(__xludf.DUMMYFUNCTION("""COMPUTED_VALUE"""),188.72)</f>
        <v>188.72</v>
      </c>
      <c r="E778" s="1">
        <f>IFERROR(__xludf.DUMMYFUNCTION("""COMPUTED_VALUE"""),188.98)</f>
        <v>188.98</v>
      </c>
      <c r="F778" s="1">
        <f>IFERROR(__xludf.DUMMYFUNCTION("""COMPUTED_VALUE"""),1.5141312E7)</f>
        <v>15141312</v>
      </c>
    </row>
    <row r="779">
      <c r="A779" s="2">
        <f>IFERROR(__xludf.DUMMYFUNCTION("""COMPUTED_VALUE"""),45483.66666666667)</f>
        <v>45483.66667</v>
      </c>
      <c r="B779" s="1">
        <f>IFERROR(__xludf.DUMMYFUNCTION("""COMPUTED_VALUE"""),189.15)</f>
        <v>189.15</v>
      </c>
      <c r="C779" s="1">
        <f>IFERROR(__xludf.DUMMYFUNCTION("""COMPUTED_VALUE"""),191.75)</f>
        <v>191.75</v>
      </c>
      <c r="D779" s="1">
        <f>IFERROR(__xludf.DUMMYFUNCTION("""COMPUTED_VALUE"""),189.03)</f>
        <v>189.03</v>
      </c>
      <c r="E779" s="1">
        <f>IFERROR(__xludf.DUMMYFUNCTION("""COMPUTED_VALUE"""),191.18)</f>
        <v>191.18</v>
      </c>
      <c r="F779" s="1">
        <f>IFERROR(__xludf.DUMMYFUNCTION("""COMPUTED_VALUE"""),1.5952454E7)</f>
        <v>15952454</v>
      </c>
    </row>
    <row r="780">
      <c r="A780" s="2">
        <f>IFERROR(__xludf.DUMMYFUNCTION("""COMPUTED_VALUE"""),45484.66666666667)</f>
        <v>45484.66667</v>
      </c>
      <c r="B780" s="1">
        <f>IFERROR(__xludf.DUMMYFUNCTION("""COMPUTED_VALUE"""),189.85)</f>
        <v>189.85</v>
      </c>
      <c r="C780" s="1">
        <f>IFERROR(__xludf.DUMMYFUNCTION("""COMPUTED_VALUE"""),190.86)</f>
        <v>190.86</v>
      </c>
      <c r="D780" s="1">
        <f>IFERROR(__xludf.DUMMYFUNCTION("""COMPUTED_VALUE"""),185.08)</f>
        <v>185.08</v>
      </c>
      <c r="E780" s="1">
        <f>IFERROR(__xludf.DUMMYFUNCTION("""COMPUTED_VALUE"""),185.57)</f>
        <v>185.57</v>
      </c>
      <c r="F780" s="1">
        <f>IFERROR(__xludf.DUMMYFUNCTION("""COMPUTED_VALUE"""),2.5625784E7)</f>
        <v>25625784</v>
      </c>
    </row>
    <row r="781">
      <c r="A781" s="2">
        <f>IFERROR(__xludf.DUMMYFUNCTION("""COMPUTED_VALUE"""),45485.66666666667)</f>
        <v>45485.66667</v>
      </c>
      <c r="B781" s="1">
        <f>IFERROR(__xludf.DUMMYFUNCTION("""COMPUTED_VALUE"""),185.08)</f>
        <v>185.08</v>
      </c>
      <c r="C781" s="1">
        <f>IFERROR(__xludf.DUMMYFUNCTION("""COMPUTED_VALUE"""),187.11)</f>
        <v>187.11</v>
      </c>
      <c r="D781" s="1">
        <f>IFERROR(__xludf.DUMMYFUNCTION("""COMPUTED_VALUE"""),184.49)</f>
        <v>184.49</v>
      </c>
      <c r="E781" s="1">
        <f>IFERROR(__xludf.DUMMYFUNCTION("""COMPUTED_VALUE"""),185.07)</f>
        <v>185.07</v>
      </c>
      <c r="F781" s="1">
        <f>IFERROR(__xludf.DUMMYFUNCTION("""COMPUTED_VALUE"""),2.2898406E7)</f>
        <v>22898406</v>
      </c>
    </row>
    <row r="782">
      <c r="A782" s="2">
        <f>IFERROR(__xludf.DUMMYFUNCTION("""COMPUTED_VALUE"""),45488.66666666667)</f>
        <v>45488.66667</v>
      </c>
      <c r="B782" s="1">
        <f>IFERROR(__xludf.DUMMYFUNCTION("""COMPUTED_VALUE"""),184.92)</f>
        <v>184.92</v>
      </c>
      <c r="C782" s="1">
        <f>IFERROR(__xludf.DUMMYFUNCTION("""COMPUTED_VALUE"""),188.24)</f>
        <v>188.24</v>
      </c>
      <c r="D782" s="1">
        <f>IFERROR(__xludf.DUMMYFUNCTION("""COMPUTED_VALUE"""),184.92)</f>
        <v>184.92</v>
      </c>
      <c r="E782" s="1">
        <f>IFERROR(__xludf.DUMMYFUNCTION("""COMPUTED_VALUE"""),186.53)</f>
        <v>186.53</v>
      </c>
      <c r="F782" s="1">
        <f>IFERROR(__xludf.DUMMYFUNCTION("""COMPUTED_VALUE"""),1.6474043E7)</f>
        <v>16474043</v>
      </c>
    </row>
    <row r="783">
      <c r="A783" s="2">
        <f>IFERROR(__xludf.DUMMYFUNCTION("""COMPUTED_VALUE"""),45489.66666666667)</f>
        <v>45489.66667</v>
      </c>
      <c r="B783" s="1">
        <f>IFERROR(__xludf.DUMMYFUNCTION("""COMPUTED_VALUE"""),187.36)</f>
        <v>187.36</v>
      </c>
      <c r="C783" s="1">
        <f>IFERROR(__xludf.DUMMYFUNCTION("""COMPUTED_VALUE"""),188.68)</f>
        <v>188.68</v>
      </c>
      <c r="D783" s="1">
        <f>IFERROR(__xludf.DUMMYFUNCTION("""COMPUTED_VALUE"""),183.37)</f>
        <v>183.37</v>
      </c>
      <c r="E783" s="1">
        <f>IFERROR(__xludf.DUMMYFUNCTION("""COMPUTED_VALUE"""),183.92)</f>
        <v>183.92</v>
      </c>
      <c r="F783" s="1">
        <f>IFERROR(__xludf.DUMMYFUNCTION("""COMPUTED_VALUE"""),1.8290722E7)</f>
        <v>18290722</v>
      </c>
    </row>
    <row r="784">
      <c r="A784" s="2">
        <f>IFERROR(__xludf.DUMMYFUNCTION("""COMPUTED_VALUE"""),45490.66666666667)</f>
        <v>45490.66667</v>
      </c>
      <c r="B784" s="1">
        <f>IFERROR(__xludf.DUMMYFUNCTION("""COMPUTED_VALUE"""),182.97)</f>
        <v>182.97</v>
      </c>
      <c r="C784" s="1">
        <f>IFERROR(__xludf.DUMMYFUNCTION("""COMPUTED_VALUE"""),183.55)</f>
        <v>183.55</v>
      </c>
      <c r="D784" s="1">
        <f>IFERROR(__xludf.DUMMYFUNCTION("""COMPUTED_VALUE"""),179.9)</f>
        <v>179.9</v>
      </c>
      <c r="E784" s="1">
        <f>IFERROR(__xludf.DUMMYFUNCTION("""COMPUTED_VALUE"""),181.02)</f>
        <v>181.02</v>
      </c>
      <c r="F784" s="1">
        <f>IFERROR(__xludf.DUMMYFUNCTION("""COMPUTED_VALUE"""),2.0734071E7)</f>
        <v>20734071</v>
      </c>
    </row>
    <row r="785">
      <c r="A785" s="2">
        <f>IFERROR(__xludf.DUMMYFUNCTION("""COMPUTED_VALUE"""),45491.66666666667)</f>
        <v>45491.66667</v>
      </c>
      <c r="B785" s="1">
        <f>IFERROR(__xludf.DUMMYFUNCTION("""COMPUTED_VALUE"""),181.93)</f>
        <v>181.93</v>
      </c>
      <c r="C785" s="1">
        <f>IFERROR(__xludf.DUMMYFUNCTION("""COMPUTED_VALUE"""),182.5)</f>
        <v>182.5</v>
      </c>
      <c r="D785" s="1">
        <f>IFERROR(__xludf.DUMMYFUNCTION("""COMPUTED_VALUE"""),176.47)</f>
        <v>176.47</v>
      </c>
      <c r="E785" s="1">
        <f>IFERROR(__xludf.DUMMYFUNCTION("""COMPUTED_VALUE"""),177.69)</f>
        <v>177.69</v>
      </c>
      <c r="F785" s="1">
        <f>IFERROR(__xludf.DUMMYFUNCTION("""COMPUTED_VALUE"""),2.5315727E7)</f>
        <v>25315727</v>
      </c>
    </row>
    <row r="786">
      <c r="A786" s="2">
        <f>IFERROR(__xludf.DUMMYFUNCTION("""COMPUTED_VALUE"""),45492.66666666667)</f>
        <v>45492.66667</v>
      </c>
      <c r="B786" s="1">
        <f>IFERROR(__xludf.DUMMYFUNCTION("""COMPUTED_VALUE"""),178.88)</f>
        <v>178.88</v>
      </c>
      <c r="C786" s="1">
        <f>IFERROR(__xludf.DUMMYFUNCTION("""COMPUTED_VALUE"""),180.29)</f>
        <v>180.29</v>
      </c>
      <c r="D786" s="1">
        <f>IFERROR(__xludf.DUMMYFUNCTION("""COMPUTED_VALUE"""),177.13)</f>
        <v>177.13</v>
      </c>
      <c r="E786" s="1">
        <f>IFERROR(__xludf.DUMMYFUNCTION("""COMPUTED_VALUE"""),177.66)</f>
        <v>177.66</v>
      </c>
      <c r="F786" s="1">
        <f>IFERROR(__xludf.DUMMYFUNCTION("""COMPUTED_VALUE"""),1.8881885E7)</f>
        <v>18881885</v>
      </c>
    </row>
    <row r="787">
      <c r="A787" s="2">
        <f>IFERROR(__xludf.DUMMYFUNCTION("""COMPUTED_VALUE"""),45495.66666666667)</f>
        <v>45495.66667</v>
      </c>
      <c r="B787" s="1">
        <f>IFERROR(__xludf.DUMMYFUNCTION("""COMPUTED_VALUE"""),180.59)</f>
        <v>180.59</v>
      </c>
      <c r="C787" s="1">
        <f>IFERROR(__xludf.DUMMYFUNCTION("""COMPUTED_VALUE"""),182.7)</f>
        <v>182.7</v>
      </c>
      <c r="D787" s="1">
        <f>IFERROR(__xludf.DUMMYFUNCTION("""COMPUTED_VALUE"""),180.23)</f>
        <v>180.23</v>
      </c>
      <c r="E787" s="1">
        <f>IFERROR(__xludf.DUMMYFUNCTION("""COMPUTED_VALUE"""),181.67)</f>
        <v>181.67</v>
      </c>
      <c r="F787" s="1">
        <f>IFERROR(__xludf.DUMMYFUNCTION("""COMPUTED_VALUE"""),2.4100345E7)</f>
        <v>24100345</v>
      </c>
    </row>
    <row r="788">
      <c r="A788" s="2">
        <f>IFERROR(__xludf.DUMMYFUNCTION("""COMPUTED_VALUE"""),45496.66666666667)</f>
        <v>45496.66667</v>
      </c>
      <c r="B788" s="1">
        <f>IFERROR(__xludf.DUMMYFUNCTION("""COMPUTED_VALUE"""),182.05)</f>
        <v>182.05</v>
      </c>
      <c r="C788" s="1">
        <f>IFERROR(__xludf.DUMMYFUNCTION("""COMPUTED_VALUE"""),183.61)</f>
        <v>183.61</v>
      </c>
      <c r="D788" s="1">
        <f>IFERROR(__xludf.DUMMYFUNCTION("""COMPUTED_VALUE"""),181.54)</f>
        <v>181.54</v>
      </c>
      <c r="E788" s="1">
        <f>IFERROR(__xludf.DUMMYFUNCTION("""COMPUTED_VALUE"""),181.79)</f>
        <v>181.79</v>
      </c>
      <c r="F788" s="1">
        <f>IFERROR(__xludf.DUMMYFUNCTION("""COMPUTED_VALUE"""),3.6352714E7)</f>
        <v>36352714</v>
      </c>
    </row>
    <row r="789">
      <c r="A789" s="2">
        <f>IFERROR(__xludf.DUMMYFUNCTION("""COMPUTED_VALUE"""),45497.66666666667)</f>
        <v>45497.66667</v>
      </c>
      <c r="B789" s="1">
        <f>IFERROR(__xludf.DUMMYFUNCTION("""COMPUTED_VALUE"""),173.6)</f>
        <v>173.6</v>
      </c>
      <c r="C789" s="1">
        <f>IFERROR(__xludf.DUMMYFUNCTION("""COMPUTED_VALUE"""),176.19)</f>
        <v>176.19</v>
      </c>
      <c r="D789" s="1">
        <f>IFERROR(__xludf.DUMMYFUNCTION("""COMPUTED_VALUE"""),171.82)</f>
        <v>171.82</v>
      </c>
      <c r="E789" s="1">
        <f>IFERROR(__xludf.DUMMYFUNCTION("""COMPUTED_VALUE"""),172.63)</f>
        <v>172.63</v>
      </c>
      <c r="F789" s="1">
        <f>IFERROR(__xludf.DUMMYFUNCTION("""COMPUTED_VALUE"""),4.9585203E7)</f>
        <v>49585203</v>
      </c>
    </row>
    <row r="790">
      <c r="A790" s="2">
        <f>IFERROR(__xludf.DUMMYFUNCTION("""COMPUTED_VALUE"""),45498.66666666667)</f>
        <v>45498.66667</v>
      </c>
      <c r="B790" s="1">
        <f>IFERROR(__xludf.DUMMYFUNCTION("""COMPUTED_VALUE"""),172.52)</f>
        <v>172.52</v>
      </c>
      <c r="C790" s="1">
        <f>IFERROR(__xludf.DUMMYFUNCTION("""COMPUTED_VALUE"""),173.42)</f>
        <v>173.42</v>
      </c>
      <c r="D790" s="1">
        <f>IFERROR(__xludf.DUMMYFUNCTION("""COMPUTED_VALUE"""),167.19)</f>
        <v>167.19</v>
      </c>
      <c r="E790" s="1">
        <f>IFERROR(__xludf.DUMMYFUNCTION("""COMPUTED_VALUE"""),167.28)</f>
        <v>167.28</v>
      </c>
      <c r="F790" s="1">
        <f>IFERROR(__xludf.DUMMYFUNCTION("""COMPUTED_VALUE"""),4.4851973E7)</f>
        <v>44851973</v>
      </c>
    </row>
    <row r="791">
      <c r="A791" s="2">
        <f>IFERROR(__xludf.DUMMYFUNCTION("""COMPUTED_VALUE"""),45499.66666666667)</f>
        <v>45499.66667</v>
      </c>
      <c r="B791" s="1">
        <f>IFERROR(__xludf.DUMMYFUNCTION("""COMPUTED_VALUE"""),167.15)</f>
        <v>167.15</v>
      </c>
      <c r="C791" s="1">
        <f>IFERROR(__xludf.DUMMYFUNCTION("""COMPUTED_VALUE"""),168.09)</f>
        <v>168.09</v>
      </c>
      <c r="D791" s="1">
        <f>IFERROR(__xludf.DUMMYFUNCTION("""COMPUTED_VALUE"""),164.06)</f>
        <v>164.06</v>
      </c>
      <c r="E791" s="1">
        <f>IFERROR(__xludf.DUMMYFUNCTION("""COMPUTED_VALUE"""),167.0)</f>
        <v>167</v>
      </c>
      <c r="F791" s="1">
        <f>IFERROR(__xludf.DUMMYFUNCTION("""COMPUTED_VALUE"""),4.1336886E7)</f>
        <v>41336886</v>
      </c>
    </row>
    <row r="792">
      <c r="A792" s="2">
        <f>IFERROR(__xludf.DUMMYFUNCTION("""COMPUTED_VALUE"""),45502.66666666667)</f>
        <v>45502.66667</v>
      </c>
      <c r="B792" s="1">
        <f>IFERROR(__xludf.DUMMYFUNCTION("""COMPUTED_VALUE"""),168.83)</f>
        <v>168.83</v>
      </c>
      <c r="C792" s="1">
        <f>IFERROR(__xludf.DUMMYFUNCTION("""COMPUTED_VALUE"""),170.43)</f>
        <v>170.43</v>
      </c>
      <c r="D792" s="1">
        <f>IFERROR(__xludf.DUMMYFUNCTION("""COMPUTED_VALUE"""),167.99)</f>
        <v>167.99</v>
      </c>
      <c r="E792" s="1">
        <f>IFERROR(__xludf.DUMMYFUNCTION("""COMPUTED_VALUE"""),169.53)</f>
        <v>169.53</v>
      </c>
      <c r="F792" s="1">
        <f>IFERROR(__xludf.DUMMYFUNCTION("""COMPUTED_VALUE"""),2.0293822E7)</f>
        <v>20293822</v>
      </c>
    </row>
    <row r="793">
      <c r="A793" s="2">
        <f>IFERROR(__xludf.DUMMYFUNCTION("""COMPUTED_VALUE"""),45503.66666666667)</f>
        <v>45503.66667</v>
      </c>
      <c r="B793" s="1">
        <f>IFERROR(__xludf.DUMMYFUNCTION("""COMPUTED_VALUE"""),170.24)</f>
        <v>170.24</v>
      </c>
      <c r="C793" s="1">
        <f>IFERROR(__xludf.DUMMYFUNCTION("""COMPUTED_VALUE"""),171.23)</f>
        <v>171.23</v>
      </c>
      <c r="D793" s="1">
        <f>IFERROR(__xludf.DUMMYFUNCTION("""COMPUTED_VALUE"""),168.44)</f>
        <v>168.44</v>
      </c>
      <c r="E793" s="1">
        <f>IFERROR(__xludf.DUMMYFUNCTION("""COMPUTED_VALUE"""),170.29)</f>
        <v>170.29</v>
      </c>
      <c r="F793" s="1">
        <f>IFERROR(__xludf.DUMMYFUNCTION("""COMPUTED_VALUE"""),1.8959686E7)</f>
        <v>18959686</v>
      </c>
    </row>
    <row r="794">
      <c r="A794" s="2">
        <f>IFERROR(__xludf.DUMMYFUNCTION("""COMPUTED_VALUE"""),45504.66666666667)</f>
        <v>45504.66667</v>
      </c>
      <c r="B794" s="1">
        <f>IFERROR(__xludf.DUMMYFUNCTION("""COMPUTED_VALUE"""),173.24)</f>
        <v>173.24</v>
      </c>
      <c r="C794" s="1">
        <f>IFERROR(__xludf.DUMMYFUNCTION("""COMPUTED_VALUE"""),174.25)</f>
        <v>174.25</v>
      </c>
      <c r="D794" s="1">
        <f>IFERROR(__xludf.DUMMYFUNCTION("""COMPUTED_VALUE"""),170.01)</f>
        <v>170.01</v>
      </c>
      <c r="E794" s="1">
        <f>IFERROR(__xludf.DUMMYFUNCTION("""COMPUTED_VALUE"""),171.54)</f>
        <v>171.54</v>
      </c>
      <c r="F794" s="1">
        <f>IFERROR(__xludf.DUMMYFUNCTION("""COMPUTED_VALUE"""),2.572909E7)</f>
        <v>25729090</v>
      </c>
    </row>
    <row r="795">
      <c r="A795" s="2">
        <f>IFERROR(__xludf.DUMMYFUNCTION("""COMPUTED_VALUE"""),45505.66666666667)</f>
        <v>45505.66667</v>
      </c>
      <c r="B795" s="1">
        <f>IFERROR(__xludf.DUMMYFUNCTION("""COMPUTED_VALUE"""),170.25)</f>
        <v>170.25</v>
      </c>
      <c r="C795" s="1">
        <f>IFERROR(__xludf.DUMMYFUNCTION("""COMPUTED_VALUE"""),174.05)</f>
        <v>174.05</v>
      </c>
      <c r="D795" s="1">
        <f>IFERROR(__xludf.DUMMYFUNCTION("""COMPUTED_VALUE"""),168.88)</f>
        <v>168.88</v>
      </c>
      <c r="E795" s="1">
        <f>IFERROR(__xludf.DUMMYFUNCTION("""COMPUTED_VALUE"""),170.76)</f>
        <v>170.76</v>
      </c>
      <c r="F795" s="1">
        <f>IFERROR(__xludf.DUMMYFUNCTION("""COMPUTED_VALUE"""),2.4531392E7)</f>
        <v>24531392</v>
      </c>
    </row>
    <row r="796">
      <c r="A796" s="2">
        <f>IFERROR(__xludf.DUMMYFUNCTION("""COMPUTED_VALUE"""),45506.66666666667)</f>
        <v>45506.66667</v>
      </c>
      <c r="B796" s="1">
        <f>IFERROR(__xludf.DUMMYFUNCTION("""COMPUTED_VALUE"""),166.44)</f>
        <v>166.44</v>
      </c>
      <c r="C796" s="1">
        <f>IFERROR(__xludf.DUMMYFUNCTION("""COMPUTED_VALUE"""),168.51)</f>
        <v>168.51</v>
      </c>
      <c r="D796" s="1">
        <f>IFERROR(__xludf.DUMMYFUNCTION("""COMPUTED_VALUE"""),164.67)</f>
        <v>164.67</v>
      </c>
      <c r="E796" s="1">
        <f>IFERROR(__xludf.DUMMYFUNCTION("""COMPUTED_VALUE"""),166.66)</f>
        <v>166.66</v>
      </c>
      <c r="F796" s="1">
        <f>IFERROR(__xludf.DUMMYFUNCTION("""COMPUTED_VALUE"""),2.9130102E7)</f>
        <v>29130102</v>
      </c>
    </row>
    <row r="797">
      <c r="A797" s="2">
        <f>IFERROR(__xludf.DUMMYFUNCTION("""COMPUTED_VALUE"""),45509.66666666667)</f>
        <v>45509.66667</v>
      </c>
      <c r="B797" s="1">
        <f>IFERROR(__xludf.DUMMYFUNCTION("""COMPUTED_VALUE"""),155.5)</f>
        <v>155.5</v>
      </c>
      <c r="C797" s="1">
        <f>IFERROR(__xludf.DUMMYFUNCTION("""COMPUTED_VALUE"""),164.43)</f>
        <v>164.43</v>
      </c>
      <c r="D797" s="1">
        <f>IFERROR(__xludf.DUMMYFUNCTION("""COMPUTED_VALUE"""),154.93)</f>
        <v>154.93</v>
      </c>
      <c r="E797" s="1">
        <f>IFERROR(__xludf.DUMMYFUNCTION("""COMPUTED_VALUE"""),159.25)</f>
        <v>159.25</v>
      </c>
      <c r="F797" s="1">
        <f>IFERROR(__xludf.DUMMYFUNCTION("""COMPUTED_VALUE"""),5.3630673E7)</f>
        <v>53630673</v>
      </c>
    </row>
    <row r="798">
      <c r="A798" s="2">
        <f>IFERROR(__xludf.DUMMYFUNCTION("""COMPUTED_VALUE"""),45510.66666666667)</f>
        <v>45510.66667</v>
      </c>
      <c r="B798" s="1">
        <f>IFERROR(__xludf.DUMMYFUNCTION("""COMPUTED_VALUE"""),159.33)</f>
        <v>159.33</v>
      </c>
      <c r="C798" s="1">
        <f>IFERROR(__xludf.DUMMYFUNCTION("""COMPUTED_VALUE"""),160.57)</f>
        <v>160.57</v>
      </c>
      <c r="D798" s="1">
        <f>IFERROR(__xludf.DUMMYFUNCTION("""COMPUTED_VALUE"""),156.41)</f>
        <v>156.41</v>
      </c>
      <c r="E798" s="1">
        <f>IFERROR(__xludf.DUMMYFUNCTION("""COMPUTED_VALUE"""),158.29)</f>
        <v>158.29</v>
      </c>
      <c r="F798" s="1">
        <f>IFERROR(__xludf.DUMMYFUNCTION("""COMPUTED_VALUE"""),4.9004561E7)</f>
        <v>49004561</v>
      </c>
    </row>
    <row r="799">
      <c r="A799" s="2">
        <f>IFERROR(__xludf.DUMMYFUNCTION("""COMPUTED_VALUE"""),45511.66666666667)</f>
        <v>45511.66667</v>
      </c>
      <c r="B799" s="1">
        <f>IFERROR(__xludf.DUMMYFUNCTION("""COMPUTED_VALUE"""),161.25)</f>
        <v>161.25</v>
      </c>
      <c r="C799" s="1">
        <f>IFERROR(__xludf.DUMMYFUNCTION("""COMPUTED_VALUE"""),162.98)</f>
        <v>162.98</v>
      </c>
      <c r="D799" s="1">
        <f>IFERROR(__xludf.DUMMYFUNCTION("""COMPUTED_VALUE"""),158.47)</f>
        <v>158.47</v>
      </c>
      <c r="E799" s="1">
        <f>IFERROR(__xludf.DUMMYFUNCTION("""COMPUTED_VALUE"""),158.94)</f>
        <v>158.94</v>
      </c>
      <c r="F799" s="1">
        <f>IFERROR(__xludf.DUMMYFUNCTION("""COMPUTED_VALUE"""),2.5138573E7)</f>
        <v>25138573</v>
      </c>
    </row>
    <row r="800">
      <c r="A800" s="2">
        <f>IFERROR(__xludf.DUMMYFUNCTION("""COMPUTED_VALUE"""),45512.66666666667)</f>
        <v>45512.66667</v>
      </c>
      <c r="B800" s="1">
        <f>IFERROR(__xludf.DUMMYFUNCTION("""COMPUTED_VALUE"""),160.51)</f>
        <v>160.51</v>
      </c>
      <c r="C800" s="1">
        <f>IFERROR(__xludf.DUMMYFUNCTION("""COMPUTED_VALUE"""),163.69)</f>
        <v>163.69</v>
      </c>
      <c r="D800" s="1">
        <f>IFERROR(__xludf.DUMMYFUNCTION("""COMPUTED_VALUE"""),160.21)</f>
        <v>160.21</v>
      </c>
      <c r="E800" s="1">
        <f>IFERROR(__xludf.DUMMYFUNCTION("""COMPUTED_VALUE"""),162.03)</f>
        <v>162.03</v>
      </c>
      <c r="F800" s="1">
        <f>IFERROR(__xludf.DUMMYFUNCTION("""COMPUTED_VALUE"""),2.5578839E7)</f>
        <v>25578839</v>
      </c>
    </row>
    <row r="801">
      <c r="A801" s="2">
        <f>IFERROR(__xludf.DUMMYFUNCTION("""COMPUTED_VALUE"""),45513.66666666667)</f>
        <v>45513.66667</v>
      </c>
      <c r="B801" s="1">
        <f>IFERROR(__xludf.DUMMYFUNCTION("""COMPUTED_VALUE"""),160.01)</f>
        <v>160.01</v>
      </c>
      <c r="C801" s="1">
        <f>IFERROR(__xludf.DUMMYFUNCTION("""COMPUTED_VALUE"""),163.79)</f>
        <v>163.79</v>
      </c>
      <c r="D801" s="1">
        <f>IFERROR(__xludf.DUMMYFUNCTION("""COMPUTED_VALUE"""),159.06)</f>
        <v>159.06</v>
      </c>
      <c r="E801" s="1">
        <f>IFERROR(__xludf.DUMMYFUNCTION("""COMPUTED_VALUE"""),163.67)</f>
        <v>163.67</v>
      </c>
      <c r="F801" s="1">
        <f>IFERROR(__xludf.DUMMYFUNCTION("""COMPUTED_VALUE"""),2.8602285E7)</f>
        <v>28602285</v>
      </c>
    </row>
    <row r="802">
      <c r="A802" s="2">
        <f>IFERROR(__xludf.DUMMYFUNCTION("""COMPUTED_VALUE"""),45516.66666666667)</f>
        <v>45516.66667</v>
      </c>
      <c r="B802" s="1">
        <f>IFERROR(__xludf.DUMMYFUNCTION("""COMPUTED_VALUE"""),164.35)</f>
        <v>164.35</v>
      </c>
      <c r="C802" s="1">
        <f>IFERROR(__xludf.DUMMYFUNCTION("""COMPUTED_VALUE"""),164.9)</f>
        <v>164.9</v>
      </c>
      <c r="D802" s="1">
        <f>IFERROR(__xludf.DUMMYFUNCTION("""COMPUTED_VALUE"""),161.84)</f>
        <v>161.84</v>
      </c>
      <c r="E802" s="1">
        <f>IFERROR(__xludf.DUMMYFUNCTION("""COMPUTED_VALUE"""),162.29)</f>
        <v>162.29</v>
      </c>
      <c r="F802" s="1">
        <f>IFERROR(__xludf.DUMMYFUNCTION("""COMPUTED_VALUE"""),1.5895286E7)</f>
        <v>15895286</v>
      </c>
    </row>
    <row r="803">
      <c r="A803" s="2">
        <f>IFERROR(__xludf.DUMMYFUNCTION("""COMPUTED_VALUE"""),45517.66666666667)</f>
        <v>45517.66667</v>
      </c>
      <c r="B803" s="1">
        <f>IFERROR(__xludf.DUMMYFUNCTION("""COMPUTED_VALUE"""),163.41)</f>
        <v>163.41</v>
      </c>
      <c r="C803" s="1">
        <f>IFERROR(__xludf.DUMMYFUNCTION("""COMPUTED_VALUE"""),164.73)</f>
        <v>164.73</v>
      </c>
      <c r="D803" s="1">
        <f>IFERROR(__xludf.DUMMYFUNCTION("""COMPUTED_VALUE"""),162.97)</f>
        <v>162.97</v>
      </c>
      <c r="E803" s="1">
        <f>IFERROR(__xludf.DUMMYFUNCTION("""COMPUTED_VALUE"""),164.16)</f>
        <v>164.16</v>
      </c>
      <c r="F803" s="1">
        <f>IFERROR(__xludf.DUMMYFUNCTION("""COMPUTED_VALUE"""),1.855169E7)</f>
        <v>18551690</v>
      </c>
    </row>
    <row r="804">
      <c r="A804" s="2">
        <f>IFERROR(__xludf.DUMMYFUNCTION("""COMPUTED_VALUE"""),45518.66666666667)</f>
        <v>45518.66667</v>
      </c>
      <c r="B804" s="1">
        <f>IFERROR(__xludf.DUMMYFUNCTION("""COMPUTED_VALUE"""),162.4)</f>
        <v>162.4</v>
      </c>
      <c r="C804" s="1">
        <f>IFERROR(__xludf.DUMMYFUNCTION("""COMPUTED_VALUE"""),163.22)</f>
        <v>163.22</v>
      </c>
      <c r="D804" s="1">
        <f>IFERROR(__xludf.DUMMYFUNCTION("""COMPUTED_VALUE"""),157.71)</f>
        <v>157.71</v>
      </c>
      <c r="E804" s="1">
        <f>IFERROR(__xludf.DUMMYFUNCTION("""COMPUTED_VALUE"""),160.37)</f>
        <v>160.37</v>
      </c>
      <c r="F804" s="1">
        <f>IFERROR(__xludf.DUMMYFUNCTION("""COMPUTED_VALUE"""),4.0591126E7)</f>
        <v>40591126</v>
      </c>
    </row>
    <row r="805">
      <c r="A805" s="2">
        <f>IFERROR(__xludf.DUMMYFUNCTION("""COMPUTED_VALUE"""),45519.66666666667)</f>
        <v>45519.66667</v>
      </c>
      <c r="B805" s="1">
        <f>IFERROR(__xludf.DUMMYFUNCTION("""COMPUTED_VALUE"""),160.5)</f>
        <v>160.5</v>
      </c>
      <c r="C805" s="1">
        <f>IFERROR(__xludf.DUMMYFUNCTION("""COMPUTED_VALUE"""),161.64)</f>
        <v>161.64</v>
      </c>
      <c r="D805" s="1">
        <f>IFERROR(__xludf.DUMMYFUNCTION("""COMPUTED_VALUE"""),159.61)</f>
        <v>159.61</v>
      </c>
      <c r="E805" s="1">
        <f>IFERROR(__xludf.DUMMYFUNCTION("""COMPUTED_VALUE"""),161.3)</f>
        <v>161.3</v>
      </c>
      <c r="F805" s="1">
        <f>IFERROR(__xludf.DUMMYFUNCTION("""COMPUTED_VALUE"""),3.1524252E7)</f>
        <v>31524252</v>
      </c>
    </row>
    <row r="806">
      <c r="A806" s="2">
        <f>IFERROR(__xludf.DUMMYFUNCTION("""COMPUTED_VALUE"""),45520.66666666667)</f>
        <v>45520.66667</v>
      </c>
      <c r="B806" s="1">
        <f>IFERROR(__xludf.DUMMYFUNCTION("""COMPUTED_VALUE"""),161.47)</f>
        <v>161.47</v>
      </c>
      <c r="C806" s="1">
        <f>IFERROR(__xludf.DUMMYFUNCTION("""COMPUTED_VALUE"""),165.06)</f>
        <v>165.06</v>
      </c>
      <c r="D806" s="1">
        <f>IFERROR(__xludf.DUMMYFUNCTION("""COMPUTED_VALUE"""),161.13)</f>
        <v>161.13</v>
      </c>
      <c r="E806" s="1">
        <f>IFERROR(__xludf.DUMMYFUNCTION("""COMPUTED_VALUE"""),162.96)</f>
        <v>162.96</v>
      </c>
      <c r="F806" s="1">
        <f>IFERROR(__xludf.DUMMYFUNCTION("""COMPUTED_VALUE"""),2.4208647E7)</f>
        <v>24208647</v>
      </c>
    </row>
    <row r="807">
      <c r="A807" s="2">
        <f>IFERROR(__xludf.DUMMYFUNCTION("""COMPUTED_VALUE"""),45523.66666666667)</f>
        <v>45523.66667</v>
      </c>
      <c r="B807" s="1">
        <f>IFERROR(__xludf.DUMMYFUNCTION("""COMPUTED_VALUE"""),165.28)</f>
        <v>165.28</v>
      </c>
      <c r="C807" s="1">
        <f>IFERROR(__xludf.DUMMYFUNCTION("""COMPUTED_VALUE"""),166.69)</f>
        <v>166.69</v>
      </c>
      <c r="D807" s="1">
        <f>IFERROR(__xludf.DUMMYFUNCTION("""COMPUTED_VALUE"""),164.26)</f>
        <v>164.26</v>
      </c>
      <c r="E807" s="1">
        <f>IFERROR(__xludf.DUMMYFUNCTION("""COMPUTED_VALUE"""),166.67)</f>
        <v>166.67</v>
      </c>
      <c r="F807" s="1">
        <f>IFERROR(__xludf.DUMMYFUNCTION("""COMPUTED_VALUE"""),2.2416185E7)</f>
        <v>22416185</v>
      </c>
    </row>
    <row r="808">
      <c r="A808" s="2">
        <f>IFERROR(__xludf.DUMMYFUNCTION("""COMPUTED_VALUE"""),45524.66666666667)</f>
        <v>45524.66667</v>
      </c>
      <c r="B808" s="1">
        <f>IFERROR(__xludf.DUMMYFUNCTION("""COMPUTED_VALUE"""),166.9)</f>
        <v>166.9</v>
      </c>
      <c r="C808" s="1">
        <f>IFERROR(__xludf.DUMMYFUNCTION("""COMPUTED_VALUE"""),168.64)</f>
        <v>168.64</v>
      </c>
      <c r="D808" s="1">
        <f>IFERROR(__xludf.DUMMYFUNCTION("""COMPUTED_VALUE"""),166.82)</f>
        <v>166.82</v>
      </c>
      <c r="E808" s="1">
        <f>IFERROR(__xludf.DUMMYFUNCTION("""COMPUTED_VALUE"""),167.18)</f>
        <v>167.18</v>
      </c>
      <c r="F808" s="1">
        <f>IFERROR(__xludf.DUMMYFUNCTION("""COMPUTED_VALUE"""),1.8341533E7)</f>
        <v>18341533</v>
      </c>
    </row>
    <row r="809">
      <c r="A809" s="2">
        <f>IFERROR(__xludf.DUMMYFUNCTION("""COMPUTED_VALUE"""),45525.66666666667)</f>
        <v>45525.66667</v>
      </c>
      <c r="B809" s="1">
        <f>IFERROR(__xludf.DUMMYFUNCTION("""COMPUTED_VALUE"""),165.15)</f>
        <v>165.15</v>
      </c>
      <c r="C809" s="1">
        <f>IFERROR(__xludf.DUMMYFUNCTION("""COMPUTED_VALUE"""),166.85)</f>
        <v>166.85</v>
      </c>
      <c r="D809" s="1">
        <f>IFERROR(__xludf.DUMMYFUNCTION("""COMPUTED_VALUE"""),164.67)</f>
        <v>164.67</v>
      </c>
      <c r="E809" s="1">
        <f>IFERROR(__xludf.DUMMYFUNCTION("""COMPUTED_VALUE"""),165.85)</f>
        <v>165.85</v>
      </c>
      <c r="F809" s="1">
        <f>IFERROR(__xludf.DUMMYFUNCTION("""COMPUTED_VALUE"""),2.2901997E7)</f>
        <v>22901997</v>
      </c>
    </row>
    <row r="810">
      <c r="A810" s="2">
        <f>IFERROR(__xludf.DUMMYFUNCTION("""COMPUTED_VALUE"""),45526.66666666667)</f>
        <v>45526.66667</v>
      </c>
      <c r="B810" s="1">
        <f>IFERROR(__xludf.DUMMYFUNCTION("""COMPUTED_VALUE"""),167.26)</f>
        <v>167.26</v>
      </c>
      <c r="C810" s="1">
        <f>IFERROR(__xludf.DUMMYFUNCTION("""COMPUTED_VALUE"""),167.59)</f>
        <v>167.59</v>
      </c>
      <c r="D810" s="1">
        <f>IFERROR(__xludf.DUMMYFUNCTION("""COMPUTED_VALUE"""),163.31)</f>
        <v>163.31</v>
      </c>
      <c r="E810" s="1">
        <f>IFERROR(__xludf.DUMMYFUNCTION("""COMPUTED_VALUE"""),163.8)</f>
        <v>163.8</v>
      </c>
      <c r="F810" s="1">
        <f>IFERROR(__xludf.DUMMYFUNCTION("""COMPUTED_VALUE"""),2.2493275E7)</f>
        <v>22493275</v>
      </c>
    </row>
    <row r="811">
      <c r="A811" s="2">
        <f>IFERROR(__xludf.DUMMYFUNCTION("""COMPUTED_VALUE"""),45527.66666666667)</f>
        <v>45527.66667</v>
      </c>
      <c r="B811" s="1">
        <f>IFERROR(__xludf.DUMMYFUNCTION("""COMPUTED_VALUE"""),164.72)</f>
        <v>164.72</v>
      </c>
      <c r="C811" s="1">
        <f>IFERROR(__xludf.DUMMYFUNCTION("""COMPUTED_VALUE"""),166.18)</f>
        <v>166.18</v>
      </c>
      <c r="D811" s="1">
        <f>IFERROR(__xludf.DUMMYFUNCTION("""COMPUTED_VALUE"""),163.83)</f>
        <v>163.83</v>
      </c>
      <c r="E811" s="1">
        <f>IFERROR(__xludf.DUMMYFUNCTION("""COMPUTED_VALUE"""),165.62)</f>
        <v>165.62</v>
      </c>
      <c r="F811" s="1">
        <f>IFERROR(__xludf.DUMMYFUNCTION("""COMPUTED_VALUE"""),1.3955741E7)</f>
        <v>13955741</v>
      </c>
    </row>
    <row r="812">
      <c r="A812" s="2">
        <f>IFERROR(__xludf.DUMMYFUNCTION("""COMPUTED_VALUE"""),45530.66666666667)</f>
        <v>45530.66667</v>
      </c>
      <c r="B812" s="1">
        <f>IFERROR(__xludf.DUMMYFUNCTION("""COMPUTED_VALUE"""),166.38)</f>
        <v>166.38</v>
      </c>
      <c r="C812" s="1">
        <f>IFERROR(__xludf.DUMMYFUNCTION("""COMPUTED_VALUE"""),167.55)</f>
        <v>167.55</v>
      </c>
      <c r="D812" s="1">
        <f>IFERROR(__xludf.DUMMYFUNCTION("""COMPUTED_VALUE"""),164.46)</f>
        <v>164.46</v>
      </c>
      <c r="E812" s="1">
        <f>IFERROR(__xludf.DUMMYFUNCTION("""COMPUTED_VALUE"""),166.16)</f>
        <v>166.16</v>
      </c>
      <c r="F812" s="1">
        <f>IFERROR(__xludf.DUMMYFUNCTION("""COMPUTED_VALUE"""),1.4190417E7)</f>
        <v>14190417</v>
      </c>
    </row>
    <row r="813">
      <c r="A813" s="2">
        <f>IFERROR(__xludf.DUMMYFUNCTION("""COMPUTED_VALUE"""),45531.66666666667)</f>
        <v>45531.66667</v>
      </c>
      <c r="B813" s="1">
        <f>IFERROR(__xludf.DUMMYFUNCTION("""COMPUTED_VALUE"""),165.84)</f>
        <v>165.84</v>
      </c>
      <c r="C813" s="1">
        <f>IFERROR(__xludf.DUMMYFUNCTION("""COMPUTED_VALUE"""),166.44)</f>
        <v>166.44</v>
      </c>
      <c r="D813" s="1">
        <f>IFERROR(__xludf.DUMMYFUNCTION("""COMPUTED_VALUE"""),164.46)</f>
        <v>164.46</v>
      </c>
      <c r="E813" s="1">
        <f>IFERROR(__xludf.DUMMYFUNCTION("""COMPUTED_VALUE"""),164.68)</f>
        <v>164.68</v>
      </c>
      <c r="F813" s="1">
        <f>IFERROR(__xludf.DUMMYFUNCTION("""COMPUTED_VALUE"""),1.1821941E7)</f>
        <v>11821941</v>
      </c>
    </row>
    <row r="814">
      <c r="A814" s="2">
        <f>IFERROR(__xludf.DUMMYFUNCTION("""COMPUTED_VALUE"""),45532.66666666667)</f>
        <v>45532.66667</v>
      </c>
      <c r="B814" s="1">
        <f>IFERROR(__xludf.DUMMYFUNCTION("""COMPUTED_VALUE"""),165.04)</f>
        <v>165.04</v>
      </c>
      <c r="C814" s="1">
        <f>IFERROR(__xludf.DUMMYFUNCTION("""COMPUTED_VALUE"""),165.6)</f>
        <v>165.6</v>
      </c>
      <c r="D814" s="1">
        <f>IFERROR(__xludf.DUMMYFUNCTION("""COMPUTED_VALUE"""),161.53)</f>
        <v>161.53</v>
      </c>
      <c r="E814" s="1">
        <f>IFERROR(__xludf.DUMMYFUNCTION("""COMPUTED_VALUE"""),162.85)</f>
        <v>162.85</v>
      </c>
      <c r="F814" s="1">
        <f>IFERROR(__xludf.DUMMYFUNCTION("""COMPUTED_VALUE"""),1.6407444E7)</f>
        <v>16407444</v>
      </c>
    </row>
    <row r="815">
      <c r="A815" s="2">
        <f>IFERROR(__xludf.DUMMYFUNCTION("""COMPUTED_VALUE"""),45533.66666666667)</f>
        <v>45533.66667</v>
      </c>
      <c r="B815" s="1">
        <f>IFERROR(__xludf.DUMMYFUNCTION("""COMPUTED_VALUE"""),164.31)</f>
        <v>164.31</v>
      </c>
      <c r="C815" s="1">
        <f>IFERROR(__xludf.DUMMYFUNCTION("""COMPUTED_VALUE"""),165.97)</f>
        <v>165.97</v>
      </c>
      <c r="D815" s="1">
        <f>IFERROR(__xludf.DUMMYFUNCTION("""COMPUTED_VALUE"""),160.25)</f>
        <v>160.25</v>
      </c>
      <c r="E815" s="1">
        <f>IFERROR(__xludf.DUMMYFUNCTION("""COMPUTED_VALUE"""),161.78)</f>
        <v>161.78</v>
      </c>
      <c r="F815" s="1">
        <f>IFERROR(__xludf.DUMMYFUNCTION("""COMPUTED_VALUE"""),1.9699767E7)</f>
        <v>19699767</v>
      </c>
    </row>
    <row r="816">
      <c r="A816" s="2">
        <f>IFERROR(__xludf.DUMMYFUNCTION("""COMPUTED_VALUE"""),45534.66666666667)</f>
        <v>45534.66667</v>
      </c>
      <c r="B816" s="1">
        <f>IFERROR(__xludf.DUMMYFUNCTION("""COMPUTED_VALUE"""),162.62)</f>
        <v>162.62</v>
      </c>
      <c r="C816" s="1">
        <f>IFERROR(__xludf.DUMMYFUNCTION("""COMPUTED_VALUE"""),163.66)</f>
        <v>163.66</v>
      </c>
      <c r="D816" s="1">
        <f>IFERROR(__xludf.DUMMYFUNCTION("""COMPUTED_VALUE"""),161.69)</f>
        <v>161.69</v>
      </c>
      <c r="E816" s="1">
        <f>IFERROR(__xludf.DUMMYFUNCTION("""COMPUTED_VALUE"""),163.38)</f>
        <v>163.38</v>
      </c>
      <c r="F816" s="1">
        <f>IFERROR(__xludf.DUMMYFUNCTION("""COMPUTED_VALUE"""),2.2123811E7)</f>
        <v>22123811</v>
      </c>
    </row>
    <row r="817">
      <c r="A817" s="2">
        <f>IFERROR(__xludf.DUMMYFUNCTION("""COMPUTED_VALUE"""),45538.66666666667)</f>
        <v>45538.66667</v>
      </c>
      <c r="B817" s="1">
        <f>IFERROR(__xludf.DUMMYFUNCTION("""COMPUTED_VALUE"""),161.72)</f>
        <v>161.72</v>
      </c>
      <c r="C817" s="1">
        <f>IFERROR(__xludf.DUMMYFUNCTION("""COMPUTED_VALUE"""),161.85)</f>
        <v>161.85</v>
      </c>
      <c r="D817" s="1">
        <f>IFERROR(__xludf.DUMMYFUNCTION("""COMPUTED_VALUE"""),156.48)</f>
        <v>156.48</v>
      </c>
      <c r="E817" s="1">
        <f>IFERROR(__xludf.DUMMYFUNCTION("""COMPUTED_VALUE"""),157.36)</f>
        <v>157.36</v>
      </c>
      <c r="F817" s="1">
        <f>IFERROR(__xludf.DUMMYFUNCTION("""COMPUTED_VALUE"""),3.8945301E7)</f>
        <v>38945301</v>
      </c>
    </row>
    <row r="818">
      <c r="A818" s="2">
        <f>IFERROR(__xludf.DUMMYFUNCTION("""COMPUTED_VALUE"""),45539.66666666667)</f>
        <v>45539.66667</v>
      </c>
      <c r="B818" s="1">
        <f>IFERROR(__xludf.DUMMYFUNCTION("""COMPUTED_VALUE"""),156.66)</f>
        <v>156.66</v>
      </c>
      <c r="C818" s="1">
        <f>IFERROR(__xludf.DUMMYFUNCTION("""COMPUTED_VALUE"""),159.0)</f>
        <v>159</v>
      </c>
      <c r="D818" s="1">
        <f>IFERROR(__xludf.DUMMYFUNCTION("""COMPUTED_VALUE"""),155.96)</f>
        <v>155.96</v>
      </c>
      <c r="E818" s="1">
        <f>IFERROR(__xludf.DUMMYFUNCTION("""COMPUTED_VALUE"""),156.45)</f>
        <v>156.45</v>
      </c>
      <c r="F818" s="1">
        <f>IFERROR(__xludf.DUMMYFUNCTION("""COMPUTED_VALUE"""),1.9353759E7)</f>
        <v>19353759</v>
      </c>
    </row>
    <row r="819">
      <c r="A819" s="2">
        <f>IFERROR(__xludf.DUMMYFUNCTION("""COMPUTED_VALUE"""),45540.66666666667)</f>
        <v>45540.66667</v>
      </c>
      <c r="B819" s="1">
        <f>IFERROR(__xludf.DUMMYFUNCTION("""COMPUTED_VALUE"""),156.3)</f>
        <v>156.3</v>
      </c>
      <c r="C819" s="1">
        <f>IFERROR(__xludf.DUMMYFUNCTION("""COMPUTED_VALUE"""),159.45)</f>
        <v>159.45</v>
      </c>
      <c r="D819" s="1">
        <f>IFERROR(__xludf.DUMMYFUNCTION("""COMPUTED_VALUE"""),155.98)</f>
        <v>155.98</v>
      </c>
      <c r="E819" s="1">
        <f>IFERROR(__xludf.DUMMYFUNCTION("""COMPUTED_VALUE"""),157.24)</f>
        <v>157.24</v>
      </c>
      <c r="F819" s="1">
        <f>IFERROR(__xludf.DUMMYFUNCTION("""COMPUTED_VALUE"""),1.8688747E7)</f>
        <v>18688747</v>
      </c>
    </row>
    <row r="820">
      <c r="A820" s="2">
        <f>IFERROR(__xludf.DUMMYFUNCTION("""COMPUTED_VALUE"""),45541.66666666667)</f>
        <v>45541.66667</v>
      </c>
      <c r="B820" s="1">
        <f>IFERROR(__xludf.DUMMYFUNCTION("""COMPUTED_VALUE"""),157.3)</f>
        <v>157.3</v>
      </c>
      <c r="C820" s="1">
        <f>IFERROR(__xludf.DUMMYFUNCTION("""COMPUTED_VALUE"""),157.83)</f>
        <v>157.83</v>
      </c>
      <c r="D820" s="1">
        <f>IFERROR(__xludf.DUMMYFUNCTION("""COMPUTED_VALUE"""),150.55)</f>
        <v>150.55</v>
      </c>
      <c r="E820" s="1">
        <f>IFERROR(__xludf.DUMMYFUNCTION("""COMPUTED_VALUE"""),150.92)</f>
        <v>150.92</v>
      </c>
      <c r="F820" s="1">
        <f>IFERROR(__xludf.DUMMYFUNCTION("""COMPUTED_VALUE"""),3.791213E7)</f>
        <v>37912130</v>
      </c>
    </row>
    <row r="821">
      <c r="A821" s="2">
        <f>IFERROR(__xludf.DUMMYFUNCTION("""COMPUTED_VALUE"""),45544.66666666667)</f>
        <v>45544.66667</v>
      </c>
      <c r="B821" s="1">
        <f>IFERROR(__xludf.DUMMYFUNCTION("""COMPUTED_VALUE"""),152.51)</f>
        <v>152.51</v>
      </c>
      <c r="C821" s="1">
        <f>IFERROR(__xludf.DUMMYFUNCTION("""COMPUTED_VALUE"""),153.4)</f>
        <v>153.4</v>
      </c>
      <c r="D821" s="1">
        <f>IFERROR(__xludf.DUMMYFUNCTION("""COMPUTED_VALUE"""),147.22)</f>
        <v>147.22</v>
      </c>
      <c r="E821" s="1">
        <f>IFERROR(__xludf.DUMMYFUNCTION("""COMPUTED_VALUE"""),148.71)</f>
        <v>148.71</v>
      </c>
      <c r="F821" s="1">
        <f>IFERROR(__xludf.DUMMYFUNCTION("""COMPUTED_VALUE"""),3.9260451E7)</f>
        <v>39260451</v>
      </c>
    </row>
    <row r="822">
      <c r="A822" s="2">
        <f>IFERROR(__xludf.DUMMYFUNCTION("""COMPUTED_VALUE"""),45545.66666666667)</f>
        <v>45545.66667</v>
      </c>
      <c r="B822" s="1">
        <f>IFERROR(__xludf.DUMMYFUNCTION("""COMPUTED_VALUE"""),150.45)</f>
        <v>150.45</v>
      </c>
      <c r="C822" s="1">
        <f>IFERROR(__xludf.DUMMYFUNCTION("""COMPUTED_VALUE"""),151.27)</f>
        <v>151.27</v>
      </c>
      <c r="D822" s="1">
        <f>IFERROR(__xludf.DUMMYFUNCTION("""COMPUTED_VALUE"""),148.34)</f>
        <v>148.34</v>
      </c>
      <c r="E822" s="1">
        <f>IFERROR(__xludf.DUMMYFUNCTION("""COMPUTED_VALUE"""),148.66)</f>
        <v>148.66</v>
      </c>
      <c r="F822" s="1">
        <f>IFERROR(__xludf.DUMMYFUNCTION("""COMPUTED_VALUE"""),3.1118765E7)</f>
        <v>31118765</v>
      </c>
    </row>
    <row r="823">
      <c r="A823" s="2">
        <f>IFERROR(__xludf.DUMMYFUNCTION("""COMPUTED_VALUE"""),45546.66666666667)</f>
        <v>45546.66667</v>
      </c>
      <c r="B823" s="1">
        <f>IFERROR(__xludf.DUMMYFUNCTION("""COMPUTED_VALUE"""),149.92)</f>
        <v>149.92</v>
      </c>
      <c r="C823" s="1">
        <f>IFERROR(__xludf.DUMMYFUNCTION("""COMPUTED_VALUE"""),151.5)</f>
        <v>151.5</v>
      </c>
      <c r="D823" s="1">
        <f>IFERROR(__xludf.DUMMYFUNCTION("""COMPUTED_VALUE"""),147.52)</f>
        <v>147.52</v>
      </c>
      <c r="E823" s="1">
        <f>IFERROR(__xludf.DUMMYFUNCTION("""COMPUTED_VALUE"""),151.16)</f>
        <v>151.16</v>
      </c>
      <c r="F823" s="1">
        <f>IFERROR(__xludf.DUMMYFUNCTION("""COMPUTED_VALUE"""),2.9607693E7)</f>
        <v>29607693</v>
      </c>
    </row>
    <row r="824">
      <c r="A824" s="2">
        <f>IFERROR(__xludf.DUMMYFUNCTION("""COMPUTED_VALUE"""),45547.66666666667)</f>
        <v>45547.66667</v>
      </c>
      <c r="B824" s="1">
        <f>IFERROR(__xludf.DUMMYFUNCTION("""COMPUTED_VALUE"""),153.8)</f>
        <v>153.8</v>
      </c>
      <c r="C824" s="1">
        <f>IFERROR(__xludf.DUMMYFUNCTION("""COMPUTED_VALUE"""),154.82)</f>
        <v>154.82</v>
      </c>
      <c r="D824" s="1">
        <f>IFERROR(__xludf.DUMMYFUNCTION("""COMPUTED_VALUE"""),152.65)</f>
        <v>152.65</v>
      </c>
      <c r="E824" s="1">
        <f>IFERROR(__xludf.DUMMYFUNCTION("""COMPUTED_VALUE"""),154.69)</f>
        <v>154.69</v>
      </c>
      <c r="F824" s="1">
        <f>IFERROR(__xludf.DUMMYFUNCTION("""COMPUTED_VALUE"""),2.9695048E7)</f>
        <v>29695048</v>
      </c>
    </row>
    <row r="825">
      <c r="A825" s="2">
        <f>IFERROR(__xludf.DUMMYFUNCTION("""COMPUTED_VALUE"""),45548.66666666667)</f>
        <v>45548.66667</v>
      </c>
      <c r="B825" s="1">
        <f>IFERROR(__xludf.DUMMYFUNCTION("""COMPUTED_VALUE"""),155.43)</f>
        <v>155.43</v>
      </c>
      <c r="C825" s="1">
        <f>IFERROR(__xludf.DUMMYFUNCTION("""COMPUTED_VALUE"""),158.38)</f>
        <v>158.38</v>
      </c>
      <c r="D825" s="1">
        <f>IFERROR(__xludf.DUMMYFUNCTION("""COMPUTED_VALUE"""),155.21)</f>
        <v>155.21</v>
      </c>
      <c r="E825" s="1">
        <f>IFERROR(__xludf.DUMMYFUNCTION("""COMPUTED_VALUE"""),157.46)</f>
        <v>157.46</v>
      </c>
      <c r="F825" s="1">
        <f>IFERROR(__xludf.DUMMYFUNCTION("""COMPUTED_VALUE"""),2.9591152E7)</f>
        <v>29591152</v>
      </c>
    </row>
    <row r="826">
      <c r="A826" s="2">
        <f>IFERROR(__xludf.DUMMYFUNCTION("""COMPUTED_VALUE"""),45551.66666666667)</f>
        <v>45551.66667</v>
      </c>
      <c r="B826" s="1">
        <f>IFERROR(__xludf.DUMMYFUNCTION("""COMPUTED_VALUE"""),157.31)</f>
        <v>157.31</v>
      </c>
      <c r="C826" s="1">
        <f>IFERROR(__xludf.DUMMYFUNCTION("""COMPUTED_VALUE"""),158.25)</f>
        <v>158.25</v>
      </c>
      <c r="D826" s="1">
        <f>IFERROR(__xludf.DUMMYFUNCTION("""COMPUTED_VALUE"""),156.6)</f>
        <v>156.6</v>
      </c>
      <c r="E826" s="1">
        <f>IFERROR(__xludf.DUMMYFUNCTION("""COMPUTED_VALUE"""),158.06)</f>
        <v>158.06</v>
      </c>
      <c r="F826" s="1">
        <f>IFERROR(__xludf.DUMMYFUNCTION("""COMPUTED_VALUE"""),1.8379775E7)</f>
        <v>18379775</v>
      </c>
    </row>
    <row r="827">
      <c r="A827" s="2">
        <f>IFERROR(__xludf.DUMMYFUNCTION("""COMPUTED_VALUE"""),45552.66666666667)</f>
        <v>45552.66667</v>
      </c>
      <c r="B827" s="1">
        <f>IFERROR(__xludf.DUMMYFUNCTION("""COMPUTED_VALUE"""),159.02)</f>
        <v>159.02</v>
      </c>
      <c r="C827" s="1">
        <f>IFERROR(__xludf.DUMMYFUNCTION("""COMPUTED_VALUE"""),160.55)</f>
        <v>160.55</v>
      </c>
      <c r="D827" s="1">
        <f>IFERROR(__xludf.DUMMYFUNCTION("""COMPUTED_VALUE"""),158.38)</f>
        <v>158.38</v>
      </c>
      <c r="E827" s="1">
        <f>IFERROR(__xludf.DUMMYFUNCTION("""COMPUTED_VALUE"""),159.32)</f>
        <v>159.32</v>
      </c>
      <c r="F827" s="1">
        <f>IFERROR(__xludf.DUMMYFUNCTION("""COMPUTED_VALUE"""),2.0715612E7)</f>
        <v>20715612</v>
      </c>
    </row>
    <row r="828">
      <c r="A828" s="2">
        <f>IFERROR(__xludf.DUMMYFUNCTION("""COMPUTED_VALUE"""),45553.66666666667)</f>
        <v>45553.66667</v>
      </c>
      <c r="B828" s="1">
        <f>IFERROR(__xludf.DUMMYFUNCTION("""COMPUTED_VALUE"""),159.86)</f>
        <v>159.86</v>
      </c>
      <c r="C828" s="1">
        <f>IFERROR(__xludf.DUMMYFUNCTION("""COMPUTED_VALUE"""),160.5)</f>
        <v>160.5</v>
      </c>
      <c r="D828" s="1">
        <f>IFERROR(__xludf.DUMMYFUNCTION("""COMPUTED_VALUE"""),158.6)</f>
        <v>158.6</v>
      </c>
      <c r="E828" s="1">
        <f>IFERROR(__xludf.DUMMYFUNCTION("""COMPUTED_VALUE"""),159.81)</f>
        <v>159.81</v>
      </c>
      <c r="F828" s="1">
        <f>IFERROR(__xludf.DUMMYFUNCTION("""COMPUTED_VALUE"""),2.3677315E7)</f>
        <v>23677315</v>
      </c>
    </row>
    <row r="829">
      <c r="A829" s="2">
        <f>IFERROR(__xludf.DUMMYFUNCTION("""COMPUTED_VALUE"""),45554.66666666667)</f>
        <v>45554.66667</v>
      </c>
      <c r="B829" s="1">
        <f>IFERROR(__xludf.DUMMYFUNCTION("""COMPUTED_VALUE"""),163.71)</f>
        <v>163.71</v>
      </c>
      <c r="C829" s="1">
        <f>IFERROR(__xludf.DUMMYFUNCTION("""COMPUTED_VALUE"""),163.79)</f>
        <v>163.79</v>
      </c>
      <c r="D829" s="1">
        <f>IFERROR(__xludf.DUMMYFUNCTION("""COMPUTED_VALUE"""),161.34)</f>
        <v>161.34</v>
      </c>
      <c r="E829" s="1">
        <f>IFERROR(__xludf.DUMMYFUNCTION("""COMPUTED_VALUE"""),162.14)</f>
        <v>162.14</v>
      </c>
      <c r="F829" s="1">
        <f>IFERROR(__xludf.DUMMYFUNCTION("""COMPUTED_VALUE"""),2.6587733E7)</f>
        <v>26587733</v>
      </c>
    </row>
    <row r="830">
      <c r="A830" s="2">
        <f>IFERROR(__xludf.DUMMYFUNCTION("""COMPUTED_VALUE"""),45555.66666666667)</f>
        <v>45555.66667</v>
      </c>
      <c r="B830" s="1">
        <f>IFERROR(__xludf.DUMMYFUNCTION("""COMPUTED_VALUE"""),163.5)</f>
        <v>163.5</v>
      </c>
      <c r="C830" s="1">
        <f>IFERROR(__xludf.DUMMYFUNCTION("""COMPUTED_VALUE"""),163.73)</f>
        <v>163.73</v>
      </c>
      <c r="D830" s="1">
        <f>IFERROR(__xludf.DUMMYFUNCTION("""COMPUTED_VALUE"""),162.06)</f>
        <v>162.06</v>
      </c>
      <c r="E830" s="1">
        <f>IFERROR(__xludf.DUMMYFUNCTION("""COMPUTED_VALUE"""),163.59)</f>
        <v>163.59</v>
      </c>
      <c r="F830" s="1">
        <f>IFERROR(__xludf.DUMMYFUNCTION("""COMPUTED_VALUE"""),4.0896438E7)</f>
        <v>40896438</v>
      </c>
    </row>
    <row r="831">
      <c r="A831" s="2">
        <f>IFERROR(__xludf.DUMMYFUNCTION("""COMPUTED_VALUE"""),45558.66666666667)</f>
        <v>45558.66667</v>
      </c>
      <c r="B831" s="1">
        <f>IFERROR(__xludf.DUMMYFUNCTION("""COMPUTED_VALUE"""),164.35)</f>
        <v>164.35</v>
      </c>
      <c r="C831" s="1">
        <f>IFERROR(__xludf.DUMMYFUNCTION("""COMPUTED_VALUE"""),165.49)</f>
        <v>165.49</v>
      </c>
      <c r="D831" s="1">
        <f>IFERROR(__xludf.DUMMYFUNCTION("""COMPUTED_VALUE"""),161.67)</f>
        <v>161.67</v>
      </c>
      <c r="E831" s="1">
        <f>IFERROR(__xludf.DUMMYFUNCTION("""COMPUTED_VALUE"""),161.85)</f>
        <v>161.85</v>
      </c>
      <c r="F831" s="1">
        <f>IFERROR(__xludf.DUMMYFUNCTION("""COMPUTED_VALUE"""),2.4150852E7)</f>
        <v>24150852</v>
      </c>
    </row>
    <row r="832">
      <c r="A832" s="2">
        <f>IFERROR(__xludf.DUMMYFUNCTION("""COMPUTED_VALUE"""),45559.66666666667)</f>
        <v>45559.66667</v>
      </c>
      <c r="B832" s="1">
        <f>IFERROR(__xludf.DUMMYFUNCTION("""COMPUTED_VALUE"""),163.03)</f>
        <v>163.03</v>
      </c>
      <c r="C832" s="1">
        <f>IFERROR(__xludf.DUMMYFUNCTION("""COMPUTED_VALUE"""),163.22)</f>
        <v>163.22</v>
      </c>
      <c r="D832" s="1">
        <f>IFERROR(__xludf.DUMMYFUNCTION("""COMPUTED_VALUE"""),160.69)</f>
        <v>160.69</v>
      </c>
      <c r="E832" s="1">
        <f>IFERROR(__xludf.DUMMYFUNCTION("""COMPUTED_VALUE"""),162.29)</f>
        <v>162.29</v>
      </c>
      <c r="F832" s="1">
        <f>IFERROR(__xludf.DUMMYFUNCTION("""COMPUTED_VALUE"""),2.3332147E7)</f>
        <v>23332147</v>
      </c>
    </row>
    <row r="833">
      <c r="A833" s="2">
        <f>IFERROR(__xludf.DUMMYFUNCTION("""COMPUTED_VALUE"""),45560.66666666667)</f>
        <v>45560.66667</v>
      </c>
      <c r="B833" s="1">
        <f>IFERROR(__xludf.DUMMYFUNCTION("""COMPUTED_VALUE"""),161.47)</f>
        <v>161.47</v>
      </c>
      <c r="C833" s="1">
        <f>IFERROR(__xludf.DUMMYFUNCTION("""COMPUTED_VALUE"""),162.81)</f>
        <v>162.81</v>
      </c>
      <c r="D833" s="1">
        <f>IFERROR(__xludf.DUMMYFUNCTION("""COMPUTED_VALUE"""),161.3)</f>
        <v>161.3</v>
      </c>
      <c r="E833" s="1">
        <f>IFERROR(__xludf.DUMMYFUNCTION("""COMPUTED_VALUE"""),161.49)</f>
        <v>161.49</v>
      </c>
      <c r="F833" s="1">
        <f>IFERROR(__xludf.DUMMYFUNCTION("""COMPUTED_VALUE"""),1.8869199E7)</f>
        <v>18869199</v>
      </c>
    </row>
    <row r="834">
      <c r="A834" s="2">
        <f>IFERROR(__xludf.DUMMYFUNCTION("""COMPUTED_VALUE"""),45561.66666666667)</f>
        <v>45561.66667</v>
      </c>
      <c r="B834" s="1">
        <f>IFERROR(__xludf.DUMMYFUNCTION("""COMPUTED_VALUE"""),163.64)</f>
        <v>163.64</v>
      </c>
      <c r="C834" s="1">
        <f>IFERROR(__xludf.DUMMYFUNCTION("""COMPUTED_VALUE"""),164.08)</f>
        <v>164.08</v>
      </c>
      <c r="D834" s="1">
        <f>IFERROR(__xludf.DUMMYFUNCTION("""COMPUTED_VALUE"""),162.28)</f>
        <v>162.28</v>
      </c>
      <c r="E834" s="1">
        <f>IFERROR(__xludf.DUMMYFUNCTION("""COMPUTED_VALUE"""),162.73)</f>
        <v>162.73</v>
      </c>
      <c r="F834" s="1">
        <f>IFERROR(__xludf.DUMMYFUNCTION("""COMPUTED_VALUE"""),2.0319336E7)</f>
        <v>20319336</v>
      </c>
    </row>
    <row r="835">
      <c r="A835" s="2">
        <f>IFERROR(__xludf.DUMMYFUNCTION("""COMPUTED_VALUE"""),45562.66666666667)</f>
        <v>45562.66667</v>
      </c>
      <c r="B835" s="1">
        <f>IFERROR(__xludf.DUMMYFUNCTION("""COMPUTED_VALUE"""),162.81)</f>
        <v>162.81</v>
      </c>
      <c r="C835" s="1">
        <f>IFERROR(__xludf.DUMMYFUNCTION("""COMPUTED_VALUE"""),165.7)</f>
        <v>165.7</v>
      </c>
      <c r="D835" s="1">
        <f>IFERROR(__xludf.DUMMYFUNCTION("""COMPUTED_VALUE"""),162.63)</f>
        <v>162.63</v>
      </c>
      <c r="E835" s="1">
        <f>IFERROR(__xludf.DUMMYFUNCTION("""COMPUTED_VALUE"""),163.95)</f>
        <v>163.95</v>
      </c>
      <c r="F835" s="1">
        <f>IFERROR(__xludf.DUMMYFUNCTION("""COMPUTED_VALUE"""),2.1101307E7)</f>
        <v>21101307</v>
      </c>
    </row>
    <row r="836">
      <c r="A836" s="2">
        <f>IFERROR(__xludf.DUMMYFUNCTION("""COMPUTED_VALUE"""),45565.66666666667)</f>
        <v>45565.66667</v>
      </c>
      <c r="B836" s="1">
        <f>IFERROR(__xludf.DUMMYFUNCTION("""COMPUTED_VALUE"""),163.32)</f>
        <v>163.32</v>
      </c>
      <c r="C836" s="1">
        <f>IFERROR(__xludf.DUMMYFUNCTION("""COMPUTED_VALUE"""),166.15)</f>
        <v>166.15</v>
      </c>
      <c r="D836" s="1">
        <f>IFERROR(__xludf.DUMMYFUNCTION("""COMPUTED_VALUE"""),163.26)</f>
        <v>163.26</v>
      </c>
      <c r="E836" s="1">
        <f>IFERROR(__xludf.DUMMYFUNCTION("""COMPUTED_VALUE"""),165.85)</f>
        <v>165.85</v>
      </c>
      <c r="F836" s="1">
        <f>IFERROR(__xludf.DUMMYFUNCTION("""COMPUTED_VALUE"""),2.0481303E7)</f>
        <v>20481303</v>
      </c>
    </row>
    <row r="837">
      <c r="A837" s="2">
        <f>IFERROR(__xludf.DUMMYFUNCTION("""COMPUTED_VALUE"""),45566.66666666667)</f>
        <v>45566.66667</v>
      </c>
      <c r="B837" s="1">
        <f>IFERROR(__xludf.DUMMYFUNCTION("""COMPUTED_VALUE"""),167.69)</f>
        <v>167.69</v>
      </c>
      <c r="C837" s="1">
        <f>IFERROR(__xludf.DUMMYFUNCTION("""COMPUTED_VALUE"""),169.16)</f>
        <v>169.16</v>
      </c>
      <c r="D837" s="1">
        <f>IFERROR(__xludf.DUMMYFUNCTION("""COMPUTED_VALUE"""),164.58)</f>
        <v>164.58</v>
      </c>
      <c r="E837" s="1">
        <f>IFERROR(__xludf.DUMMYFUNCTION("""COMPUTED_VALUE"""),166.99)</f>
        <v>166.99</v>
      </c>
      <c r="F837" s="1">
        <f>IFERROR(__xludf.DUMMYFUNCTION("""COMPUTED_VALUE"""),2.8338123E7)</f>
        <v>28338123</v>
      </c>
    </row>
    <row r="838">
      <c r="A838" s="2">
        <f>IFERROR(__xludf.DUMMYFUNCTION("""COMPUTED_VALUE"""),45567.66666666667)</f>
        <v>45567.66667</v>
      </c>
      <c r="B838" s="1">
        <f>IFERROR(__xludf.DUMMYFUNCTION("""COMPUTED_VALUE"""),166.42)</f>
        <v>166.42</v>
      </c>
      <c r="C838" s="1">
        <f>IFERROR(__xludf.DUMMYFUNCTION("""COMPUTED_VALUE"""),167.52)</f>
        <v>167.52</v>
      </c>
      <c r="D838" s="1">
        <f>IFERROR(__xludf.DUMMYFUNCTION("""COMPUTED_VALUE"""),164.73)</f>
        <v>164.73</v>
      </c>
      <c r="E838" s="1">
        <f>IFERROR(__xludf.DUMMYFUNCTION("""COMPUTED_VALUE"""),165.86)</f>
        <v>165.86</v>
      </c>
      <c r="F838" s="1">
        <f>IFERROR(__xludf.DUMMYFUNCTION("""COMPUTED_VALUE"""),1.7760179E7)</f>
        <v>17760179</v>
      </c>
    </row>
    <row r="839">
      <c r="A839" s="2">
        <f>IFERROR(__xludf.DUMMYFUNCTION("""COMPUTED_VALUE"""),45568.66666666667)</f>
        <v>45568.66667</v>
      </c>
      <c r="B839" s="1">
        <f>IFERROR(__xludf.DUMMYFUNCTION("""COMPUTED_VALUE"""),164.41)</f>
        <v>164.41</v>
      </c>
      <c r="C839" s="1">
        <f>IFERROR(__xludf.DUMMYFUNCTION("""COMPUTED_VALUE"""),166.64)</f>
        <v>166.64</v>
      </c>
      <c r="D839" s="1">
        <f>IFERROR(__xludf.DUMMYFUNCTION("""COMPUTED_VALUE"""),163.92)</f>
        <v>163.92</v>
      </c>
      <c r="E839" s="1">
        <f>IFERROR(__xludf.DUMMYFUNCTION("""COMPUTED_VALUE"""),165.86)</f>
        <v>165.86</v>
      </c>
      <c r="F839" s="1">
        <f>IFERROR(__xludf.DUMMYFUNCTION("""COMPUTED_VALUE"""),1.5073101E7)</f>
        <v>15073101</v>
      </c>
    </row>
    <row r="840">
      <c r="A840" s="2">
        <f>IFERROR(__xludf.DUMMYFUNCTION("""COMPUTED_VALUE"""),45569.66666666667)</f>
        <v>45569.66667</v>
      </c>
      <c r="B840" s="1">
        <f>IFERROR(__xludf.DUMMYFUNCTION("""COMPUTED_VALUE"""),168.06)</f>
        <v>168.06</v>
      </c>
      <c r="C840" s="1">
        <f>IFERROR(__xludf.DUMMYFUNCTION("""COMPUTED_VALUE"""),168.23)</f>
        <v>168.23</v>
      </c>
      <c r="D840" s="1">
        <f>IFERROR(__xludf.DUMMYFUNCTION("""COMPUTED_VALUE"""),165.48)</f>
        <v>165.48</v>
      </c>
      <c r="E840" s="1">
        <f>IFERROR(__xludf.DUMMYFUNCTION("""COMPUTED_VALUE"""),167.06)</f>
        <v>167.06</v>
      </c>
      <c r="F840" s="1">
        <f>IFERROR(__xludf.DUMMYFUNCTION("""COMPUTED_VALUE"""),1.9093724E7)</f>
        <v>19093724</v>
      </c>
    </row>
    <row r="841">
      <c r="A841" s="2">
        <f>IFERROR(__xludf.DUMMYFUNCTION("""COMPUTED_VALUE"""),45572.66666666667)</f>
        <v>45572.66667</v>
      </c>
      <c r="B841" s="1">
        <f>IFERROR(__xludf.DUMMYFUNCTION("""COMPUTED_VALUE"""),167.72)</f>
        <v>167.72</v>
      </c>
      <c r="C841" s="1">
        <f>IFERROR(__xludf.DUMMYFUNCTION("""COMPUTED_VALUE"""),168.48)</f>
        <v>168.48</v>
      </c>
      <c r="D841" s="1">
        <f>IFERROR(__xludf.DUMMYFUNCTION("""COMPUTED_VALUE"""),162.75)</f>
        <v>162.75</v>
      </c>
      <c r="E841" s="1">
        <f>IFERROR(__xludf.DUMMYFUNCTION("""COMPUTED_VALUE"""),162.98)</f>
        <v>162.98</v>
      </c>
      <c r="F841" s="1">
        <f>IFERROR(__xludf.DUMMYFUNCTION("""COMPUTED_VALUE"""),2.246314E7)</f>
        <v>22463140</v>
      </c>
    </row>
    <row r="842">
      <c r="A842" s="2">
        <f>IFERROR(__xludf.DUMMYFUNCTION("""COMPUTED_VALUE"""),45573.66666666667)</f>
        <v>45573.66667</v>
      </c>
      <c r="B842" s="1">
        <f>IFERROR(__xludf.DUMMYFUNCTION("""COMPUTED_VALUE"""),163.94)</f>
        <v>163.94</v>
      </c>
      <c r="C842" s="1">
        <f>IFERROR(__xludf.DUMMYFUNCTION("""COMPUTED_VALUE"""),164.73)</f>
        <v>164.73</v>
      </c>
      <c r="D842" s="1">
        <f>IFERROR(__xludf.DUMMYFUNCTION("""COMPUTED_VALUE"""),162.87)</f>
        <v>162.87</v>
      </c>
      <c r="E842" s="1">
        <f>IFERROR(__xludf.DUMMYFUNCTION("""COMPUTED_VALUE"""),164.38)</f>
        <v>164.38</v>
      </c>
      <c r="F842" s="1">
        <f>IFERROR(__xludf.DUMMYFUNCTION("""COMPUTED_VALUE"""),2.3072733E7)</f>
        <v>23072733</v>
      </c>
    </row>
    <row r="843">
      <c r="A843" s="2">
        <f>IFERROR(__xludf.DUMMYFUNCTION("""COMPUTED_VALUE"""),45574.66666666667)</f>
        <v>45574.66667</v>
      </c>
      <c r="B843" s="1">
        <f>IFERROR(__xludf.DUMMYFUNCTION("""COMPUTED_VALUE"""),163.45)</f>
        <v>163.45</v>
      </c>
      <c r="C843" s="1">
        <f>IFERROR(__xludf.DUMMYFUNCTION("""COMPUTED_VALUE"""),164.84)</f>
        <v>164.84</v>
      </c>
      <c r="D843" s="1">
        <f>IFERROR(__xludf.DUMMYFUNCTION("""COMPUTED_VALUE"""),159.74)</f>
        <v>159.74</v>
      </c>
      <c r="E843" s="1">
        <f>IFERROR(__xludf.DUMMYFUNCTION("""COMPUTED_VALUE"""),161.86)</f>
        <v>161.86</v>
      </c>
      <c r="F843" s="1">
        <f>IFERROR(__xludf.DUMMYFUNCTION("""COMPUTED_VALUE"""),3.1181774E7)</f>
        <v>31181774</v>
      </c>
    </row>
    <row r="844">
      <c r="A844" s="2">
        <f>IFERROR(__xludf.DUMMYFUNCTION("""COMPUTED_VALUE"""),45575.66666666667)</f>
        <v>45575.66667</v>
      </c>
      <c r="B844" s="1">
        <f>IFERROR(__xludf.DUMMYFUNCTION("""COMPUTED_VALUE"""),160.87)</f>
        <v>160.87</v>
      </c>
      <c r="C844" s="1">
        <f>IFERROR(__xludf.DUMMYFUNCTION("""COMPUTED_VALUE"""),163.07)</f>
        <v>163.07</v>
      </c>
      <c r="D844" s="1">
        <f>IFERROR(__xludf.DUMMYFUNCTION("""COMPUTED_VALUE"""),160.4)</f>
        <v>160.4</v>
      </c>
      <c r="E844" s="1">
        <f>IFERROR(__xludf.DUMMYFUNCTION("""COMPUTED_VALUE"""),162.08)</f>
        <v>162.08</v>
      </c>
      <c r="F844" s="1">
        <f>IFERROR(__xludf.DUMMYFUNCTION("""COMPUTED_VALUE"""),1.4144068E7)</f>
        <v>14144068</v>
      </c>
    </row>
    <row r="845">
      <c r="A845" s="2">
        <f>IFERROR(__xludf.DUMMYFUNCTION("""COMPUTED_VALUE"""),45576.66666666667)</f>
        <v>45576.66667</v>
      </c>
      <c r="B845" s="1">
        <f>IFERROR(__xludf.DUMMYFUNCTION("""COMPUTED_VALUE"""),162.13)</f>
        <v>162.13</v>
      </c>
      <c r="C845" s="1">
        <f>IFERROR(__xludf.DUMMYFUNCTION("""COMPUTED_VALUE"""),163.9)</f>
        <v>163.9</v>
      </c>
      <c r="D845" s="1">
        <f>IFERROR(__xludf.DUMMYFUNCTION("""COMPUTED_VALUE"""),161.24)</f>
        <v>161.24</v>
      </c>
      <c r="E845" s="1">
        <f>IFERROR(__xludf.DUMMYFUNCTION("""COMPUTED_VALUE"""),163.24)</f>
        <v>163.24</v>
      </c>
      <c r="F845" s="1">
        <f>IFERROR(__xludf.DUMMYFUNCTION("""COMPUTED_VALUE"""),1.5344251E7)</f>
        <v>15344251</v>
      </c>
    </row>
    <row r="846">
      <c r="A846" s="2">
        <f>IFERROR(__xludf.DUMMYFUNCTION("""COMPUTED_VALUE"""),45579.66666666667)</f>
        <v>45579.66667</v>
      </c>
      <c r="B846" s="1">
        <f>IFERROR(__xludf.DUMMYFUNCTION("""COMPUTED_VALUE"""),163.64)</f>
        <v>163.64</v>
      </c>
      <c r="C846" s="1">
        <f>IFERROR(__xludf.DUMMYFUNCTION("""COMPUTED_VALUE"""),166.23)</f>
        <v>166.23</v>
      </c>
      <c r="D846" s="1">
        <f>IFERROR(__xludf.DUMMYFUNCTION("""COMPUTED_VALUE"""),163.4)</f>
        <v>163.4</v>
      </c>
      <c r="E846" s="1">
        <f>IFERROR(__xludf.DUMMYFUNCTION("""COMPUTED_VALUE"""),164.96)</f>
        <v>164.96</v>
      </c>
      <c r="F846" s="1">
        <f>IFERROR(__xludf.DUMMYFUNCTION("""COMPUTED_VALUE"""),1.9016141E7)</f>
        <v>19016141</v>
      </c>
    </row>
    <row r="847">
      <c r="A847" s="2">
        <f>IFERROR(__xludf.DUMMYFUNCTION("""COMPUTED_VALUE"""),45580.66666666667)</f>
        <v>45580.66667</v>
      </c>
      <c r="B847" s="1">
        <f>IFERROR(__xludf.DUMMYFUNCTION("""COMPUTED_VALUE"""),165.79)</f>
        <v>165.79</v>
      </c>
      <c r="C847" s="1">
        <f>IFERROR(__xludf.DUMMYFUNCTION("""COMPUTED_VALUE"""),167.68)</f>
        <v>167.68</v>
      </c>
      <c r="D847" s="1">
        <f>IFERROR(__xludf.DUMMYFUNCTION("""COMPUTED_VALUE"""),164.63)</f>
        <v>164.63</v>
      </c>
      <c r="E847" s="1">
        <f>IFERROR(__xludf.DUMMYFUNCTION("""COMPUTED_VALUE"""),165.46)</f>
        <v>165.46</v>
      </c>
      <c r="F847" s="1">
        <f>IFERROR(__xludf.DUMMYFUNCTION("""COMPUTED_VALUE"""),2.0247195E7)</f>
        <v>20247195</v>
      </c>
    </row>
    <row r="848">
      <c r="A848" s="2">
        <f>IFERROR(__xludf.DUMMYFUNCTION("""COMPUTED_VALUE"""),45581.66666666667)</f>
        <v>45581.66667</v>
      </c>
      <c r="B848" s="1">
        <f>IFERROR(__xludf.DUMMYFUNCTION("""COMPUTED_VALUE"""),164.53)</f>
        <v>164.53</v>
      </c>
      <c r="C848" s="1">
        <f>IFERROR(__xludf.DUMMYFUNCTION("""COMPUTED_VALUE"""),165.8)</f>
        <v>165.8</v>
      </c>
      <c r="D848" s="1">
        <f>IFERROR(__xludf.DUMMYFUNCTION("""COMPUTED_VALUE"""),163.74)</f>
        <v>163.74</v>
      </c>
      <c r="E848" s="1">
        <f>IFERROR(__xludf.DUMMYFUNCTION("""COMPUTED_VALUE"""),165.16)</f>
        <v>165.16</v>
      </c>
      <c r="F848" s="1">
        <f>IFERROR(__xludf.DUMMYFUNCTION("""COMPUTED_VALUE"""),1.640603E7)</f>
        <v>16406030</v>
      </c>
    </row>
    <row r="849">
      <c r="A849" s="2">
        <f>IFERROR(__xludf.DUMMYFUNCTION("""COMPUTED_VALUE"""),45582.66666666667)</f>
        <v>45582.66667</v>
      </c>
      <c r="B849" s="1">
        <f>IFERROR(__xludf.DUMMYFUNCTION("""COMPUTED_VALUE"""),165.73)</f>
        <v>165.73</v>
      </c>
      <c r="C849" s="1">
        <f>IFERROR(__xludf.DUMMYFUNCTION("""COMPUTED_VALUE"""),166.37)</f>
        <v>166.37</v>
      </c>
      <c r="D849" s="1">
        <f>IFERROR(__xludf.DUMMYFUNCTION("""COMPUTED_VALUE"""),162.76)</f>
        <v>162.76</v>
      </c>
      <c r="E849" s="1">
        <f>IFERROR(__xludf.DUMMYFUNCTION("""COMPUTED_VALUE"""),162.93)</f>
        <v>162.93</v>
      </c>
      <c r="F849" s="1">
        <f>IFERROR(__xludf.DUMMYFUNCTION("""COMPUTED_VALUE"""),2.1453395E7)</f>
        <v>21453395</v>
      </c>
    </row>
    <row r="850">
      <c r="A850" s="2">
        <f>IFERROR(__xludf.DUMMYFUNCTION("""COMPUTED_VALUE"""),45583.66666666667)</f>
        <v>45583.66667</v>
      </c>
      <c r="B850" s="1">
        <f>IFERROR(__xludf.DUMMYFUNCTION("""COMPUTED_VALUE"""),163.19)</f>
        <v>163.19</v>
      </c>
      <c r="C850" s="1">
        <f>IFERROR(__xludf.DUMMYFUNCTION("""COMPUTED_VALUE"""),164.71)</f>
        <v>164.71</v>
      </c>
      <c r="D850" s="1">
        <f>IFERROR(__xludf.DUMMYFUNCTION("""COMPUTED_VALUE"""),163.08)</f>
        <v>163.08</v>
      </c>
      <c r="E850" s="1">
        <f>IFERROR(__xludf.DUMMYFUNCTION("""COMPUTED_VALUE"""),163.42)</f>
        <v>163.42</v>
      </c>
      <c r="F850" s="1">
        <f>IFERROR(__xludf.DUMMYFUNCTION("""COMPUTED_VALUE"""),1.9757661E7)</f>
        <v>19757661</v>
      </c>
    </row>
    <row r="851">
      <c r="A851" s="2">
        <f>IFERROR(__xludf.DUMMYFUNCTION("""COMPUTED_VALUE"""),45586.66666666667)</f>
        <v>45586.66667</v>
      </c>
      <c r="B851" s="1">
        <f>IFERROR(__xludf.DUMMYFUNCTION("""COMPUTED_VALUE"""),162.95)</f>
        <v>162.95</v>
      </c>
      <c r="C851" s="1">
        <f>IFERROR(__xludf.DUMMYFUNCTION("""COMPUTED_VALUE"""),164.5)</f>
        <v>164.5</v>
      </c>
      <c r="D851" s="1">
        <f>IFERROR(__xludf.DUMMYFUNCTION("""COMPUTED_VALUE"""),162.62)</f>
        <v>162.62</v>
      </c>
      <c r="E851" s="1">
        <f>IFERROR(__xludf.DUMMYFUNCTION("""COMPUTED_VALUE"""),164.07)</f>
        <v>164.07</v>
      </c>
      <c r="F851" s="1">
        <f>IFERROR(__xludf.DUMMYFUNCTION("""COMPUTED_VALUE"""),2.0946455E7)</f>
        <v>20946455</v>
      </c>
    </row>
    <row r="852">
      <c r="A852" s="2">
        <f>IFERROR(__xludf.DUMMYFUNCTION("""COMPUTED_VALUE"""),45587.66666666667)</f>
        <v>45587.66667</v>
      </c>
      <c r="B852" s="1">
        <f>IFERROR(__xludf.DUMMYFUNCTION("""COMPUTED_VALUE"""),162.98)</f>
        <v>162.98</v>
      </c>
      <c r="C852" s="1">
        <f>IFERROR(__xludf.DUMMYFUNCTION("""COMPUTED_VALUE"""),165.77)</f>
        <v>165.77</v>
      </c>
      <c r="D852" s="1">
        <f>IFERROR(__xludf.DUMMYFUNCTION("""COMPUTED_VALUE"""),162.98)</f>
        <v>162.98</v>
      </c>
      <c r="E852" s="1">
        <f>IFERROR(__xludf.DUMMYFUNCTION("""COMPUTED_VALUE"""),165.14)</f>
        <v>165.14</v>
      </c>
      <c r="F852" s="1">
        <f>IFERROR(__xludf.DUMMYFUNCTION("""COMPUTED_VALUE"""),1.6568121E7)</f>
        <v>16568121</v>
      </c>
    </row>
    <row r="853">
      <c r="A853" s="2">
        <f>IFERROR(__xludf.DUMMYFUNCTION("""COMPUTED_VALUE"""),45588.66666666667)</f>
        <v>45588.66667</v>
      </c>
      <c r="B853" s="1">
        <f>IFERROR(__xludf.DUMMYFUNCTION("""COMPUTED_VALUE"""),164.76)</f>
        <v>164.76</v>
      </c>
      <c r="C853" s="1">
        <f>IFERROR(__xludf.DUMMYFUNCTION("""COMPUTED_VALUE"""),165.82)</f>
        <v>165.82</v>
      </c>
      <c r="D853" s="1">
        <f>IFERROR(__xludf.DUMMYFUNCTION("""COMPUTED_VALUE"""),161.93)</f>
        <v>161.93</v>
      </c>
      <c r="E853" s="1">
        <f>IFERROR(__xludf.DUMMYFUNCTION("""COMPUTED_VALUE"""),162.78)</f>
        <v>162.78</v>
      </c>
      <c r="F853" s="1">
        <f>IFERROR(__xludf.DUMMYFUNCTION("""COMPUTED_VALUE"""),1.8280518E7)</f>
        <v>18280518</v>
      </c>
    </row>
    <row r="854">
      <c r="A854" s="2">
        <f>IFERROR(__xludf.DUMMYFUNCTION("""COMPUTED_VALUE"""),45589.66666666667)</f>
        <v>45589.66667</v>
      </c>
      <c r="B854" s="1">
        <f>IFERROR(__xludf.DUMMYFUNCTION("""COMPUTED_VALUE"""),162.83)</f>
        <v>162.83</v>
      </c>
      <c r="C854" s="1">
        <f>IFERROR(__xludf.DUMMYFUNCTION("""COMPUTED_VALUE"""),163.33)</f>
        <v>163.33</v>
      </c>
      <c r="D854" s="1">
        <f>IFERROR(__xludf.DUMMYFUNCTION("""COMPUTED_VALUE"""),161.01)</f>
        <v>161.01</v>
      </c>
      <c r="E854" s="1">
        <f>IFERROR(__xludf.DUMMYFUNCTION("""COMPUTED_VALUE"""),162.72)</f>
        <v>162.72</v>
      </c>
      <c r="F854" s="1">
        <f>IFERROR(__xludf.DUMMYFUNCTION("""COMPUTED_VALUE"""),2.2412527E7)</f>
        <v>22412527</v>
      </c>
    </row>
    <row r="855">
      <c r="A855" s="2">
        <f>IFERROR(__xludf.DUMMYFUNCTION("""COMPUTED_VALUE"""),45590.66666666667)</f>
        <v>45590.66667</v>
      </c>
      <c r="B855" s="1">
        <f>IFERROR(__xludf.DUMMYFUNCTION("""COMPUTED_VALUE"""),163.67)</f>
        <v>163.67</v>
      </c>
      <c r="C855" s="1">
        <f>IFERROR(__xludf.DUMMYFUNCTION("""COMPUTED_VALUE"""),165.59)</f>
        <v>165.59</v>
      </c>
      <c r="D855" s="1">
        <f>IFERROR(__xludf.DUMMYFUNCTION("""COMPUTED_VALUE"""),163.42)</f>
        <v>163.42</v>
      </c>
      <c r="E855" s="1">
        <f>IFERROR(__xludf.DUMMYFUNCTION("""COMPUTED_VALUE"""),165.27)</f>
        <v>165.27</v>
      </c>
      <c r="F855" s="1">
        <f>IFERROR(__xludf.DUMMYFUNCTION("""COMPUTED_VALUE"""),1.9828884E7)</f>
        <v>19828884</v>
      </c>
    </row>
    <row r="856">
      <c r="A856" s="2">
        <f>IFERROR(__xludf.DUMMYFUNCTION("""COMPUTED_VALUE"""),45593.66666666667)</f>
        <v>45593.66667</v>
      </c>
      <c r="B856" s="1">
        <f>IFERROR(__xludf.DUMMYFUNCTION("""COMPUTED_VALUE"""),168.75)</f>
        <v>168.75</v>
      </c>
      <c r="C856" s="1">
        <f>IFERROR(__xludf.DUMMYFUNCTION("""COMPUTED_VALUE"""),168.75)</f>
        <v>168.75</v>
      </c>
      <c r="D856" s="1">
        <f>IFERROR(__xludf.DUMMYFUNCTION("""COMPUTED_VALUE"""),163.95)</f>
        <v>163.95</v>
      </c>
      <c r="E856" s="1">
        <f>IFERROR(__xludf.DUMMYFUNCTION("""COMPUTED_VALUE"""),166.72)</f>
        <v>166.72</v>
      </c>
      <c r="F856" s="1">
        <f>IFERROR(__xludf.DUMMYFUNCTION("""COMPUTED_VALUE"""),3.2138641E7)</f>
        <v>32138641</v>
      </c>
    </row>
    <row r="857">
      <c r="A857" s="2">
        <f>IFERROR(__xludf.DUMMYFUNCTION("""COMPUTED_VALUE"""),45594.66666666667)</f>
        <v>45594.66667</v>
      </c>
      <c r="B857" s="1">
        <f>IFERROR(__xludf.DUMMYFUNCTION("""COMPUTED_VALUE"""),167.73)</f>
        <v>167.73</v>
      </c>
      <c r="C857" s="1">
        <f>IFERROR(__xludf.DUMMYFUNCTION("""COMPUTED_VALUE"""),170.38)</f>
        <v>170.38</v>
      </c>
      <c r="D857" s="1">
        <f>IFERROR(__xludf.DUMMYFUNCTION("""COMPUTED_VALUE"""),167.09)</f>
        <v>167.09</v>
      </c>
      <c r="E857" s="1">
        <f>IFERROR(__xludf.DUMMYFUNCTION("""COMPUTED_VALUE"""),169.68)</f>
        <v>169.68</v>
      </c>
      <c r="F857" s="1">
        <f>IFERROR(__xludf.DUMMYFUNCTION("""COMPUTED_VALUE"""),4.2169025E7)</f>
        <v>42169025</v>
      </c>
    </row>
    <row r="858">
      <c r="A858" s="2">
        <f>IFERROR(__xludf.DUMMYFUNCTION("""COMPUTED_VALUE"""),45595.66666666667)</f>
        <v>45595.66667</v>
      </c>
      <c r="B858" s="1">
        <f>IFERROR(__xludf.DUMMYFUNCTION("""COMPUTED_VALUE"""),180.68)</f>
        <v>180.68</v>
      </c>
      <c r="C858" s="1">
        <f>IFERROR(__xludf.DUMMYFUNCTION("""COMPUTED_VALUE"""),182.02)</f>
        <v>182.02</v>
      </c>
      <c r="D858" s="1">
        <f>IFERROR(__xludf.DUMMYFUNCTION("""COMPUTED_VALUE"""),174.06)</f>
        <v>174.06</v>
      </c>
      <c r="E858" s="1">
        <f>IFERROR(__xludf.DUMMYFUNCTION("""COMPUTED_VALUE"""),174.46)</f>
        <v>174.46</v>
      </c>
      <c r="F858" s="1">
        <f>IFERROR(__xludf.DUMMYFUNCTION("""COMPUTED_VALUE"""),6.8890787E7)</f>
        <v>68890787</v>
      </c>
    </row>
    <row r="859">
      <c r="A859" s="2">
        <f>IFERROR(__xludf.DUMMYFUNCTION("""COMPUTED_VALUE"""),45596.66666666667)</f>
        <v>45596.66667</v>
      </c>
      <c r="B859" s="1">
        <f>IFERROR(__xludf.DUMMYFUNCTION("""COMPUTED_VALUE"""),173.13)</f>
        <v>173.13</v>
      </c>
      <c r="C859" s="1">
        <f>IFERROR(__xludf.DUMMYFUNCTION("""COMPUTED_VALUE"""),176.82)</f>
        <v>176.82</v>
      </c>
      <c r="D859" s="1">
        <f>IFERROR(__xludf.DUMMYFUNCTION("""COMPUTED_VALUE"""),171.0)</f>
        <v>171</v>
      </c>
      <c r="E859" s="1">
        <f>IFERROR(__xludf.DUMMYFUNCTION("""COMPUTED_VALUE"""),171.11)</f>
        <v>171.11</v>
      </c>
      <c r="F859" s="1">
        <f>IFERROR(__xludf.DUMMYFUNCTION("""COMPUTED_VALUE"""),4.4768981E7)</f>
        <v>44768981</v>
      </c>
    </row>
    <row r="860">
      <c r="A860" s="2">
        <f>IFERROR(__xludf.DUMMYFUNCTION("""COMPUTED_VALUE"""),45597.66666666667)</f>
        <v>45597.66667</v>
      </c>
      <c r="B860" s="1">
        <f>IFERROR(__xludf.DUMMYFUNCTION("""COMPUTED_VALUE"""),170.07)</f>
        <v>170.07</v>
      </c>
      <c r="C860" s="1">
        <f>IFERROR(__xludf.DUMMYFUNCTION("""COMPUTED_VALUE"""),172.32)</f>
        <v>172.32</v>
      </c>
      <c r="D860" s="1">
        <f>IFERROR(__xludf.DUMMYFUNCTION("""COMPUTED_VALUE"""),168.88)</f>
        <v>168.88</v>
      </c>
      <c r="E860" s="1">
        <f>IFERROR(__xludf.DUMMYFUNCTION("""COMPUTED_VALUE"""),171.29)</f>
        <v>171.29</v>
      </c>
      <c r="F860" s="1">
        <f>IFERROR(__xludf.DUMMYFUNCTION("""COMPUTED_VALUE"""),3.1796477E7)</f>
        <v>31796477</v>
      </c>
    </row>
    <row r="861">
      <c r="A861" s="2">
        <f>IFERROR(__xludf.DUMMYFUNCTION("""COMPUTED_VALUE"""),45600.66666666667)</f>
        <v>45600.66667</v>
      </c>
      <c r="B861" s="1">
        <f>IFERROR(__xludf.DUMMYFUNCTION("""COMPUTED_VALUE"""),169.93)</f>
        <v>169.93</v>
      </c>
      <c r="C861" s="1">
        <f>IFERROR(__xludf.DUMMYFUNCTION("""COMPUTED_VALUE"""),170.73)</f>
        <v>170.73</v>
      </c>
      <c r="D861" s="1">
        <f>IFERROR(__xludf.DUMMYFUNCTION("""COMPUTED_VALUE"""),168.01)</f>
        <v>168.01</v>
      </c>
      <c r="E861" s="1">
        <f>IFERROR(__xludf.DUMMYFUNCTION("""COMPUTED_VALUE"""),169.24)</f>
        <v>169.24</v>
      </c>
      <c r="F861" s="1">
        <f>IFERROR(__xludf.DUMMYFUNCTION("""COMPUTED_VALUE"""),2.1492744E7)</f>
        <v>21492744</v>
      </c>
    </row>
    <row r="862">
      <c r="A862" s="2">
        <f>IFERROR(__xludf.DUMMYFUNCTION("""COMPUTED_VALUE"""),45601.66666666667)</f>
        <v>45601.66667</v>
      </c>
      <c r="B862" s="1">
        <f>IFERROR(__xludf.DUMMYFUNCTION("""COMPUTED_VALUE"""),169.43)</f>
        <v>169.43</v>
      </c>
      <c r="C862" s="1">
        <f>IFERROR(__xludf.DUMMYFUNCTION("""COMPUTED_VALUE"""),170.53)</f>
        <v>170.53</v>
      </c>
      <c r="D862" s="1">
        <f>IFERROR(__xludf.DUMMYFUNCTION("""COMPUTED_VALUE"""),168.84)</f>
        <v>168.84</v>
      </c>
      <c r="E862" s="1">
        <f>IFERROR(__xludf.DUMMYFUNCTION("""COMPUTED_VALUE"""),169.74)</f>
        <v>169.74</v>
      </c>
      <c r="F862" s="1">
        <f>IFERROR(__xludf.DUMMYFUNCTION("""COMPUTED_VALUE"""),1.824205E7)</f>
        <v>18242050</v>
      </c>
    </row>
    <row r="863">
      <c r="A863" s="2">
        <f>IFERROR(__xludf.DUMMYFUNCTION("""COMPUTED_VALUE"""),45602.66666666667)</f>
        <v>45602.66667</v>
      </c>
      <c r="B863" s="1">
        <f>IFERROR(__xludf.DUMMYFUNCTION("""COMPUTED_VALUE"""),173.8)</f>
        <v>173.8</v>
      </c>
      <c r="C863" s="1">
        <f>IFERROR(__xludf.DUMMYFUNCTION("""COMPUTED_VALUE"""),176.94)</f>
        <v>176.94</v>
      </c>
      <c r="D863" s="1">
        <f>IFERROR(__xludf.DUMMYFUNCTION("""COMPUTED_VALUE"""),173.5)</f>
        <v>173.5</v>
      </c>
      <c r="E863" s="1">
        <f>IFERROR(__xludf.DUMMYFUNCTION("""COMPUTED_VALUE"""),176.51)</f>
        <v>176.51</v>
      </c>
      <c r="F863" s="1">
        <f>IFERROR(__xludf.DUMMYFUNCTION("""COMPUTED_VALUE"""),3.3695538E7)</f>
        <v>33695538</v>
      </c>
    </row>
    <row r="864">
      <c r="A864" s="2">
        <f>IFERROR(__xludf.DUMMYFUNCTION("""COMPUTED_VALUE"""),45603.66666666667)</f>
        <v>45603.66667</v>
      </c>
      <c r="B864" s="1">
        <f>IFERROR(__xludf.DUMMYFUNCTION("""COMPUTED_VALUE"""),177.41)</f>
        <v>177.41</v>
      </c>
      <c r="C864" s="1">
        <f>IFERROR(__xludf.DUMMYFUNCTION("""COMPUTED_VALUE"""),181.08)</f>
        <v>181.08</v>
      </c>
      <c r="D864" s="1">
        <f>IFERROR(__xludf.DUMMYFUNCTION("""COMPUTED_VALUE"""),177.19)</f>
        <v>177.19</v>
      </c>
      <c r="E864" s="1">
        <f>IFERROR(__xludf.DUMMYFUNCTION("""COMPUTED_VALUE"""),180.75)</f>
        <v>180.75</v>
      </c>
      <c r="F864" s="1">
        <f>IFERROR(__xludf.DUMMYFUNCTION("""COMPUTED_VALUE"""),2.5352939E7)</f>
        <v>25352939</v>
      </c>
    </row>
    <row r="865">
      <c r="A865" s="2">
        <f>IFERROR(__xludf.DUMMYFUNCTION("""COMPUTED_VALUE"""),45604.66666666667)</f>
        <v>45604.66667</v>
      </c>
      <c r="B865" s="1">
        <f>IFERROR(__xludf.DUMMYFUNCTION("""COMPUTED_VALUE"""),180.65)</f>
        <v>180.65</v>
      </c>
      <c r="C865" s="1">
        <f>IFERROR(__xludf.DUMMYFUNCTION("""COMPUTED_VALUE"""),180.9)</f>
        <v>180.9</v>
      </c>
      <c r="D865" s="1">
        <f>IFERROR(__xludf.DUMMYFUNCTION("""COMPUTED_VALUE"""),178.08)</f>
        <v>178.08</v>
      </c>
      <c r="E865" s="1">
        <f>IFERROR(__xludf.DUMMYFUNCTION("""COMPUTED_VALUE"""),178.35)</f>
        <v>178.35</v>
      </c>
      <c r="F865" s="1">
        <f>IFERROR(__xludf.DUMMYFUNCTION("""COMPUTED_VALUE"""),2.2006182E7)</f>
        <v>22006182</v>
      </c>
    </row>
    <row r="866">
      <c r="A866" s="2">
        <f>IFERROR(__xludf.DUMMYFUNCTION("""COMPUTED_VALUE"""),45607.66666666667)</f>
        <v>45607.66667</v>
      </c>
      <c r="B866" s="1">
        <f>IFERROR(__xludf.DUMMYFUNCTION("""COMPUTED_VALUE"""),178.58)</f>
        <v>178.58</v>
      </c>
      <c r="C866" s="1">
        <f>IFERROR(__xludf.DUMMYFUNCTION("""COMPUTED_VALUE"""),180.55)</f>
        <v>180.55</v>
      </c>
      <c r="D866" s="1">
        <f>IFERROR(__xludf.DUMMYFUNCTION("""COMPUTED_VALUE"""),178.47)</f>
        <v>178.47</v>
      </c>
      <c r="E866" s="1">
        <f>IFERROR(__xludf.DUMMYFUNCTION("""COMPUTED_VALUE"""),180.35)</f>
        <v>180.35</v>
      </c>
      <c r="F866" s="1">
        <f>IFERROR(__xludf.DUMMYFUNCTION("""COMPUTED_VALUE"""),1.7450354E7)</f>
        <v>17450354</v>
      </c>
    </row>
    <row r="867">
      <c r="A867" s="2">
        <f>IFERROR(__xludf.DUMMYFUNCTION("""COMPUTED_VALUE"""),45608.66666666667)</f>
        <v>45608.66667</v>
      </c>
      <c r="B867" s="1">
        <f>IFERROR(__xludf.DUMMYFUNCTION("""COMPUTED_VALUE"""),179.82)</f>
        <v>179.82</v>
      </c>
      <c r="C867" s="1">
        <f>IFERROR(__xludf.DUMMYFUNCTION("""COMPUTED_VALUE"""),182.49)</f>
        <v>182.49</v>
      </c>
      <c r="D867" s="1">
        <f>IFERROR(__xludf.DUMMYFUNCTION("""COMPUTED_VALUE"""),179.39)</f>
        <v>179.39</v>
      </c>
      <c r="E867" s="1">
        <f>IFERROR(__xludf.DUMMYFUNCTION("""COMPUTED_VALUE"""),181.62)</f>
        <v>181.62</v>
      </c>
      <c r="F867" s="1">
        <f>IFERROR(__xludf.DUMMYFUNCTION("""COMPUTED_VALUE"""),2.5134905E7)</f>
        <v>25134905</v>
      </c>
    </row>
    <row r="868">
      <c r="A868" s="2">
        <f>IFERROR(__xludf.DUMMYFUNCTION("""COMPUTED_VALUE"""),45609.66666666667)</f>
        <v>45609.66667</v>
      </c>
      <c r="B868" s="1">
        <f>IFERROR(__xludf.DUMMYFUNCTION("""COMPUTED_VALUE"""),180.46)</f>
        <v>180.46</v>
      </c>
      <c r="C868" s="1">
        <f>IFERROR(__xludf.DUMMYFUNCTION("""COMPUTED_VALUE"""),180.96)</f>
        <v>180.96</v>
      </c>
      <c r="D868" s="1">
        <f>IFERROR(__xludf.DUMMYFUNCTION("""COMPUTED_VALUE"""),178.54)</f>
        <v>178.54</v>
      </c>
      <c r="E868" s="1">
        <f>IFERROR(__xludf.DUMMYFUNCTION("""COMPUTED_VALUE"""),178.88)</f>
        <v>178.88</v>
      </c>
      <c r="F868" s="1">
        <f>IFERROR(__xludf.DUMMYFUNCTION("""COMPUTED_VALUE"""),2.3184003E7)</f>
        <v>23184003</v>
      </c>
    </row>
    <row r="869">
      <c r="A869" s="2">
        <f>IFERROR(__xludf.DUMMYFUNCTION("""COMPUTED_VALUE"""),45610.66666666667)</f>
        <v>45610.66667</v>
      </c>
      <c r="B869" s="1">
        <f>IFERROR(__xludf.DUMMYFUNCTION("""COMPUTED_VALUE"""),178.28)</f>
        <v>178.28</v>
      </c>
      <c r="C869" s="1">
        <f>IFERROR(__xludf.DUMMYFUNCTION("""COMPUTED_VALUE"""),178.82)</f>
        <v>178.82</v>
      </c>
      <c r="D869" s="1">
        <f>IFERROR(__xludf.DUMMYFUNCTION("""COMPUTED_VALUE"""),174.32)</f>
        <v>174.32</v>
      </c>
      <c r="E869" s="1">
        <f>IFERROR(__xludf.DUMMYFUNCTION("""COMPUTED_VALUE"""),175.58)</f>
        <v>175.58</v>
      </c>
      <c r="F869" s="1">
        <f>IFERROR(__xludf.DUMMYFUNCTION("""COMPUTED_VALUE"""),3.1007457E7)</f>
        <v>31007457</v>
      </c>
    </row>
    <row r="870">
      <c r="A870" s="2">
        <f>IFERROR(__xludf.DUMMYFUNCTION("""COMPUTED_VALUE"""),45611.66666666667)</f>
        <v>45611.66667</v>
      </c>
      <c r="B870" s="1">
        <f>IFERROR(__xludf.DUMMYFUNCTION("""COMPUTED_VALUE"""),173.73)</f>
        <v>173.73</v>
      </c>
      <c r="C870" s="1">
        <f>IFERROR(__xludf.DUMMYFUNCTION("""COMPUTED_VALUE"""),174.14)</f>
        <v>174.14</v>
      </c>
      <c r="D870" s="1">
        <f>IFERROR(__xludf.DUMMYFUNCTION("""COMPUTED_VALUE"""),171.22)</f>
        <v>171.22</v>
      </c>
      <c r="E870" s="1">
        <f>IFERROR(__xludf.DUMMYFUNCTION("""COMPUTED_VALUE"""),172.49)</f>
        <v>172.49</v>
      </c>
      <c r="F870" s="1">
        <f>IFERROR(__xludf.DUMMYFUNCTION("""COMPUTED_VALUE"""),3.2504649E7)</f>
        <v>32504649</v>
      </c>
    </row>
    <row r="871">
      <c r="A871" s="2">
        <f>IFERROR(__xludf.DUMMYFUNCTION("""COMPUTED_VALUE"""),45614.66666666667)</f>
        <v>45614.66667</v>
      </c>
      <c r="B871" s="1">
        <f>IFERROR(__xludf.DUMMYFUNCTION("""COMPUTED_VALUE"""),173.42)</f>
        <v>173.42</v>
      </c>
      <c r="C871" s="1">
        <f>IFERROR(__xludf.DUMMYFUNCTION("""COMPUTED_VALUE"""),175.44)</f>
        <v>175.44</v>
      </c>
      <c r="D871" s="1">
        <f>IFERROR(__xludf.DUMMYFUNCTION("""COMPUTED_VALUE"""),172.9)</f>
        <v>172.9</v>
      </c>
      <c r="E871" s="1">
        <f>IFERROR(__xludf.DUMMYFUNCTION("""COMPUTED_VALUE"""),175.3)</f>
        <v>175.3</v>
      </c>
      <c r="F871" s="1">
        <f>IFERROR(__xludf.DUMMYFUNCTION("""COMPUTED_VALUE"""),2.0206613E7)</f>
        <v>20206613</v>
      </c>
    </row>
    <row r="872">
      <c r="A872" s="2">
        <f>IFERROR(__xludf.DUMMYFUNCTION("""COMPUTED_VALUE"""),45615.66666666667)</f>
        <v>45615.66667</v>
      </c>
      <c r="B872" s="1">
        <f>IFERROR(__xludf.DUMMYFUNCTION("""COMPUTED_VALUE"""),173.72)</f>
        <v>173.72</v>
      </c>
      <c r="C872" s="1">
        <f>IFERROR(__xludf.DUMMYFUNCTION("""COMPUTED_VALUE"""),178.87)</f>
        <v>178.87</v>
      </c>
      <c r="D872" s="1">
        <f>IFERROR(__xludf.DUMMYFUNCTION("""COMPUTED_VALUE"""),173.56)</f>
        <v>173.56</v>
      </c>
      <c r="E872" s="1">
        <f>IFERROR(__xludf.DUMMYFUNCTION("""COMPUTED_VALUE"""),178.12)</f>
        <v>178.12</v>
      </c>
      <c r="F872" s="1">
        <f>IFERROR(__xludf.DUMMYFUNCTION("""COMPUTED_VALUE"""),2.3434925E7)</f>
        <v>23434925</v>
      </c>
    </row>
    <row r="873">
      <c r="A873" s="2">
        <f>IFERROR(__xludf.DUMMYFUNCTION("""COMPUTED_VALUE"""),45616.66666666667)</f>
        <v>45616.66667</v>
      </c>
      <c r="B873" s="1">
        <f>IFERROR(__xludf.DUMMYFUNCTION("""COMPUTED_VALUE"""),177.34)</f>
        <v>177.34</v>
      </c>
      <c r="C873" s="1">
        <f>IFERROR(__xludf.DUMMYFUNCTION("""COMPUTED_VALUE"""),177.68)</f>
        <v>177.68</v>
      </c>
      <c r="D873" s="1">
        <f>IFERROR(__xludf.DUMMYFUNCTION("""COMPUTED_VALUE"""),173.78)</f>
        <v>173.78</v>
      </c>
      <c r="E873" s="1">
        <f>IFERROR(__xludf.DUMMYFUNCTION("""COMPUTED_VALUE"""),175.98)</f>
        <v>175.98</v>
      </c>
      <c r="F873" s="1">
        <f>IFERROR(__xludf.DUMMYFUNCTION("""COMPUTED_VALUE"""),1.8997111E7)</f>
        <v>18997111</v>
      </c>
    </row>
    <row r="874">
      <c r="A874" s="2">
        <f>IFERROR(__xludf.DUMMYFUNCTION("""COMPUTED_VALUE"""),45617.66666666667)</f>
        <v>45617.66667</v>
      </c>
      <c r="B874" s="1">
        <f>IFERROR(__xludf.DUMMYFUNCTION("""COMPUTED_VALUE"""),173.9)</f>
        <v>173.9</v>
      </c>
      <c r="C874" s="1">
        <f>IFERROR(__xludf.DUMMYFUNCTION("""COMPUTED_VALUE"""),174.13)</f>
        <v>174.13</v>
      </c>
      <c r="D874" s="1">
        <f>IFERROR(__xludf.DUMMYFUNCTION("""COMPUTED_VALUE"""),163.7)</f>
        <v>163.7</v>
      </c>
      <c r="E874" s="1">
        <f>IFERROR(__xludf.DUMMYFUNCTION("""COMPUTED_VALUE"""),167.63)</f>
        <v>167.63</v>
      </c>
      <c r="F874" s="1">
        <f>IFERROR(__xludf.DUMMYFUNCTION("""COMPUTED_VALUE"""),5.9734379E7)</f>
        <v>59734379</v>
      </c>
    </row>
    <row r="875">
      <c r="A875" s="2">
        <f>IFERROR(__xludf.DUMMYFUNCTION("""COMPUTED_VALUE"""),45618.66666666667)</f>
        <v>45618.66667</v>
      </c>
      <c r="B875" s="1">
        <f>IFERROR(__xludf.DUMMYFUNCTION("""COMPUTED_VALUE"""),165.85)</f>
        <v>165.85</v>
      </c>
      <c r="C875" s="1">
        <f>IFERROR(__xludf.DUMMYFUNCTION("""COMPUTED_VALUE"""),166.46)</f>
        <v>166.46</v>
      </c>
      <c r="D875" s="1">
        <f>IFERROR(__xludf.DUMMYFUNCTION("""COMPUTED_VALUE"""),163.9)</f>
        <v>163.9</v>
      </c>
      <c r="E875" s="1">
        <f>IFERROR(__xludf.DUMMYFUNCTION("""COMPUTED_VALUE"""),164.76)</f>
        <v>164.76</v>
      </c>
      <c r="F875" s="1">
        <f>IFERROR(__xludf.DUMMYFUNCTION("""COMPUTED_VALUE"""),3.8604587E7)</f>
        <v>38604587</v>
      </c>
    </row>
    <row r="876">
      <c r="A876" s="2">
        <f>IFERROR(__xludf.DUMMYFUNCTION("""COMPUTED_VALUE"""),45621.66666666667)</f>
        <v>45621.66667</v>
      </c>
      <c r="B876" s="1">
        <f>IFERROR(__xludf.DUMMYFUNCTION("""COMPUTED_VALUE"""),166.09)</f>
        <v>166.09</v>
      </c>
      <c r="C876" s="1">
        <f>IFERROR(__xludf.DUMMYFUNCTION("""COMPUTED_VALUE"""),168.63)</f>
        <v>168.63</v>
      </c>
      <c r="D876" s="1">
        <f>IFERROR(__xludf.DUMMYFUNCTION("""COMPUTED_VALUE"""),165.61)</f>
        <v>165.61</v>
      </c>
      <c r="E876" s="1">
        <f>IFERROR(__xludf.DUMMYFUNCTION("""COMPUTED_VALUE"""),167.65)</f>
        <v>167.65</v>
      </c>
      <c r="F876" s="1">
        <f>IFERROR(__xludf.DUMMYFUNCTION("""COMPUTED_VALUE"""),3.3135263E7)</f>
        <v>33135263</v>
      </c>
    </row>
    <row r="877">
      <c r="A877" s="2">
        <f>IFERROR(__xludf.DUMMYFUNCTION("""COMPUTED_VALUE"""),45622.66666666667)</f>
        <v>45622.66667</v>
      </c>
      <c r="B877" s="1">
        <f>IFERROR(__xludf.DUMMYFUNCTION("""COMPUTED_VALUE"""),167.63)</f>
        <v>167.63</v>
      </c>
      <c r="C877" s="1">
        <f>IFERROR(__xludf.DUMMYFUNCTION("""COMPUTED_VALUE"""),169.82)</f>
        <v>169.82</v>
      </c>
      <c r="D877" s="1">
        <f>IFERROR(__xludf.DUMMYFUNCTION("""COMPUTED_VALUE"""),167.58)</f>
        <v>167.58</v>
      </c>
      <c r="E877" s="1">
        <f>IFERROR(__xludf.DUMMYFUNCTION("""COMPUTED_VALUE"""),169.12)</f>
        <v>169.12</v>
      </c>
      <c r="F877" s="1">
        <f>IFERROR(__xludf.DUMMYFUNCTION("""COMPUTED_VALUE"""),2.048672E7)</f>
        <v>20486720</v>
      </c>
    </row>
    <row r="878">
      <c r="A878" s="2">
        <f>IFERROR(__xludf.DUMMYFUNCTION("""COMPUTED_VALUE"""),45623.66666666667)</f>
        <v>45623.66667</v>
      </c>
      <c r="B878" s="1">
        <f>IFERROR(__xludf.DUMMYFUNCTION("""COMPUTED_VALUE"""),169.0)</f>
        <v>169</v>
      </c>
      <c r="C878" s="1">
        <f>IFERROR(__xludf.DUMMYFUNCTION("""COMPUTED_VALUE"""),169.48)</f>
        <v>169.48</v>
      </c>
      <c r="D878" s="1">
        <f>IFERROR(__xludf.DUMMYFUNCTION("""COMPUTED_VALUE"""),168.02)</f>
        <v>168.02</v>
      </c>
      <c r="E878" s="1">
        <f>IFERROR(__xludf.DUMMYFUNCTION("""COMPUTED_VALUE"""),169.23)</f>
        <v>169.23</v>
      </c>
      <c r="F878" s="1">
        <f>IFERROR(__xludf.DUMMYFUNCTION("""COMPUTED_VALUE"""),1.9266511E7)</f>
        <v>19266511</v>
      </c>
    </row>
    <row r="879">
      <c r="A879" s="2">
        <f>IFERROR(__xludf.DUMMYFUNCTION("""COMPUTED_VALUE"""),45625.54513888889)</f>
        <v>45625.54514</v>
      </c>
      <c r="B879" s="1">
        <f>IFERROR(__xludf.DUMMYFUNCTION("""COMPUTED_VALUE"""),168.5)</f>
        <v>168.5</v>
      </c>
      <c r="C879" s="1">
        <f>IFERROR(__xludf.DUMMYFUNCTION("""COMPUTED_VALUE"""),169.43)</f>
        <v>169.43</v>
      </c>
      <c r="D879" s="1">
        <f>IFERROR(__xludf.DUMMYFUNCTION("""COMPUTED_VALUE"""),167.16)</f>
        <v>167.16</v>
      </c>
      <c r="E879" s="1">
        <f>IFERROR(__xludf.DUMMYFUNCTION("""COMPUTED_VALUE"""),168.95)</f>
        <v>168.95</v>
      </c>
      <c r="F879" s="1">
        <f>IFERROR(__xludf.DUMMYFUNCTION("""COMPUTED_VALUE"""),1.4257244E7)</f>
        <v>14257244</v>
      </c>
    </row>
    <row r="880">
      <c r="A880" s="2">
        <f>IFERROR(__xludf.DUMMYFUNCTION("""COMPUTED_VALUE"""),45628.66666666667)</f>
        <v>45628.66667</v>
      </c>
      <c r="B880" s="1">
        <f>IFERROR(__xludf.DUMMYFUNCTION("""COMPUTED_VALUE"""),168.77)</f>
        <v>168.77</v>
      </c>
      <c r="C880" s="1">
        <f>IFERROR(__xludf.DUMMYFUNCTION("""COMPUTED_VALUE"""),172.08)</f>
        <v>172.08</v>
      </c>
      <c r="D880" s="1">
        <f>IFERROR(__xludf.DUMMYFUNCTION("""COMPUTED_VALUE"""),168.57)</f>
        <v>168.57</v>
      </c>
      <c r="E880" s="1">
        <f>IFERROR(__xludf.DUMMYFUNCTION("""COMPUTED_VALUE"""),171.49)</f>
        <v>171.49</v>
      </c>
      <c r="F880" s="1">
        <f>IFERROR(__xludf.DUMMYFUNCTION("""COMPUTED_VALUE"""),2.3789084E7)</f>
        <v>23789084</v>
      </c>
    </row>
    <row r="881">
      <c r="A881" s="2">
        <f>IFERROR(__xludf.DUMMYFUNCTION("""COMPUTED_VALUE"""),45629.66666666667)</f>
        <v>45629.66667</v>
      </c>
      <c r="B881" s="1">
        <f>IFERROR(__xludf.DUMMYFUNCTION("""COMPUTED_VALUE"""),171.49)</f>
        <v>171.49</v>
      </c>
      <c r="C881" s="1">
        <f>IFERROR(__xludf.DUMMYFUNCTION("""COMPUTED_VALUE"""),172.68)</f>
        <v>172.68</v>
      </c>
      <c r="D881" s="1">
        <f>IFERROR(__xludf.DUMMYFUNCTION("""COMPUTED_VALUE"""),170.85)</f>
        <v>170.85</v>
      </c>
      <c r="E881" s="1">
        <f>IFERROR(__xludf.DUMMYFUNCTION("""COMPUTED_VALUE"""),171.34)</f>
        <v>171.34</v>
      </c>
      <c r="F881" s="1">
        <f>IFERROR(__xludf.DUMMYFUNCTION("""COMPUTED_VALUE"""),2.2248705E7)</f>
        <v>22248705</v>
      </c>
    </row>
    <row r="882">
      <c r="A882" s="2">
        <f>IFERROR(__xludf.DUMMYFUNCTION("""COMPUTED_VALUE"""),45630.66666666667)</f>
        <v>45630.66667</v>
      </c>
      <c r="B882" s="1">
        <f>IFERROR(__xludf.DUMMYFUNCTION("""COMPUTED_VALUE"""),171.15)</f>
        <v>171.15</v>
      </c>
      <c r="C882" s="1">
        <f>IFERROR(__xludf.DUMMYFUNCTION("""COMPUTED_VALUE"""),174.91)</f>
        <v>174.91</v>
      </c>
      <c r="D882" s="1">
        <f>IFERROR(__xludf.DUMMYFUNCTION("""COMPUTED_VALUE"""),171.06)</f>
        <v>171.06</v>
      </c>
      <c r="E882" s="1">
        <f>IFERROR(__xludf.DUMMYFUNCTION("""COMPUTED_VALUE"""),174.37)</f>
        <v>174.37</v>
      </c>
      <c r="F882" s="1">
        <f>IFERROR(__xludf.DUMMYFUNCTION("""COMPUTED_VALUE"""),3.1615137E7)</f>
        <v>31615137</v>
      </c>
    </row>
    <row r="883">
      <c r="A883" s="2">
        <f>IFERROR(__xludf.DUMMYFUNCTION("""COMPUTED_VALUE"""),45631.66666666667)</f>
        <v>45631.66667</v>
      </c>
      <c r="B883" s="1">
        <f>IFERROR(__xludf.DUMMYFUNCTION("""COMPUTED_VALUE"""),175.36)</f>
        <v>175.36</v>
      </c>
      <c r="C883" s="1">
        <f>IFERROR(__xludf.DUMMYFUNCTION("""COMPUTED_VALUE"""),176.06)</f>
        <v>176.06</v>
      </c>
      <c r="D883" s="1">
        <f>IFERROR(__xludf.DUMMYFUNCTION("""COMPUTED_VALUE"""),172.33)</f>
        <v>172.33</v>
      </c>
      <c r="E883" s="1">
        <f>IFERROR(__xludf.DUMMYFUNCTION("""COMPUTED_VALUE"""),172.64)</f>
        <v>172.64</v>
      </c>
      <c r="F883" s="1">
        <f>IFERROR(__xludf.DUMMYFUNCTION("""COMPUTED_VALUE"""),2.1356243E7)</f>
        <v>21356243</v>
      </c>
    </row>
    <row r="884">
      <c r="A884" s="2">
        <f>IFERROR(__xludf.DUMMYFUNCTION("""COMPUTED_VALUE"""),45632.66666666667)</f>
        <v>45632.66667</v>
      </c>
      <c r="B884" s="1">
        <f>IFERROR(__xludf.DUMMYFUNCTION("""COMPUTED_VALUE"""),172.03)</f>
        <v>172.03</v>
      </c>
      <c r="C884" s="1">
        <f>IFERROR(__xludf.DUMMYFUNCTION("""COMPUTED_VALUE"""),175.08)</f>
        <v>175.08</v>
      </c>
      <c r="D884" s="1">
        <f>IFERROR(__xludf.DUMMYFUNCTION("""COMPUTED_VALUE"""),171.86)</f>
        <v>171.86</v>
      </c>
      <c r="E884" s="1">
        <f>IFERROR(__xludf.DUMMYFUNCTION("""COMPUTED_VALUE"""),174.71)</f>
        <v>174.71</v>
      </c>
      <c r="F884" s="1">
        <f>IFERROR(__xludf.DUMMYFUNCTION("""COMPUTED_VALUE"""),2.1462393E7)</f>
        <v>21462393</v>
      </c>
    </row>
    <row r="885">
      <c r="A885" s="2">
        <f>IFERROR(__xludf.DUMMYFUNCTION("""COMPUTED_VALUE"""),45635.66666666667)</f>
        <v>45635.66667</v>
      </c>
      <c r="B885" s="1">
        <f>IFERROR(__xludf.DUMMYFUNCTION("""COMPUTED_VALUE"""),173.96)</f>
        <v>173.96</v>
      </c>
      <c r="C885" s="1">
        <f>IFERROR(__xludf.DUMMYFUNCTION("""COMPUTED_VALUE"""),176.26)</f>
        <v>176.26</v>
      </c>
      <c r="D885" s="1">
        <f>IFERROR(__xludf.DUMMYFUNCTION("""COMPUTED_VALUE"""),173.65)</f>
        <v>173.65</v>
      </c>
      <c r="E885" s="1">
        <f>IFERROR(__xludf.DUMMYFUNCTION("""COMPUTED_VALUE"""),175.37)</f>
        <v>175.37</v>
      </c>
      <c r="F885" s="1">
        <f>IFERROR(__xludf.DUMMYFUNCTION("""COMPUTED_VALUE"""),2.5389631E7)</f>
        <v>25389631</v>
      </c>
    </row>
    <row r="886">
      <c r="A886" s="2">
        <f>IFERROR(__xludf.DUMMYFUNCTION("""COMPUTED_VALUE"""),45636.66666666667)</f>
        <v>45636.66667</v>
      </c>
      <c r="B886" s="1">
        <f>IFERROR(__xludf.DUMMYFUNCTION("""COMPUTED_VALUE"""),182.85)</f>
        <v>182.85</v>
      </c>
      <c r="C886" s="1">
        <f>IFERROR(__xludf.DUMMYFUNCTION("""COMPUTED_VALUE"""),186.36)</f>
        <v>186.36</v>
      </c>
      <c r="D886" s="1">
        <f>IFERROR(__xludf.DUMMYFUNCTION("""COMPUTED_VALUE"""),181.05)</f>
        <v>181.05</v>
      </c>
      <c r="E886" s="1">
        <f>IFERROR(__xludf.DUMMYFUNCTION("""COMPUTED_VALUE"""),185.17)</f>
        <v>185.17</v>
      </c>
      <c r="F886" s="1">
        <f>IFERROR(__xludf.DUMMYFUNCTION("""COMPUTED_VALUE"""),5.4813022E7)</f>
        <v>54813022</v>
      </c>
    </row>
    <row r="887">
      <c r="A887" s="2">
        <f>IFERROR(__xludf.DUMMYFUNCTION("""COMPUTED_VALUE"""),45637.66666666667)</f>
        <v>45637.66667</v>
      </c>
      <c r="B887" s="1">
        <f>IFERROR(__xludf.DUMMYFUNCTION("""COMPUTED_VALUE"""),185.31)</f>
        <v>185.31</v>
      </c>
      <c r="C887" s="1">
        <f>IFERROR(__xludf.DUMMYFUNCTION("""COMPUTED_VALUE"""),195.61)</f>
        <v>195.61</v>
      </c>
      <c r="D887" s="1">
        <f>IFERROR(__xludf.DUMMYFUNCTION("""COMPUTED_VALUE"""),184.85)</f>
        <v>184.85</v>
      </c>
      <c r="E887" s="1">
        <f>IFERROR(__xludf.DUMMYFUNCTION("""COMPUTED_VALUE"""),195.4)</f>
        <v>195.4</v>
      </c>
      <c r="F887" s="1">
        <f>IFERROR(__xludf.DUMMYFUNCTION("""COMPUTED_VALUE"""),6.7894071E7)</f>
        <v>67894071</v>
      </c>
    </row>
    <row r="888">
      <c r="A888" s="2">
        <f>IFERROR(__xludf.DUMMYFUNCTION("""COMPUTED_VALUE"""),45638.66666666667)</f>
        <v>45638.66667</v>
      </c>
      <c r="B888" s="1">
        <f>IFERROR(__xludf.DUMMYFUNCTION("""COMPUTED_VALUE"""),195.0)</f>
        <v>195</v>
      </c>
      <c r="C888" s="1">
        <f>IFERROR(__xludf.DUMMYFUNCTION("""COMPUTED_VALUE"""),195.18)</f>
        <v>195.18</v>
      </c>
      <c r="D888" s="1">
        <f>IFERROR(__xludf.DUMMYFUNCTION("""COMPUTED_VALUE"""),191.71)</f>
        <v>191.71</v>
      </c>
      <c r="E888" s="1">
        <f>IFERROR(__xludf.DUMMYFUNCTION("""COMPUTED_VALUE"""),191.96)</f>
        <v>191.96</v>
      </c>
      <c r="F888" s="1">
        <f>IFERROR(__xludf.DUMMYFUNCTION("""COMPUTED_VALUE"""),3.4817486E7)</f>
        <v>34817486</v>
      </c>
    </row>
    <row r="889">
      <c r="A889" s="2">
        <f>IFERROR(__xludf.DUMMYFUNCTION("""COMPUTED_VALUE"""),45639.66666666667)</f>
        <v>45639.66667</v>
      </c>
      <c r="B889" s="1">
        <f>IFERROR(__xludf.DUMMYFUNCTION("""COMPUTED_VALUE"""),191.01)</f>
        <v>191.01</v>
      </c>
      <c r="C889" s="1">
        <f>IFERROR(__xludf.DUMMYFUNCTION("""COMPUTED_VALUE"""),192.73)</f>
        <v>192.73</v>
      </c>
      <c r="D889" s="1">
        <f>IFERROR(__xludf.DUMMYFUNCTION("""COMPUTED_VALUE"""),189.64)</f>
        <v>189.64</v>
      </c>
      <c r="E889" s="1">
        <f>IFERROR(__xludf.DUMMYFUNCTION("""COMPUTED_VALUE"""),189.82)</f>
        <v>189.82</v>
      </c>
      <c r="F889" s="1">
        <f>IFERROR(__xludf.DUMMYFUNCTION("""COMPUTED_VALUE"""),2.5143495E7)</f>
        <v>25143495</v>
      </c>
    </row>
    <row r="890">
      <c r="A890" s="2">
        <f>IFERROR(__xludf.DUMMYFUNCTION("""COMPUTED_VALUE"""),45642.66666666667)</f>
        <v>45642.66667</v>
      </c>
      <c r="B890" s="1">
        <f>IFERROR(__xludf.DUMMYFUNCTION("""COMPUTED_VALUE"""),192.87)</f>
        <v>192.87</v>
      </c>
      <c r="C890" s="1">
        <f>IFERROR(__xludf.DUMMYFUNCTION("""COMPUTED_VALUE"""),199.0)</f>
        <v>199</v>
      </c>
      <c r="D890" s="1">
        <f>IFERROR(__xludf.DUMMYFUNCTION("""COMPUTED_VALUE"""),192.62)</f>
        <v>192.62</v>
      </c>
      <c r="E890" s="1">
        <f>IFERROR(__xludf.DUMMYFUNCTION("""COMPUTED_VALUE"""),196.66)</f>
        <v>196.66</v>
      </c>
      <c r="F890" s="1">
        <f>IFERROR(__xludf.DUMMYFUNCTION("""COMPUTED_VALUE"""),4.4934901E7)</f>
        <v>44934901</v>
      </c>
    </row>
    <row r="891">
      <c r="A891" s="2">
        <f>IFERROR(__xludf.DUMMYFUNCTION("""COMPUTED_VALUE"""),45643.66666666667)</f>
        <v>45643.66667</v>
      </c>
      <c r="B891" s="1">
        <f>IFERROR(__xludf.DUMMYFUNCTION("""COMPUTED_VALUE"""),197.25)</f>
        <v>197.25</v>
      </c>
      <c r="C891" s="1">
        <f>IFERROR(__xludf.DUMMYFUNCTION("""COMPUTED_VALUE"""),201.42)</f>
        <v>201.42</v>
      </c>
      <c r="D891" s="1">
        <f>IFERROR(__xludf.DUMMYFUNCTION("""COMPUTED_VALUE"""),194.98)</f>
        <v>194.98</v>
      </c>
      <c r="E891" s="1">
        <f>IFERROR(__xludf.DUMMYFUNCTION("""COMPUTED_VALUE"""),195.42)</f>
        <v>195.42</v>
      </c>
      <c r="F891" s="1">
        <f>IFERROR(__xludf.DUMMYFUNCTION("""COMPUTED_VALUE"""),4.3504025E7)</f>
        <v>43504025</v>
      </c>
    </row>
    <row r="892">
      <c r="A892" s="2">
        <f>IFERROR(__xludf.DUMMYFUNCTION("""COMPUTED_VALUE"""),45644.66666666667)</f>
        <v>45644.66667</v>
      </c>
      <c r="B892" s="1">
        <f>IFERROR(__xludf.DUMMYFUNCTION("""COMPUTED_VALUE"""),195.22)</f>
        <v>195.22</v>
      </c>
      <c r="C892" s="1">
        <f>IFERROR(__xludf.DUMMYFUNCTION("""COMPUTED_VALUE"""),197.0)</f>
        <v>197</v>
      </c>
      <c r="D892" s="1">
        <f>IFERROR(__xludf.DUMMYFUNCTION("""COMPUTED_VALUE"""),187.74)</f>
        <v>187.74</v>
      </c>
      <c r="E892" s="1">
        <f>IFERROR(__xludf.DUMMYFUNCTION("""COMPUTED_VALUE"""),188.4)</f>
        <v>188.4</v>
      </c>
      <c r="F892" s="1">
        <f>IFERROR(__xludf.DUMMYFUNCTION("""COMPUTED_VALUE"""),3.4166074E7)</f>
        <v>34166074</v>
      </c>
    </row>
    <row r="893">
      <c r="A893" s="2">
        <f>IFERROR(__xludf.DUMMYFUNCTION("""COMPUTED_VALUE"""),45645.66666666667)</f>
        <v>45645.66667</v>
      </c>
      <c r="B893" s="1">
        <f>IFERROR(__xludf.DUMMYFUNCTION("""COMPUTED_VALUE"""),191.63)</f>
        <v>191.63</v>
      </c>
      <c r="C893" s="1">
        <f>IFERROR(__xludf.DUMMYFUNCTION("""COMPUTED_VALUE"""),193.03)</f>
        <v>193.03</v>
      </c>
      <c r="D893" s="1">
        <f>IFERROR(__xludf.DUMMYFUNCTION("""COMPUTED_VALUE"""),188.38)</f>
        <v>188.38</v>
      </c>
      <c r="E893" s="1">
        <f>IFERROR(__xludf.DUMMYFUNCTION("""COMPUTED_VALUE"""),188.51)</f>
        <v>188.51</v>
      </c>
      <c r="F893" s="1">
        <f>IFERROR(__xludf.DUMMYFUNCTION("""COMPUTED_VALUE"""),3.2265241E7)</f>
        <v>32265241</v>
      </c>
    </row>
    <row r="894">
      <c r="A894" s="2">
        <f>IFERROR(__xludf.DUMMYFUNCTION("""COMPUTED_VALUE"""),45646.66666666667)</f>
        <v>45646.66667</v>
      </c>
      <c r="B894" s="1">
        <f>IFERROR(__xludf.DUMMYFUNCTION("""COMPUTED_VALUE"""),185.78)</f>
        <v>185.78</v>
      </c>
      <c r="C894" s="1">
        <f>IFERROR(__xludf.DUMMYFUNCTION("""COMPUTED_VALUE"""),192.89)</f>
        <v>192.89</v>
      </c>
      <c r="D894" s="1">
        <f>IFERROR(__xludf.DUMMYFUNCTION("""COMPUTED_VALUE"""),185.22)</f>
        <v>185.22</v>
      </c>
      <c r="E894" s="1">
        <f>IFERROR(__xludf.DUMMYFUNCTION("""COMPUTED_VALUE"""),191.41)</f>
        <v>191.41</v>
      </c>
      <c r="F894" s="1">
        <f>IFERROR(__xludf.DUMMYFUNCTION("""COMPUTED_VALUE"""),6.3462934E7)</f>
        <v>63462934</v>
      </c>
    </row>
    <row r="895">
      <c r="A895" s="2">
        <f>IFERROR(__xludf.DUMMYFUNCTION("""COMPUTED_VALUE"""),45649.66666666667)</f>
        <v>45649.66667</v>
      </c>
      <c r="B895" s="1">
        <f>IFERROR(__xludf.DUMMYFUNCTION("""COMPUTED_VALUE"""),192.62)</f>
        <v>192.62</v>
      </c>
      <c r="C895" s="1">
        <f>IFERROR(__xludf.DUMMYFUNCTION("""COMPUTED_VALUE"""),195.1)</f>
        <v>195.1</v>
      </c>
      <c r="D895" s="1">
        <f>IFERROR(__xludf.DUMMYFUNCTION("""COMPUTED_VALUE"""),190.15)</f>
        <v>190.15</v>
      </c>
      <c r="E895" s="1">
        <f>IFERROR(__xludf.DUMMYFUNCTION("""COMPUTED_VALUE"""),194.63)</f>
        <v>194.63</v>
      </c>
      <c r="F895" s="1">
        <f>IFERROR(__xludf.DUMMYFUNCTION("""COMPUTED_VALUE"""),2.5675014E7)</f>
        <v>25675014</v>
      </c>
    </row>
    <row r="896">
      <c r="A896" s="2">
        <f>IFERROR(__xludf.DUMMYFUNCTION("""COMPUTED_VALUE"""),45650.54513888889)</f>
        <v>45650.54514</v>
      </c>
      <c r="B896" s="1">
        <f>IFERROR(__xludf.DUMMYFUNCTION("""COMPUTED_VALUE"""),194.84)</f>
        <v>194.84</v>
      </c>
      <c r="C896" s="1">
        <f>IFERROR(__xludf.DUMMYFUNCTION("""COMPUTED_VALUE"""),196.11)</f>
        <v>196.11</v>
      </c>
      <c r="D896" s="1">
        <f>IFERROR(__xludf.DUMMYFUNCTION("""COMPUTED_VALUE"""),193.78)</f>
        <v>193.78</v>
      </c>
      <c r="E896" s="1">
        <f>IFERROR(__xludf.DUMMYFUNCTION("""COMPUTED_VALUE"""),196.11)</f>
        <v>196.11</v>
      </c>
      <c r="F896" s="1">
        <f>IFERROR(__xludf.DUMMYFUNCTION("""COMPUTED_VALUE"""),1.0403259E7)</f>
        <v>10403259</v>
      </c>
    </row>
    <row r="897">
      <c r="A897" s="2">
        <f>IFERROR(__xludf.DUMMYFUNCTION("""COMPUTED_VALUE"""),45652.66666666667)</f>
        <v>45652.66667</v>
      </c>
      <c r="B897" s="1">
        <f>IFERROR(__xludf.DUMMYFUNCTION("""COMPUTED_VALUE"""),195.15)</f>
        <v>195.15</v>
      </c>
      <c r="C897" s="1">
        <f>IFERROR(__xludf.DUMMYFUNCTION("""COMPUTED_VALUE"""),196.75)</f>
        <v>196.75</v>
      </c>
      <c r="D897" s="1">
        <f>IFERROR(__xludf.DUMMYFUNCTION("""COMPUTED_VALUE"""),194.38)</f>
        <v>194.38</v>
      </c>
      <c r="E897" s="1">
        <f>IFERROR(__xludf.DUMMYFUNCTION("""COMPUTED_VALUE"""),195.6)</f>
        <v>195.6</v>
      </c>
      <c r="F897" s="1">
        <f>IFERROR(__xludf.DUMMYFUNCTION("""COMPUTED_VALUE"""),1.205721E7)</f>
        <v>12057210</v>
      </c>
    </row>
    <row r="898">
      <c r="A898" s="2">
        <f>IFERROR(__xludf.DUMMYFUNCTION("""COMPUTED_VALUE"""),45653.66666666667)</f>
        <v>45653.66667</v>
      </c>
      <c r="B898" s="1">
        <f>IFERROR(__xludf.DUMMYFUNCTION("""COMPUTED_VALUE"""),194.95)</f>
        <v>194.95</v>
      </c>
      <c r="C898" s="1">
        <f>IFERROR(__xludf.DUMMYFUNCTION("""COMPUTED_VALUE"""),195.32)</f>
        <v>195.32</v>
      </c>
      <c r="D898" s="1">
        <f>IFERROR(__xludf.DUMMYFUNCTION("""COMPUTED_VALUE"""),190.65)</f>
        <v>190.65</v>
      </c>
      <c r="E898" s="1">
        <f>IFERROR(__xludf.DUMMYFUNCTION("""COMPUTED_VALUE"""),192.76)</f>
        <v>192.76</v>
      </c>
      <c r="F898" s="1">
        <f>IFERROR(__xludf.DUMMYFUNCTION("""COMPUTED_VALUE"""),1.8891362E7)</f>
        <v>18891362</v>
      </c>
    </row>
    <row r="899">
      <c r="A899" s="2">
        <f>IFERROR(__xludf.DUMMYFUNCTION("""COMPUTED_VALUE"""),45656.66666666667)</f>
        <v>45656.66667</v>
      </c>
      <c r="B899" s="1">
        <f>IFERROR(__xludf.DUMMYFUNCTION("""COMPUTED_VALUE"""),189.8)</f>
        <v>189.8</v>
      </c>
      <c r="C899" s="1">
        <f>IFERROR(__xludf.DUMMYFUNCTION("""COMPUTED_VALUE"""),192.55)</f>
        <v>192.55</v>
      </c>
      <c r="D899" s="1">
        <f>IFERROR(__xludf.DUMMYFUNCTION("""COMPUTED_VALUE"""),189.12)</f>
        <v>189.12</v>
      </c>
      <c r="E899" s="1">
        <f>IFERROR(__xludf.DUMMYFUNCTION("""COMPUTED_VALUE"""),191.24)</f>
        <v>191.24</v>
      </c>
      <c r="F899" s="1">
        <f>IFERROR(__xludf.DUMMYFUNCTION("""COMPUTED_VALUE"""),1.4264659E7)</f>
        <v>14264659</v>
      </c>
    </row>
    <row r="900">
      <c r="A900" s="2">
        <f>IFERROR(__xludf.DUMMYFUNCTION("""COMPUTED_VALUE"""),45657.66666666667)</f>
        <v>45657.66667</v>
      </c>
      <c r="B900" s="1">
        <f>IFERROR(__xludf.DUMMYFUNCTION("""COMPUTED_VALUE"""),191.08)</f>
        <v>191.08</v>
      </c>
      <c r="C900" s="1">
        <f>IFERROR(__xludf.DUMMYFUNCTION("""COMPUTED_VALUE"""),191.96)</f>
        <v>191.96</v>
      </c>
      <c r="D900" s="1">
        <f>IFERROR(__xludf.DUMMYFUNCTION("""COMPUTED_VALUE"""),188.51)</f>
        <v>188.51</v>
      </c>
      <c r="E900" s="1">
        <f>IFERROR(__xludf.DUMMYFUNCTION("""COMPUTED_VALUE"""),189.3)</f>
        <v>189.3</v>
      </c>
      <c r="F900" s="1">
        <f>IFERROR(__xludf.DUMMYFUNCTION("""COMPUTED_VALUE"""),1.7466919E7)</f>
        <v>17466919</v>
      </c>
    </row>
    <row r="901">
      <c r="A901" s="2">
        <f>IFERROR(__xludf.DUMMYFUNCTION("""COMPUTED_VALUE"""),45659.66666666667)</f>
        <v>45659.66667</v>
      </c>
      <c r="B901" s="1">
        <f>IFERROR(__xludf.DUMMYFUNCTION("""COMPUTED_VALUE"""),190.65)</f>
        <v>190.65</v>
      </c>
      <c r="C901" s="1">
        <f>IFERROR(__xludf.DUMMYFUNCTION("""COMPUTED_VALUE"""),192.0)</f>
        <v>192</v>
      </c>
      <c r="D901" s="1">
        <f>IFERROR(__xludf.DUMMYFUNCTION("""COMPUTED_VALUE"""),187.5)</f>
        <v>187.5</v>
      </c>
      <c r="E901" s="1">
        <f>IFERROR(__xludf.DUMMYFUNCTION("""COMPUTED_VALUE"""),189.43)</f>
        <v>189.43</v>
      </c>
      <c r="F901" s="1">
        <f>IFERROR(__xludf.DUMMYFUNCTION("""COMPUTED_VALUE"""),2.0370828E7)</f>
        <v>20370828</v>
      </c>
    </row>
    <row r="902">
      <c r="A902" s="2">
        <f>IFERROR(__xludf.DUMMYFUNCTION("""COMPUTED_VALUE"""),45660.66666666667)</f>
        <v>45660.66667</v>
      </c>
      <c r="B902" s="1">
        <f>IFERROR(__xludf.DUMMYFUNCTION("""COMPUTED_VALUE"""),191.37)</f>
        <v>191.37</v>
      </c>
      <c r="C902" s="1">
        <f>IFERROR(__xludf.DUMMYFUNCTION("""COMPUTED_VALUE"""),193.21)</f>
        <v>193.21</v>
      </c>
      <c r="D902" s="1">
        <f>IFERROR(__xludf.DUMMYFUNCTION("""COMPUTED_VALUE"""),189.98)</f>
        <v>189.98</v>
      </c>
      <c r="E902" s="1">
        <f>IFERROR(__xludf.DUMMYFUNCTION("""COMPUTED_VALUE"""),191.79)</f>
        <v>191.79</v>
      </c>
      <c r="F902" s="1">
        <f>IFERROR(__xludf.DUMMYFUNCTION("""COMPUTED_VALUE"""),1.8596159E7)</f>
        <v>18596159</v>
      </c>
    </row>
    <row r="903">
      <c r="A903" s="2">
        <f>IFERROR(__xludf.DUMMYFUNCTION("""COMPUTED_VALUE"""),45663.66666666667)</f>
        <v>45663.66667</v>
      </c>
      <c r="B903" s="1">
        <f>IFERROR(__xludf.DUMMYFUNCTION("""COMPUTED_VALUE"""),193.98)</f>
        <v>193.98</v>
      </c>
      <c r="C903" s="1">
        <f>IFERROR(__xludf.DUMMYFUNCTION("""COMPUTED_VALUE"""),198.22)</f>
        <v>198.22</v>
      </c>
      <c r="D903" s="1">
        <f>IFERROR(__xludf.DUMMYFUNCTION("""COMPUTED_VALUE"""),193.85)</f>
        <v>193.85</v>
      </c>
      <c r="E903" s="1">
        <f>IFERROR(__xludf.DUMMYFUNCTION("""COMPUTED_VALUE"""),196.87)</f>
        <v>196.87</v>
      </c>
      <c r="F903" s="1">
        <f>IFERROR(__xludf.DUMMYFUNCTION("""COMPUTED_VALUE"""),2.9563638E7)</f>
        <v>29563638</v>
      </c>
    </row>
    <row r="904">
      <c r="A904" s="2">
        <f>IFERROR(__xludf.DUMMYFUNCTION("""COMPUTED_VALUE"""),45664.66666666667)</f>
        <v>45664.66667</v>
      </c>
      <c r="B904" s="1">
        <f>IFERROR(__xludf.DUMMYFUNCTION("""COMPUTED_VALUE"""),197.11)</f>
        <v>197.11</v>
      </c>
      <c r="C904" s="1">
        <f>IFERROR(__xludf.DUMMYFUNCTION("""COMPUTED_VALUE"""),201.0)</f>
        <v>201</v>
      </c>
      <c r="D904" s="1">
        <f>IFERROR(__xludf.DUMMYFUNCTION("""COMPUTED_VALUE"""),194.6)</f>
        <v>194.6</v>
      </c>
      <c r="E904" s="1">
        <f>IFERROR(__xludf.DUMMYFUNCTION("""COMPUTED_VALUE"""),195.49)</f>
        <v>195.49</v>
      </c>
      <c r="F904" s="1">
        <f>IFERROR(__xludf.DUMMYFUNCTION("""COMPUTED_VALUE"""),2.6487244E7)</f>
        <v>26487244</v>
      </c>
    </row>
    <row r="905">
      <c r="A905" s="2">
        <f>IFERROR(__xludf.DUMMYFUNCTION("""COMPUTED_VALUE"""),45665.66666666667)</f>
        <v>45665.66667</v>
      </c>
      <c r="B905" s="1">
        <f>IFERROR(__xludf.DUMMYFUNCTION("""COMPUTED_VALUE"""),192.57)</f>
        <v>192.57</v>
      </c>
      <c r="C905" s="1">
        <f>IFERROR(__xludf.DUMMYFUNCTION("""COMPUTED_VALUE"""),196.29)</f>
        <v>196.29</v>
      </c>
      <c r="D905" s="1">
        <f>IFERROR(__xludf.DUMMYFUNCTION("""COMPUTED_VALUE"""),192.38)</f>
        <v>192.38</v>
      </c>
      <c r="E905" s="1">
        <f>IFERROR(__xludf.DUMMYFUNCTION("""COMPUTED_VALUE"""),193.95)</f>
        <v>193.95</v>
      </c>
      <c r="F905" s="1">
        <f>IFERROR(__xludf.DUMMYFUNCTION("""COMPUTED_VALUE"""),2.4864766E7)</f>
        <v>24864766</v>
      </c>
    </row>
    <row r="906">
      <c r="A906" s="2">
        <f>IFERROR(__xludf.DUMMYFUNCTION("""COMPUTED_VALUE"""),45667.66666666667)</f>
        <v>45667.66667</v>
      </c>
      <c r="B906" s="1">
        <f>IFERROR(__xludf.DUMMYFUNCTION("""COMPUTED_VALUE"""),194.3)</f>
        <v>194.3</v>
      </c>
      <c r="C906" s="1">
        <f>IFERROR(__xludf.DUMMYFUNCTION("""COMPUTED_VALUE"""),196.52)</f>
        <v>196.52</v>
      </c>
      <c r="D906" s="1">
        <f>IFERROR(__xludf.DUMMYFUNCTION("""COMPUTED_VALUE"""),190.31)</f>
        <v>190.31</v>
      </c>
      <c r="E906" s="1">
        <f>IFERROR(__xludf.DUMMYFUNCTION("""COMPUTED_VALUE"""),192.04)</f>
        <v>192.04</v>
      </c>
      <c r="F906" s="1">
        <f>IFERROR(__xludf.DUMMYFUNCTION("""COMPUTED_VALUE"""),2.6665206E7)</f>
        <v>26665206</v>
      </c>
    </row>
    <row r="907">
      <c r="A907" s="2">
        <f>IFERROR(__xludf.DUMMYFUNCTION("""COMPUTED_VALUE"""),45670.66666666667)</f>
        <v>45670.66667</v>
      </c>
      <c r="B907" s="1">
        <f>IFERROR(__xludf.DUMMYFUNCTION("""COMPUTED_VALUE"""),190.07)</f>
        <v>190.07</v>
      </c>
      <c r="C907" s="1">
        <f>IFERROR(__xludf.DUMMYFUNCTION("""COMPUTED_VALUE"""),191.18)</f>
        <v>191.18</v>
      </c>
      <c r="D907" s="1">
        <f>IFERROR(__xludf.DUMMYFUNCTION("""COMPUTED_VALUE"""),187.36)</f>
        <v>187.36</v>
      </c>
      <c r="E907" s="1">
        <f>IFERROR(__xludf.DUMMYFUNCTION("""COMPUTED_VALUE"""),191.01)</f>
        <v>191.01</v>
      </c>
      <c r="F907" s="1">
        <f>IFERROR(__xludf.DUMMYFUNCTION("""COMPUTED_VALUE"""),2.1823699E7)</f>
        <v>21823699</v>
      </c>
    </row>
    <row r="908">
      <c r="A908" s="2">
        <f>IFERROR(__xludf.DUMMYFUNCTION("""COMPUTED_VALUE"""),45671.66666666667)</f>
        <v>45671.66667</v>
      </c>
      <c r="B908" s="1">
        <f>IFERROR(__xludf.DUMMYFUNCTION("""COMPUTED_VALUE"""),191.24)</f>
        <v>191.24</v>
      </c>
      <c r="C908" s="1">
        <f>IFERROR(__xludf.DUMMYFUNCTION("""COMPUTED_VALUE"""),191.98)</f>
        <v>191.98</v>
      </c>
      <c r="D908" s="1">
        <f>IFERROR(__xludf.DUMMYFUNCTION("""COMPUTED_VALUE"""),188.31)</f>
        <v>188.31</v>
      </c>
      <c r="E908" s="1">
        <f>IFERROR(__xludf.DUMMYFUNCTION("""COMPUTED_VALUE"""),189.66)</f>
        <v>189.66</v>
      </c>
      <c r="F908" s="1">
        <f>IFERROR(__xludf.DUMMYFUNCTION("""COMPUTED_VALUE"""),1.7174854E7)</f>
        <v>17174854</v>
      </c>
    </row>
    <row r="909">
      <c r="A909" s="2">
        <f>IFERROR(__xludf.DUMMYFUNCTION("""COMPUTED_VALUE"""),45672.66666666667)</f>
        <v>45672.66667</v>
      </c>
      <c r="B909" s="1">
        <f>IFERROR(__xludf.DUMMYFUNCTION("""COMPUTED_VALUE"""),193.09)</f>
        <v>193.09</v>
      </c>
      <c r="C909" s="1">
        <f>IFERROR(__xludf.DUMMYFUNCTION("""COMPUTED_VALUE"""),196.36)</f>
        <v>196.36</v>
      </c>
      <c r="D909" s="1">
        <f>IFERROR(__xludf.DUMMYFUNCTION("""COMPUTED_VALUE"""),191.86)</f>
        <v>191.86</v>
      </c>
      <c r="E909" s="1">
        <f>IFERROR(__xludf.DUMMYFUNCTION("""COMPUTED_VALUE"""),195.55)</f>
        <v>195.55</v>
      </c>
      <c r="F909" s="1">
        <f>IFERROR(__xludf.DUMMYFUNCTION("""COMPUTED_VALUE"""),2.1775969E7)</f>
        <v>21775969</v>
      </c>
    </row>
    <row r="910">
      <c r="A910" s="2">
        <f>IFERROR(__xludf.DUMMYFUNCTION("""COMPUTED_VALUE"""),45673.66666666667)</f>
        <v>45673.66667</v>
      </c>
      <c r="B910" s="1">
        <f>IFERROR(__xludf.DUMMYFUNCTION("""COMPUTED_VALUE"""),194.14)</f>
        <v>194.14</v>
      </c>
      <c r="C910" s="1">
        <f>IFERROR(__xludf.DUMMYFUNCTION("""COMPUTED_VALUE"""),195.48)</f>
        <v>195.48</v>
      </c>
      <c r="D910" s="1">
        <f>IFERROR(__xludf.DUMMYFUNCTION("""COMPUTED_VALUE"""),192.81)</f>
        <v>192.81</v>
      </c>
      <c r="E910" s="1">
        <f>IFERROR(__xludf.DUMMYFUNCTION("""COMPUTED_VALUE"""),192.91)</f>
        <v>192.91</v>
      </c>
      <c r="F910" s="1">
        <f>IFERROR(__xludf.DUMMYFUNCTION("""COMPUTED_VALUE"""),1.7815432E7)</f>
        <v>17815432</v>
      </c>
    </row>
    <row r="911">
      <c r="A911" s="2">
        <f>IFERROR(__xludf.DUMMYFUNCTION("""COMPUTED_VALUE"""),45674.66666666667)</f>
        <v>45674.66667</v>
      </c>
      <c r="B911" s="1">
        <f>IFERROR(__xludf.DUMMYFUNCTION("""COMPUTED_VALUE"""),196.53)</f>
        <v>196.53</v>
      </c>
      <c r="C911" s="1">
        <f>IFERROR(__xludf.DUMMYFUNCTION("""COMPUTED_VALUE"""),197.23)</f>
        <v>197.23</v>
      </c>
      <c r="D911" s="1">
        <f>IFERROR(__xludf.DUMMYFUNCTION("""COMPUTED_VALUE"""),193.75)</f>
        <v>193.75</v>
      </c>
      <c r="E911" s="1">
        <f>IFERROR(__xludf.DUMMYFUNCTION("""COMPUTED_VALUE"""),196.0)</f>
        <v>196</v>
      </c>
      <c r="F911" s="1">
        <f>IFERROR(__xludf.DUMMYFUNCTION("""COMPUTED_VALUE"""),2.7735089E7)</f>
        <v>27735089</v>
      </c>
    </row>
    <row r="912">
      <c r="A912" s="2">
        <f>IFERROR(__xludf.DUMMYFUNCTION("""COMPUTED_VALUE"""),45678.66666666667)</f>
        <v>45678.66667</v>
      </c>
      <c r="B912" s="1">
        <f>IFERROR(__xludf.DUMMYFUNCTION("""COMPUTED_VALUE"""),199.07)</f>
        <v>199.07</v>
      </c>
      <c r="C912" s="1">
        <f>IFERROR(__xludf.DUMMYFUNCTION("""COMPUTED_VALUE"""),202.29)</f>
        <v>202.29</v>
      </c>
      <c r="D912" s="1">
        <f>IFERROR(__xludf.DUMMYFUNCTION("""COMPUTED_VALUE"""),197.87)</f>
        <v>197.87</v>
      </c>
      <c r="E912" s="1">
        <f>IFERROR(__xludf.DUMMYFUNCTION("""COMPUTED_VALUE"""),198.05)</f>
        <v>198.05</v>
      </c>
      <c r="F912" s="1">
        <f>IFERROR(__xludf.DUMMYFUNCTION("""COMPUTED_VALUE"""),2.9971292E7)</f>
        <v>29971292</v>
      </c>
    </row>
    <row r="913">
      <c r="A913" s="2">
        <f>IFERROR(__xludf.DUMMYFUNCTION("""COMPUTED_VALUE"""),45679.66666666667)</f>
        <v>45679.66667</v>
      </c>
      <c r="B913" s="1">
        <f>IFERROR(__xludf.DUMMYFUNCTION("""COMPUTED_VALUE"""),199.06)</f>
        <v>199.06</v>
      </c>
      <c r="C913" s="1">
        <f>IFERROR(__xludf.DUMMYFUNCTION("""COMPUTED_VALUE"""),200.48)</f>
        <v>200.48</v>
      </c>
      <c r="D913" s="1">
        <f>IFERROR(__xludf.DUMMYFUNCTION("""COMPUTED_VALUE"""),197.53)</f>
        <v>197.53</v>
      </c>
      <c r="E913" s="1">
        <f>IFERROR(__xludf.DUMMYFUNCTION("""COMPUTED_VALUE"""),198.37)</f>
        <v>198.37</v>
      </c>
      <c r="F913" s="1">
        <f>IFERROR(__xludf.DUMMYFUNCTION("""COMPUTED_VALUE"""),2.6200617E7)</f>
        <v>26200617</v>
      </c>
    </row>
    <row r="914">
      <c r="A914" s="2">
        <f>IFERROR(__xludf.DUMMYFUNCTION("""COMPUTED_VALUE"""),45680.66666666667)</f>
        <v>45680.66667</v>
      </c>
      <c r="B914" s="1">
        <f>IFERROR(__xludf.DUMMYFUNCTION("""COMPUTED_VALUE"""),198.14)</f>
        <v>198.14</v>
      </c>
      <c r="C914" s="1">
        <f>IFERROR(__xludf.DUMMYFUNCTION("""COMPUTED_VALUE"""),200.3)</f>
        <v>200.3</v>
      </c>
      <c r="D914" s="1">
        <f>IFERROR(__xludf.DUMMYFUNCTION("""COMPUTED_VALUE"""),195.2)</f>
        <v>195.2</v>
      </c>
      <c r="E914" s="1">
        <f>IFERROR(__xludf.DUMMYFUNCTION("""COMPUTED_VALUE"""),197.98)</f>
        <v>197.98</v>
      </c>
      <c r="F914" s="1">
        <f>IFERROR(__xludf.DUMMYFUNCTION("""COMPUTED_VALUE"""),2.6951357E7)</f>
        <v>26951357</v>
      </c>
    </row>
    <row r="915">
      <c r="A915" s="2">
        <f>IFERROR(__xludf.DUMMYFUNCTION("""COMPUTED_VALUE"""),45681.66666666667)</f>
        <v>45681.66667</v>
      </c>
      <c r="B915" s="1">
        <f>IFERROR(__xludf.DUMMYFUNCTION("""COMPUTED_VALUE"""),198.1)</f>
        <v>198.1</v>
      </c>
      <c r="C915" s="1">
        <f>IFERROR(__xludf.DUMMYFUNCTION("""COMPUTED_VALUE"""),200.9)</f>
        <v>200.9</v>
      </c>
      <c r="D915" s="1">
        <f>IFERROR(__xludf.DUMMYFUNCTION("""COMPUTED_VALUE"""),198.0)</f>
        <v>198</v>
      </c>
      <c r="E915" s="1">
        <f>IFERROR(__xludf.DUMMYFUNCTION("""COMPUTED_VALUE"""),200.21)</f>
        <v>200.21</v>
      </c>
      <c r="F915" s="1">
        <f>IFERROR(__xludf.DUMMYFUNCTION("""COMPUTED_VALUE"""),2.3877521E7)</f>
        <v>23877521</v>
      </c>
    </row>
    <row r="916">
      <c r="A916" s="2">
        <f>IFERROR(__xludf.DUMMYFUNCTION("""COMPUTED_VALUE"""),45684.66666666667)</f>
        <v>45684.66667</v>
      </c>
      <c r="B916" s="1">
        <f>IFERROR(__xludf.DUMMYFUNCTION("""COMPUTED_VALUE"""),192.41)</f>
        <v>192.41</v>
      </c>
      <c r="C916" s="1">
        <f>IFERROR(__xludf.DUMMYFUNCTION("""COMPUTED_VALUE"""),196.88)</f>
        <v>196.88</v>
      </c>
      <c r="D916" s="1">
        <f>IFERROR(__xludf.DUMMYFUNCTION("""COMPUTED_VALUE"""),190.73)</f>
        <v>190.73</v>
      </c>
      <c r="E916" s="1">
        <f>IFERROR(__xludf.DUMMYFUNCTION("""COMPUTED_VALUE"""),191.81)</f>
        <v>191.81</v>
      </c>
      <c r="F916" s="1">
        <f>IFERROR(__xludf.DUMMYFUNCTION("""COMPUTED_VALUE"""),4.1728893E7)</f>
        <v>41728893</v>
      </c>
    </row>
    <row r="917">
      <c r="A917" s="2">
        <f>IFERROR(__xludf.DUMMYFUNCTION("""COMPUTED_VALUE"""),45685.66666666667)</f>
        <v>45685.66667</v>
      </c>
      <c r="B917" s="1">
        <f>IFERROR(__xludf.DUMMYFUNCTION("""COMPUTED_VALUE"""),192.75)</f>
        <v>192.75</v>
      </c>
      <c r="C917" s="1">
        <f>IFERROR(__xludf.DUMMYFUNCTION("""COMPUTED_VALUE"""),195.48)</f>
        <v>195.48</v>
      </c>
      <c r="D917" s="1">
        <f>IFERROR(__xludf.DUMMYFUNCTION("""COMPUTED_VALUE"""),190.68)</f>
        <v>190.68</v>
      </c>
      <c r="E917" s="1">
        <f>IFERROR(__xludf.DUMMYFUNCTION("""COMPUTED_VALUE"""),195.3)</f>
        <v>195.3</v>
      </c>
      <c r="F917" s="1">
        <f>IFERROR(__xludf.DUMMYFUNCTION("""COMPUTED_VALUE"""),2.4157929E7)</f>
        <v>24157929</v>
      </c>
    </row>
    <row r="918">
      <c r="A918" s="2">
        <f>IFERROR(__xludf.DUMMYFUNCTION("""COMPUTED_VALUE"""),45686.66666666667)</f>
        <v>45686.66667</v>
      </c>
      <c r="B918" s="1">
        <f>IFERROR(__xludf.DUMMYFUNCTION("""COMPUTED_VALUE"""),195.56)</f>
        <v>195.56</v>
      </c>
      <c r="C918" s="1">
        <f>IFERROR(__xludf.DUMMYFUNCTION("""COMPUTED_VALUE"""),196.79)</f>
        <v>196.79</v>
      </c>
      <c r="D918" s="1">
        <f>IFERROR(__xludf.DUMMYFUNCTION("""COMPUTED_VALUE"""),193.43)</f>
        <v>193.43</v>
      </c>
      <c r="E918" s="1">
        <f>IFERROR(__xludf.DUMMYFUNCTION("""COMPUTED_VALUE"""),195.41)</f>
        <v>195.41</v>
      </c>
      <c r="F918" s="1">
        <f>IFERROR(__xludf.DUMMYFUNCTION("""COMPUTED_VALUE"""),1.8218256E7)</f>
        <v>18218256</v>
      </c>
    </row>
    <row r="919">
      <c r="A919" s="2">
        <f>IFERROR(__xludf.DUMMYFUNCTION("""COMPUTED_VALUE"""),45687.66666666667)</f>
        <v>45687.66667</v>
      </c>
      <c r="B919" s="1">
        <f>IFERROR(__xludf.DUMMYFUNCTION("""COMPUTED_VALUE"""),198.0)</f>
        <v>198</v>
      </c>
      <c r="C919" s="1">
        <f>IFERROR(__xludf.DUMMYFUNCTION("""COMPUTED_VALUE"""),201.4)</f>
        <v>201.4</v>
      </c>
      <c r="D919" s="1">
        <f>IFERROR(__xludf.DUMMYFUNCTION("""COMPUTED_VALUE"""),197.67)</f>
        <v>197.67</v>
      </c>
      <c r="E919" s="1">
        <f>IFERROR(__xludf.DUMMYFUNCTION("""COMPUTED_VALUE"""),200.87)</f>
        <v>200.87</v>
      </c>
      <c r="F919" s="1">
        <f>IFERROR(__xludf.DUMMYFUNCTION("""COMPUTED_VALUE"""),2.4354684E7)</f>
        <v>24354684</v>
      </c>
    </row>
    <row r="920">
      <c r="A920" s="2">
        <f>IFERROR(__xludf.DUMMYFUNCTION("""COMPUTED_VALUE"""),45688.66666666667)</f>
        <v>45688.66667</v>
      </c>
      <c r="B920" s="1">
        <f>IFERROR(__xludf.DUMMYFUNCTION("""COMPUTED_VALUE"""),202.0)</f>
        <v>202</v>
      </c>
      <c r="C920" s="1">
        <f>IFERROR(__xludf.DUMMYFUNCTION("""COMPUTED_VALUE"""),205.48)</f>
        <v>205.48</v>
      </c>
      <c r="D920" s="1">
        <f>IFERROR(__xludf.DUMMYFUNCTION("""COMPUTED_VALUE"""),201.8)</f>
        <v>201.8</v>
      </c>
      <c r="E920" s="1">
        <f>IFERROR(__xludf.DUMMYFUNCTION("""COMPUTED_VALUE"""),204.02)</f>
        <v>204.02</v>
      </c>
      <c r="F920" s="1">
        <f>IFERROR(__xludf.DUMMYFUNCTION("""COMPUTED_VALUE"""),3.2041952E7)</f>
        <v>32041952</v>
      </c>
    </row>
    <row r="921">
      <c r="A921" s="2">
        <f>IFERROR(__xludf.DUMMYFUNCTION("""COMPUTED_VALUE"""),45691.66666666667)</f>
        <v>45691.66667</v>
      </c>
      <c r="B921" s="1">
        <f>IFERROR(__xludf.DUMMYFUNCTION("""COMPUTED_VALUE"""),200.69)</f>
        <v>200.69</v>
      </c>
      <c r="C921" s="1">
        <f>IFERROR(__xludf.DUMMYFUNCTION("""COMPUTED_VALUE"""),203.75)</f>
        <v>203.75</v>
      </c>
      <c r="D921" s="1">
        <f>IFERROR(__xludf.DUMMYFUNCTION("""COMPUTED_VALUE"""),200.1)</f>
        <v>200.1</v>
      </c>
      <c r="E921" s="1">
        <f>IFERROR(__xludf.DUMMYFUNCTION("""COMPUTED_VALUE"""),201.23)</f>
        <v>201.23</v>
      </c>
      <c r="F921" s="1">
        <f>IFERROR(__xludf.DUMMYFUNCTION("""COMPUTED_VALUE"""),2.7838348E7)</f>
        <v>27838348</v>
      </c>
    </row>
    <row r="922">
      <c r="A922" s="2">
        <f>IFERROR(__xludf.DUMMYFUNCTION("""COMPUTED_VALUE"""),45692.66666666667)</f>
        <v>45692.66667</v>
      </c>
      <c r="B922" s="1">
        <f>IFERROR(__xludf.DUMMYFUNCTION("""COMPUTED_VALUE"""),203.39)</f>
        <v>203.39</v>
      </c>
      <c r="C922" s="1">
        <f>IFERROR(__xludf.DUMMYFUNCTION("""COMPUTED_VALUE"""),207.05)</f>
        <v>207.05</v>
      </c>
      <c r="D922" s="1">
        <f>IFERROR(__xludf.DUMMYFUNCTION("""COMPUTED_VALUE"""),202.81)</f>
        <v>202.81</v>
      </c>
      <c r="E922" s="1">
        <f>IFERROR(__xludf.DUMMYFUNCTION("""COMPUTED_VALUE"""),206.38)</f>
        <v>206.38</v>
      </c>
      <c r="F922" s="1">
        <f>IFERROR(__xludf.DUMMYFUNCTION("""COMPUTED_VALUE"""),4.3856425E7)</f>
        <v>43856425</v>
      </c>
    </row>
    <row r="923">
      <c r="A923" s="2">
        <f>IFERROR(__xludf.DUMMYFUNCTION("""COMPUTED_VALUE"""),45693.66666666667)</f>
        <v>45693.66667</v>
      </c>
      <c r="B923" s="1">
        <f>IFERROR(__xludf.DUMMYFUNCTION("""COMPUTED_VALUE"""),191.07)</f>
        <v>191.07</v>
      </c>
      <c r="C923" s="1">
        <f>IFERROR(__xludf.DUMMYFUNCTION("""COMPUTED_VALUE"""),192.75)</f>
        <v>192.75</v>
      </c>
      <c r="D923" s="1">
        <f>IFERROR(__xludf.DUMMYFUNCTION("""COMPUTED_VALUE"""),188.03)</f>
        <v>188.03</v>
      </c>
      <c r="E923" s="1">
        <f>IFERROR(__xludf.DUMMYFUNCTION("""COMPUTED_VALUE"""),191.33)</f>
        <v>191.33</v>
      </c>
      <c r="F923" s="1">
        <f>IFERROR(__xludf.DUMMYFUNCTION("""COMPUTED_VALUE"""),7.046177E7)</f>
        <v>70461770</v>
      </c>
    </row>
    <row r="924">
      <c r="A924" s="2">
        <f>IFERROR(__xludf.DUMMYFUNCTION("""COMPUTED_VALUE"""),45694.66666666667)</f>
        <v>45694.66667</v>
      </c>
      <c r="B924" s="1">
        <f>IFERROR(__xludf.DUMMYFUNCTION("""COMPUTED_VALUE"""),189.5)</f>
        <v>189.5</v>
      </c>
      <c r="C924" s="1">
        <f>IFERROR(__xludf.DUMMYFUNCTION("""COMPUTED_VALUE"""),192.1)</f>
        <v>192.1</v>
      </c>
      <c r="D924" s="1">
        <f>IFERROR(__xludf.DUMMYFUNCTION("""COMPUTED_VALUE"""),188.72)</f>
        <v>188.72</v>
      </c>
      <c r="E924" s="1">
        <f>IFERROR(__xludf.DUMMYFUNCTION("""COMPUTED_VALUE"""),191.6)</f>
        <v>191.6</v>
      </c>
      <c r="F924" s="1">
        <f>IFERROR(__xludf.DUMMYFUNCTION("""COMPUTED_VALUE"""),2.9297442E7)</f>
        <v>29297442</v>
      </c>
    </row>
    <row r="925">
      <c r="A925" s="2">
        <f>IFERROR(__xludf.DUMMYFUNCTION("""COMPUTED_VALUE"""),45695.66666666667)</f>
        <v>45695.66667</v>
      </c>
      <c r="B925" s="1">
        <f>IFERROR(__xludf.DUMMYFUNCTION("""COMPUTED_VALUE"""),191.05)</f>
        <v>191.05</v>
      </c>
      <c r="C925" s="1">
        <f>IFERROR(__xludf.DUMMYFUNCTION("""COMPUTED_VALUE"""),191.18)</f>
        <v>191.18</v>
      </c>
      <c r="D925" s="1">
        <f>IFERROR(__xludf.DUMMYFUNCTION("""COMPUTED_VALUE"""),183.24)</f>
        <v>183.24</v>
      </c>
      <c r="E925" s="1">
        <f>IFERROR(__xludf.DUMMYFUNCTION("""COMPUTED_VALUE"""),185.34)</f>
        <v>185.34</v>
      </c>
      <c r="F925" s="1">
        <f>IFERROR(__xludf.DUMMYFUNCTION("""COMPUTED_VALUE"""),4.9314961E7)</f>
        <v>49314961</v>
      </c>
    </row>
    <row r="926">
      <c r="A926" s="2">
        <f>IFERROR(__xludf.DUMMYFUNCTION("""COMPUTED_VALUE"""),45698.66666666667)</f>
        <v>45698.66667</v>
      </c>
      <c r="B926" s="1">
        <f>IFERROR(__xludf.DUMMYFUNCTION("""COMPUTED_VALUE"""),187.35)</f>
        <v>187.35</v>
      </c>
      <c r="C926" s="1">
        <f>IFERROR(__xludf.DUMMYFUNCTION("""COMPUTED_VALUE"""),188.2)</f>
        <v>188.2</v>
      </c>
      <c r="D926" s="1">
        <f>IFERROR(__xludf.DUMMYFUNCTION("""COMPUTED_VALUE"""),185.86)</f>
        <v>185.86</v>
      </c>
      <c r="E926" s="1">
        <f>IFERROR(__xludf.DUMMYFUNCTION("""COMPUTED_VALUE"""),186.47)</f>
        <v>186.47</v>
      </c>
      <c r="F926" s="1">
        <f>IFERROR(__xludf.DUMMYFUNCTION("""COMPUTED_VALUE"""),2.3105649E7)</f>
        <v>23105649</v>
      </c>
    </row>
    <row r="927">
      <c r="A927" s="2">
        <f>IFERROR(__xludf.DUMMYFUNCTION("""COMPUTED_VALUE"""),45699.66666666667)</f>
        <v>45699.66667</v>
      </c>
      <c r="B927" s="1">
        <f>IFERROR(__xludf.DUMMYFUNCTION("""COMPUTED_VALUE"""),185.03)</f>
        <v>185.03</v>
      </c>
      <c r="C927" s="1">
        <f>IFERROR(__xludf.DUMMYFUNCTION("""COMPUTED_VALUE"""),186.94)</f>
        <v>186.94</v>
      </c>
      <c r="D927" s="1">
        <f>IFERROR(__xludf.DUMMYFUNCTION("""COMPUTED_VALUE"""),184.28)</f>
        <v>184.28</v>
      </c>
      <c r="E927" s="1">
        <f>IFERROR(__xludf.DUMMYFUNCTION("""COMPUTED_VALUE"""),185.32)</f>
        <v>185.32</v>
      </c>
      <c r="F927" s="1">
        <f>IFERROR(__xludf.DUMMYFUNCTION("""COMPUTED_VALUE"""),2.1239519E7)</f>
        <v>21239519</v>
      </c>
    </row>
    <row r="928">
      <c r="A928" s="2">
        <f>IFERROR(__xludf.DUMMYFUNCTION("""COMPUTED_VALUE"""),45700.66666666667)</f>
        <v>45700.66667</v>
      </c>
      <c r="B928" s="1">
        <f>IFERROR(__xludf.DUMMYFUNCTION("""COMPUTED_VALUE"""),183.22)</f>
        <v>183.22</v>
      </c>
      <c r="C928" s="1">
        <f>IFERROR(__xludf.DUMMYFUNCTION("""COMPUTED_VALUE"""),185.11)</f>
        <v>185.11</v>
      </c>
      <c r="D928" s="1">
        <f>IFERROR(__xludf.DUMMYFUNCTION("""COMPUTED_VALUE"""),181.83)</f>
        <v>181.83</v>
      </c>
      <c r="E928" s="1">
        <f>IFERROR(__xludf.DUMMYFUNCTION("""COMPUTED_VALUE"""),183.61)</f>
        <v>183.61</v>
      </c>
      <c r="F928" s="1">
        <f>IFERROR(__xludf.DUMMYFUNCTION("""COMPUTED_VALUE"""),2.2072559E7)</f>
        <v>22072559</v>
      </c>
    </row>
    <row r="929">
      <c r="A929" s="2">
        <f>IFERROR(__xludf.DUMMYFUNCTION("""COMPUTED_VALUE"""),45701.66666666667)</f>
        <v>45701.66667</v>
      </c>
      <c r="B929" s="1">
        <f>IFERROR(__xludf.DUMMYFUNCTION("""COMPUTED_VALUE"""),184.32)</f>
        <v>184.32</v>
      </c>
      <c r="C929" s="1">
        <f>IFERROR(__xludf.DUMMYFUNCTION("""COMPUTED_VALUE"""),186.28)</f>
        <v>186.28</v>
      </c>
      <c r="D929" s="1">
        <f>IFERROR(__xludf.DUMMYFUNCTION("""COMPUTED_VALUE"""),183.14)</f>
        <v>183.14</v>
      </c>
      <c r="E929" s="1">
        <f>IFERROR(__xludf.DUMMYFUNCTION("""COMPUTED_VALUE"""),186.14)</f>
        <v>186.14</v>
      </c>
      <c r="F929" s="1">
        <f>IFERROR(__xludf.DUMMYFUNCTION("""COMPUTED_VALUE"""),2.1402523E7)</f>
        <v>21402523</v>
      </c>
    </row>
    <row r="930">
      <c r="A930" s="2">
        <f>IFERROR(__xludf.DUMMYFUNCTION("""COMPUTED_VALUE"""),45702.66666666667)</f>
        <v>45702.66667</v>
      </c>
      <c r="B930" s="1">
        <f>IFERROR(__xludf.DUMMYFUNCTION("""COMPUTED_VALUE"""),185.06)</f>
        <v>185.06</v>
      </c>
      <c r="C930" s="1">
        <f>IFERROR(__xludf.DUMMYFUNCTION("""COMPUTED_VALUE"""),186.4)</f>
        <v>186.4</v>
      </c>
      <c r="D930" s="1">
        <f>IFERROR(__xludf.DUMMYFUNCTION("""COMPUTED_VALUE"""),184.32)</f>
        <v>184.32</v>
      </c>
      <c r="E930" s="1">
        <f>IFERROR(__xludf.DUMMYFUNCTION("""COMPUTED_VALUE"""),185.23)</f>
        <v>185.23</v>
      </c>
      <c r="F930" s="1">
        <f>IFERROR(__xludf.DUMMYFUNCTION("""COMPUTED_VALUE"""),2.0448437E7)</f>
        <v>20448437</v>
      </c>
    </row>
    <row r="931">
      <c r="A931" s="2">
        <f>IFERROR(__xludf.DUMMYFUNCTION("""COMPUTED_VALUE"""),45706.66666666667)</f>
        <v>45706.66667</v>
      </c>
      <c r="B931" s="1">
        <f>IFERROR(__xludf.DUMMYFUNCTION("""COMPUTED_VALUE"""),185.6)</f>
        <v>185.6</v>
      </c>
      <c r="C931" s="1">
        <f>IFERROR(__xludf.DUMMYFUNCTION("""COMPUTED_VALUE"""),185.96)</f>
        <v>185.96</v>
      </c>
      <c r="D931" s="1">
        <f>IFERROR(__xludf.DUMMYFUNCTION("""COMPUTED_VALUE"""),181.74)</f>
        <v>181.74</v>
      </c>
      <c r="E931" s="1">
        <f>IFERROR(__xludf.DUMMYFUNCTION("""COMPUTED_VALUE"""),183.77)</f>
        <v>183.77</v>
      </c>
      <c r="F931" s="1">
        <f>IFERROR(__xludf.DUMMYFUNCTION("""COMPUTED_VALUE"""),2.9916675E7)</f>
        <v>29916675</v>
      </c>
    </row>
    <row r="932">
      <c r="A932" s="2">
        <f>IFERROR(__xludf.DUMMYFUNCTION("""COMPUTED_VALUE"""),45707.66666666667)</f>
        <v>45707.66667</v>
      </c>
      <c r="B932" s="1">
        <f>IFERROR(__xludf.DUMMYFUNCTION("""COMPUTED_VALUE"""),184.07)</f>
        <v>184.07</v>
      </c>
      <c r="C932" s="1">
        <f>IFERROR(__xludf.DUMMYFUNCTION("""COMPUTED_VALUE"""),185.46)</f>
        <v>185.46</v>
      </c>
      <c r="D932" s="1">
        <f>IFERROR(__xludf.DUMMYFUNCTION("""COMPUTED_VALUE"""),183.59)</f>
        <v>183.59</v>
      </c>
      <c r="E932" s="1">
        <f>IFERROR(__xludf.DUMMYFUNCTION("""COMPUTED_VALUE"""),185.27)</f>
        <v>185.27</v>
      </c>
      <c r="F932" s="1">
        <f>IFERROR(__xludf.DUMMYFUNCTION("""COMPUTED_VALUE"""),1.9549396E7)</f>
        <v>19549396</v>
      </c>
    </row>
    <row r="933">
      <c r="A933" s="2">
        <f>IFERROR(__xludf.DUMMYFUNCTION("""COMPUTED_VALUE"""),45708.66666666667)</f>
        <v>45708.66667</v>
      </c>
      <c r="B933" s="1">
        <f>IFERROR(__xludf.DUMMYFUNCTION("""COMPUTED_VALUE"""),184.8)</f>
        <v>184.8</v>
      </c>
      <c r="C933" s="1">
        <f>IFERROR(__xludf.DUMMYFUNCTION("""COMPUTED_VALUE"""),185.31)</f>
        <v>185.31</v>
      </c>
      <c r="D933" s="1">
        <f>IFERROR(__xludf.DUMMYFUNCTION("""COMPUTED_VALUE"""),182.72)</f>
        <v>182.72</v>
      </c>
      <c r="E933" s="1">
        <f>IFERROR(__xludf.DUMMYFUNCTION("""COMPUTED_VALUE"""),184.56)</f>
        <v>184.56</v>
      </c>
      <c r="F933" s="1">
        <f>IFERROR(__xludf.DUMMYFUNCTION("""COMPUTED_VALUE"""),2.0441462E7)</f>
        <v>20441462</v>
      </c>
    </row>
    <row r="934">
      <c r="A934" s="2">
        <f>IFERROR(__xludf.DUMMYFUNCTION("""COMPUTED_VALUE"""),45709.66666666667)</f>
        <v>45709.66667</v>
      </c>
      <c r="B934" s="1">
        <f>IFERROR(__xludf.DUMMYFUNCTION("""COMPUTED_VALUE"""),185.15)</f>
        <v>185.15</v>
      </c>
      <c r="C934" s="1">
        <f>IFERROR(__xludf.DUMMYFUNCTION("""COMPUTED_VALUE"""),185.34)</f>
        <v>185.34</v>
      </c>
      <c r="D934" s="1">
        <f>IFERROR(__xludf.DUMMYFUNCTION("""COMPUTED_VALUE"""),179.08)</f>
        <v>179.08</v>
      </c>
      <c r="E934" s="1">
        <f>IFERROR(__xludf.DUMMYFUNCTION("""COMPUTED_VALUE"""),179.66)</f>
        <v>179.66</v>
      </c>
      <c r="F934" s="1">
        <f>IFERROR(__xludf.DUMMYFUNCTION("""COMPUTED_VALUE"""),3.5199239E7)</f>
        <v>35199239</v>
      </c>
    </row>
    <row r="935">
      <c r="A935" s="2">
        <f>IFERROR(__xludf.DUMMYFUNCTION("""COMPUTED_VALUE"""),45712.66666666667)</f>
        <v>45712.66667</v>
      </c>
      <c r="B935" s="1">
        <f>IFERROR(__xludf.DUMMYFUNCTION("""COMPUTED_VALUE"""),181.99)</f>
        <v>181.99</v>
      </c>
      <c r="C935" s="1">
        <f>IFERROR(__xludf.DUMMYFUNCTION("""COMPUTED_VALUE"""),183.12)</f>
        <v>183.12</v>
      </c>
      <c r="D935" s="1">
        <f>IFERROR(__xludf.DUMMYFUNCTION("""COMPUTED_VALUE"""),178.89)</f>
        <v>178.89</v>
      </c>
      <c r="E935" s="1">
        <f>IFERROR(__xludf.DUMMYFUNCTION("""COMPUTED_VALUE"""),179.25)</f>
        <v>179.25</v>
      </c>
      <c r="F935" s="1">
        <f>IFERROR(__xludf.DUMMYFUNCTION("""COMPUTED_VALUE"""),2.9854206E7)</f>
        <v>29854206</v>
      </c>
    </row>
    <row r="936">
      <c r="A936" s="2">
        <f>IFERROR(__xludf.DUMMYFUNCTION("""COMPUTED_VALUE"""),45713.66666666667)</f>
        <v>45713.66667</v>
      </c>
      <c r="B936" s="1">
        <f>IFERROR(__xludf.DUMMYFUNCTION("""COMPUTED_VALUE"""),178.04)</f>
        <v>178.04</v>
      </c>
      <c r="C936" s="1">
        <f>IFERROR(__xludf.DUMMYFUNCTION("""COMPUTED_VALUE"""),178.74)</f>
        <v>178.74</v>
      </c>
      <c r="D936" s="1">
        <f>IFERROR(__xludf.DUMMYFUNCTION("""COMPUTED_VALUE"""),174.69)</f>
        <v>174.69</v>
      </c>
      <c r="E936" s="1">
        <f>IFERROR(__xludf.DUMMYFUNCTION("""COMPUTED_VALUE"""),175.42)</f>
        <v>175.42</v>
      </c>
      <c r="F936" s="1">
        <f>IFERROR(__xludf.DUMMYFUNCTION("""COMPUTED_VALUE"""),4.1913411E7)</f>
        <v>41913411</v>
      </c>
    </row>
    <row r="937">
      <c r="A937" s="2">
        <f>IFERROR(__xludf.DUMMYFUNCTION("""COMPUTED_VALUE"""),45714.66666666667)</f>
        <v>45714.66667</v>
      </c>
      <c r="B937" s="1">
        <f>IFERROR(__xludf.DUMMYFUNCTION("""COMPUTED_VALUE"""),175.07)</f>
        <v>175.07</v>
      </c>
      <c r="C937" s="1">
        <f>IFERROR(__xludf.DUMMYFUNCTION("""COMPUTED_VALUE"""),176.08)</f>
        <v>176.08</v>
      </c>
      <c r="D937" s="1">
        <f>IFERROR(__xludf.DUMMYFUNCTION("""COMPUTED_VALUE"""),171.58)</f>
        <v>171.58</v>
      </c>
      <c r="E937" s="1">
        <f>IFERROR(__xludf.DUMMYFUNCTION("""COMPUTED_VALUE"""),172.73)</f>
        <v>172.73</v>
      </c>
      <c r="F937" s="1">
        <f>IFERROR(__xludf.DUMMYFUNCTION("""COMPUTED_VALUE"""),3.5431268E7)</f>
        <v>35431268</v>
      </c>
    </row>
    <row r="938">
      <c r="A938" s="2">
        <f>IFERROR(__xludf.DUMMYFUNCTION("""COMPUTED_VALUE"""),45715.66666666667)</f>
        <v>45715.66667</v>
      </c>
      <c r="B938" s="1">
        <f>IFERROR(__xludf.DUMMYFUNCTION("""COMPUTED_VALUE"""),173.99)</f>
        <v>173.99</v>
      </c>
      <c r="C938" s="1">
        <f>IFERROR(__xludf.DUMMYFUNCTION("""COMPUTED_VALUE"""),174.56)</f>
        <v>174.56</v>
      </c>
      <c r="D938" s="1">
        <f>IFERROR(__xludf.DUMMYFUNCTION("""COMPUTED_VALUE"""),167.94)</f>
        <v>167.94</v>
      </c>
      <c r="E938" s="1">
        <f>IFERROR(__xludf.DUMMYFUNCTION("""COMPUTED_VALUE"""),168.5)</f>
        <v>168.5</v>
      </c>
      <c r="F938" s="1">
        <f>IFERROR(__xludf.DUMMYFUNCTION("""COMPUTED_VALUE"""),3.9991015E7)</f>
        <v>39991015</v>
      </c>
    </row>
    <row r="939">
      <c r="A939" s="2">
        <f>IFERROR(__xludf.DUMMYFUNCTION("""COMPUTED_VALUE"""),45716.66666666667)</f>
        <v>45716.66667</v>
      </c>
      <c r="B939" s="1">
        <f>IFERROR(__xludf.DUMMYFUNCTION("""COMPUTED_VALUE"""),168.68)</f>
        <v>168.68</v>
      </c>
      <c r="C939" s="1">
        <f>IFERROR(__xludf.DUMMYFUNCTION("""COMPUTED_VALUE"""),170.61)</f>
        <v>170.61</v>
      </c>
      <c r="D939" s="1">
        <f>IFERROR(__xludf.DUMMYFUNCTION("""COMPUTED_VALUE"""),166.77)</f>
        <v>166.77</v>
      </c>
      <c r="E939" s="1">
        <f>IFERROR(__xludf.DUMMYFUNCTION("""COMPUTED_VALUE"""),170.28)</f>
        <v>170.28</v>
      </c>
      <c r="F939" s="1">
        <f>IFERROR(__xludf.DUMMYFUNCTION("""COMPUTED_VALUE"""),4.8130565E7)</f>
        <v>48130565</v>
      </c>
    </row>
    <row r="940">
      <c r="A940" s="2">
        <f>IFERROR(__xludf.DUMMYFUNCTION("""COMPUTED_VALUE"""),45719.66666666667)</f>
        <v>45719.66667</v>
      </c>
      <c r="B940" s="1">
        <f>IFERROR(__xludf.DUMMYFUNCTION("""COMPUTED_VALUE"""),171.93)</f>
        <v>171.93</v>
      </c>
      <c r="C940" s="1">
        <f>IFERROR(__xludf.DUMMYFUNCTION("""COMPUTED_VALUE"""),173.37)</f>
        <v>173.37</v>
      </c>
      <c r="D940" s="1">
        <f>IFERROR(__xludf.DUMMYFUNCTION("""COMPUTED_VALUE"""),165.93)</f>
        <v>165.93</v>
      </c>
      <c r="E940" s="1">
        <f>IFERROR(__xludf.DUMMYFUNCTION("""COMPUTED_VALUE"""),167.01)</f>
        <v>167.01</v>
      </c>
      <c r="F940" s="1">
        <f>IFERROR(__xludf.DUMMYFUNCTION("""COMPUTED_VALUE"""),4.0770451E7)</f>
        <v>40770451</v>
      </c>
    </row>
    <row r="941">
      <c r="A941" s="2">
        <f>IFERROR(__xludf.DUMMYFUNCTION("""COMPUTED_VALUE"""),45720.66666666667)</f>
        <v>45720.66667</v>
      </c>
      <c r="B941" s="1">
        <f>IFERROR(__xludf.DUMMYFUNCTION("""COMPUTED_VALUE"""),166.24)</f>
        <v>166.24</v>
      </c>
      <c r="C941" s="1">
        <f>IFERROR(__xludf.DUMMYFUNCTION("""COMPUTED_VALUE"""),173.29)</f>
        <v>173.29</v>
      </c>
      <c r="D941" s="1">
        <f>IFERROR(__xludf.DUMMYFUNCTION("""COMPUTED_VALUE"""),165.8)</f>
        <v>165.8</v>
      </c>
      <c r="E941" s="1">
        <f>IFERROR(__xludf.DUMMYFUNCTION("""COMPUTED_VALUE"""),170.92)</f>
        <v>170.92</v>
      </c>
      <c r="F941" s="1">
        <f>IFERROR(__xludf.DUMMYFUNCTION("""COMPUTED_VALUE"""),4.5387996E7)</f>
        <v>45387996</v>
      </c>
    </row>
    <row r="942">
      <c r="A942" s="2">
        <f>IFERROR(__xludf.DUMMYFUNCTION("""COMPUTED_VALUE"""),45721.66666666667)</f>
        <v>45721.66667</v>
      </c>
      <c r="B942" s="1">
        <f>IFERROR(__xludf.DUMMYFUNCTION("""COMPUTED_VALUE"""),170.52)</f>
        <v>170.52</v>
      </c>
      <c r="C942" s="1">
        <f>IFERROR(__xludf.DUMMYFUNCTION("""COMPUTED_VALUE"""),173.78)</f>
        <v>173.78</v>
      </c>
      <c r="D942" s="1">
        <f>IFERROR(__xludf.DUMMYFUNCTION("""COMPUTED_VALUE"""),169.06)</f>
        <v>169.06</v>
      </c>
      <c r="E942" s="1">
        <f>IFERROR(__xludf.DUMMYFUNCTION("""COMPUTED_VALUE"""),173.02)</f>
        <v>173.02</v>
      </c>
      <c r="F942" s="1">
        <f>IFERROR(__xludf.DUMMYFUNCTION("""COMPUTED_VALUE"""),3.0954922E7)</f>
        <v>30954922</v>
      </c>
    </row>
    <row r="943">
      <c r="A943" s="2">
        <f>IFERROR(__xludf.DUMMYFUNCTION("""COMPUTED_VALUE"""),45722.66666666667)</f>
        <v>45722.66667</v>
      </c>
      <c r="B943" s="1">
        <f>IFERROR(__xludf.DUMMYFUNCTION("""COMPUTED_VALUE"""),170.53)</f>
        <v>170.53</v>
      </c>
      <c r="C943" s="1">
        <f>IFERROR(__xludf.DUMMYFUNCTION("""COMPUTED_VALUE"""),174.81)</f>
        <v>174.81</v>
      </c>
      <c r="D943" s="1">
        <f>IFERROR(__xludf.DUMMYFUNCTION("""COMPUTED_VALUE"""),170.5)</f>
        <v>170.5</v>
      </c>
      <c r="E943" s="1">
        <f>IFERROR(__xludf.DUMMYFUNCTION("""COMPUTED_VALUE"""),172.35)</f>
        <v>172.35</v>
      </c>
      <c r="F943" s="1">
        <f>IFERROR(__xludf.DUMMYFUNCTION("""COMPUTED_VALUE"""),2.8301953E7)</f>
        <v>28301953</v>
      </c>
    </row>
    <row r="944">
      <c r="A944" s="2">
        <f>IFERROR(__xludf.DUMMYFUNCTION("""COMPUTED_VALUE"""),45723.66666666667)</f>
        <v>45723.66667</v>
      </c>
      <c r="B944" s="1">
        <f>IFERROR(__xludf.DUMMYFUNCTION("""COMPUTED_VALUE"""),171.26)</f>
        <v>171.26</v>
      </c>
      <c r="C944" s="1">
        <f>IFERROR(__xludf.DUMMYFUNCTION("""COMPUTED_VALUE"""),174.97)</f>
        <v>174.97</v>
      </c>
      <c r="D944" s="1">
        <f>IFERROR(__xludf.DUMMYFUNCTION("""COMPUTED_VALUE"""),170.27)</f>
        <v>170.27</v>
      </c>
      <c r="E944" s="1">
        <f>IFERROR(__xludf.DUMMYFUNCTION("""COMPUTED_VALUE"""),173.86)</f>
        <v>173.86</v>
      </c>
      <c r="F944" s="1">
        <f>IFERROR(__xludf.DUMMYFUNCTION("""COMPUTED_VALUE"""),2.7385813E7)</f>
        <v>27385813</v>
      </c>
    </row>
    <row r="945">
      <c r="A945" s="2">
        <f>IFERROR(__xludf.DUMMYFUNCTION("""COMPUTED_VALUE"""),45726.66666666667)</f>
        <v>45726.66667</v>
      </c>
      <c r="B945" s="1">
        <f>IFERROR(__xludf.DUMMYFUNCTION("""COMPUTED_VALUE"""),168.26)</f>
        <v>168.26</v>
      </c>
      <c r="C945" s="1">
        <f>IFERROR(__xludf.DUMMYFUNCTION("""COMPUTED_VALUE"""),168.46)</f>
        <v>168.46</v>
      </c>
      <c r="D945" s="1">
        <f>IFERROR(__xludf.DUMMYFUNCTION("""COMPUTED_VALUE"""),163.69)</f>
        <v>163.69</v>
      </c>
      <c r="E945" s="1">
        <f>IFERROR(__xludf.DUMMYFUNCTION("""COMPUTED_VALUE"""),165.87)</f>
        <v>165.87</v>
      </c>
      <c r="F945" s="1">
        <f>IFERROR(__xludf.DUMMYFUNCTION("""COMPUTED_VALUE"""),4.3604027E7)</f>
        <v>43604027</v>
      </c>
    </row>
    <row r="946">
      <c r="A946" s="2">
        <f>IFERROR(__xludf.DUMMYFUNCTION("""COMPUTED_VALUE"""),45727.66666666667)</f>
        <v>45727.66667</v>
      </c>
      <c r="B946" s="1">
        <f>IFERROR(__xludf.DUMMYFUNCTION("""COMPUTED_VALUE"""),164.91)</f>
        <v>164.91</v>
      </c>
      <c r="C946" s="1">
        <f>IFERROR(__xludf.DUMMYFUNCTION("""COMPUTED_VALUE"""),166.75)</f>
        <v>166.75</v>
      </c>
      <c r="D946" s="1">
        <f>IFERROR(__xludf.DUMMYFUNCTION("""COMPUTED_VALUE"""),161.37)</f>
        <v>161.37</v>
      </c>
      <c r="E946" s="1">
        <f>IFERROR(__xludf.DUMMYFUNCTION("""COMPUTED_VALUE"""),164.04)</f>
        <v>164.04</v>
      </c>
      <c r="F946" s="1">
        <f>IFERROR(__xludf.DUMMYFUNCTION("""COMPUTED_VALUE"""),3.9587414E7)</f>
        <v>39587414</v>
      </c>
    </row>
    <row r="947">
      <c r="A947" s="2">
        <f>IFERROR(__xludf.DUMMYFUNCTION("""COMPUTED_VALUE"""),45728.66666666667)</f>
        <v>45728.66667</v>
      </c>
      <c r="B947" s="1">
        <f>IFERROR(__xludf.DUMMYFUNCTION("""COMPUTED_VALUE"""),166.58)</f>
        <v>166.58</v>
      </c>
      <c r="C947" s="1">
        <f>IFERROR(__xludf.DUMMYFUNCTION("""COMPUTED_VALUE"""),167.64)</f>
        <v>167.64</v>
      </c>
      <c r="D947" s="1">
        <f>IFERROR(__xludf.DUMMYFUNCTION("""COMPUTED_VALUE"""),163.53)</f>
        <v>163.53</v>
      </c>
      <c r="E947" s="1">
        <f>IFERROR(__xludf.DUMMYFUNCTION("""COMPUTED_VALUE"""),167.11)</f>
        <v>167.11</v>
      </c>
      <c r="F947" s="1">
        <f>IFERROR(__xludf.DUMMYFUNCTION("""COMPUTED_VALUE"""),2.8372396E7)</f>
        <v>28372396</v>
      </c>
    </row>
    <row r="948">
      <c r="A948" s="2">
        <f>IFERROR(__xludf.DUMMYFUNCTION("""COMPUTED_VALUE"""),45729.66666666667)</f>
        <v>45729.66667</v>
      </c>
      <c r="B948" s="1">
        <f>IFERROR(__xludf.DUMMYFUNCTION("""COMPUTED_VALUE"""),166.04)</f>
        <v>166.04</v>
      </c>
      <c r="C948" s="1">
        <f>IFERROR(__xludf.DUMMYFUNCTION("""COMPUTED_VALUE"""),166.13)</f>
        <v>166.13</v>
      </c>
      <c r="D948" s="1">
        <f>IFERROR(__xludf.DUMMYFUNCTION("""COMPUTED_VALUE"""),162.11)</f>
        <v>162.11</v>
      </c>
      <c r="E948" s="1">
        <f>IFERROR(__xludf.DUMMYFUNCTION("""COMPUTED_VALUE"""),162.76)</f>
        <v>162.76</v>
      </c>
      <c r="F948" s="1">
        <f>IFERROR(__xludf.DUMMYFUNCTION("""COMPUTED_VALUE"""),3.1756214E7)</f>
        <v>31756214</v>
      </c>
    </row>
    <row r="949">
      <c r="A949" s="2">
        <f>IFERROR(__xludf.DUMMYFUNCTION("""COMPUTED_VALUE"""),45730.66666666667)</f>
        <v>45730.66667</v>
      </c>
      <c r="B949" s="1">
        <f>IFERROR(__xludf.DUMMYFUNCTION("""COMPUTED_VALUE"""),163.27)</f>
        <v>163.27</v>
      </c>
      <c r="C949" s="1">
        <f>IFERROR(__xludf.DUMMYFUNCTION("""COMPUTED_VALUE"""),166.49)</f>
        <v>166.49</v>
      </c>
      <c r="D949" s="1">
        <f>IFERROR(__xludf.DUMMYFUNCTION("""COMPUTED_VALUE"""),162.45)</f>
        <v>162.45</v>
      </c>
      <c r="E949" s="1">
        <f>IFERROR(__xludf.DUMMYFUNCTION("""COMPUTED_VALUE"""),165.49)</f>
        <v>165.49</v>
      </c>
      <c r="F949" s="1">
        <f>IFERROR(__xludf.DUMMYFUNCTION("""COMPUTED_VALUE"""),3.1995894E7)</f>
        <v>31995894</v>
      </c>
    </row>
    <row r="950">
      <c r="A950" s="2">
        <f>IFERROR(__xludf.DUMMYFUNCTION("""COMPUTED_VALUE"""),45733.66666666667)</f>
        <v>45733.66667</v>
      </c>
      <c r="B950" s="1">
        <f>IFERROR(__xludf.DUMMYFUNCTION("""COMPUTED_VALUE"""),165.03)</f>
        <v>165.03</v>
      </c>
      <c r="C950" s="1">
        <f>IFERROR(__xludf.DUMMYFUNCTION("""COMPUTED_VALUE"""),166.3)</f>
        <v>166.3</v>
      </c>
      <c r="D950" s="1">
        <f>IFERROR(__xludf.DUMMYFUNCTION("""COMPUTED_VALUE"""),163.67)</f>
        <v>163.67</v>
      </c>
      <c r="E950" s="1">
        <f>IFERROR(__xludf.DUMMYFUNCTION("""COMPUTED_VALUE"""),164.29)</f>
        <v>164.29</v>
      </c>
      <c r="F950" s="1">
        <f>IFERROR(__xludf.DUMMYFUNCTION("""COMPUTED_VALUE"""),3.1184335E7)</f>
        <v>31184335</v>
      </c>
    </row>
    <row r="951">
      <c r="A951" s="2">
        <f>IFERROR(__xludf.DUMMYFUNCTION("""COMPUTED_VALUE"""),45734.66666666667)</f>
        <v>45734.66667</v>
      </c>
      <c r="B951" s="1">
        <f>IFERROR(__xludf.DUMMYFUNCTION("""COMPUTED_VALUE"""),163.68)</f>
        <v>163.68</v>
      </c>
      <c r="C951" s="1">
        <f>IFERROR(__xludf.DUMMYFUNCTION("""COMPUTED_VALUE"""),164.25)</f>
        <v>164.25</v>
      </c>
      <c r="D951" s="1">
        <f>IFERROR(__xludf.DUMMYFUNCTION("""COMPUTED_VALUE"""),156.72)</f>
        <v>156.72</v>
      </c>
      <c r="E951" s="1">
        <f>IFERROR(__xludf.DUMMYFUNCTION("""COMPUTED_VALUE"""),160.67)</f>
        <v>160.67</v>
      </c>
      <c r="F951" s="1">
        <f>IFERROR(__xludf.DUMMYFUNCTION("""COMPUTED_VALUE"""),4.2074751E7)</f>
        <v>42074751</v>
      </c>
    </row>
    <row r="952">
      <c r="A952" s="2">
        <f>IFERROR(__xludf.DUMMYFUNCTION("""COMPUTED_VALUE"""),45735.66666666667)</f>
        <v>45735.66667</v>
      </c>
      <c r="B952" s="1">
        <f>IFERROR(__xludf.DUMMYFUNCTION("""COMPUTED_VALUE"""),161.76)</f>
        <v>161.76</v>
      </c>
      <c r="C952" s="1">
        <f>IFERROR(__xludf.DUMMYFUNCTION("""COMPUTED_VALUE"""),165.87)</f>
        <v>165.87</v>
      </c>
      <c r="D952" s="1">
        <f>IFERROR(__xludf.DUMMYFUNCTION("""COMPUTED_VALUE"""),161.0)</f>
        <v>161</v>
      </c>
      <c r="E952" s="1">
        <f>IFERROR(__xludf.DUMMYFUNCTION("""COMPUTED_VALUE"""),163.89)</f>
        <v>163.89</v>
      </c>
      <c r="F952" s="1">
        <f>IFERROR(__xludf.DUMMYFUNCTION("""COMPUTED_VALUE"""),3.4275582E7)</f>
        <v>34275582</v>
      </c>
    </row>
    <row r="953">
      <c r="A953" s="2">
        <f>IFERROR(__xludf.DUMMYFUNCTION("""COMPUTED_VALUE"""),45736.66666666667)</f>
        <v>45736.66667</v>
      </c>
      <c r="B953" s="1">
        <f>IFERROR(__xludf.DUMMYFUNCTION("""COMPUTED_VALUE"""),161.57)</f>
        <v>161.57</v>
      </c>
      <c r="C953" s="1">
        <f>IFERROR(__xludf.DUMMYFUNCTION("""COMPUTED_VALUE"""),164.89)</f>
        <v>164.89</v>
      </c>
      <c r="D953" s="1">
        <f>IFERROR(__xludf.DUMMYFUNCTION("""COMPUTED_VALUE"""),160.96)</f>
        <v>160.96</v>
      </c>
      <c r="E953" s="1">
        <f>IFERROR(__xludf.DUMMYFUNCTION("""COMPUTED_VALUE"""),162.8)</f>
        <v>162.8</v>
      </c>
      <c r="F953" s="1">
        <f>IFERROR(__xludf.DUMMYFUNCTION("""COMPUTED_VALUE"""),2.8138464E7)</f>
        <v>28138464</v>
      </c>
    </row>
    <row r="954">
      <c r="A954" s="2">
        <f>IFERROR(__xludf.DUMMYFUNCTION("""COMPUTED_VALUE"""),45737.66666666667)</f>
        <v>45737.66667</v>
      </c>
      <c r="B954" s="1">
        <f>IFERROR(__xludf.DUMMYFUNCTION("""COMPUTED_VALUE"""),161.21)</f>
        <v>161.21</v>
      </c>
      <c r="C954" s="1">
        <f>IFERROR(__xludf.DUMMYFUNCTION("""COMPUTED_VALUE"""),164.24)</f>
        <v>164.24</v>
      </c>
      <c r="D954" s="1">
        <f>IFERROR(__xludf.DUMMYFUNCTION("""COMPUTED_VALUE"""),160.89)</f>
        <v>160.89</v>
      </c>
      <c r="E954" s="1">
        <f>IFERROR(__xludf.DUMMYFUNCTION("""COMPUTED_VALUE"""),163.99)</f>
        <v>163.99</v>
      </c>
      <c r="F954" s="1">
        <f>IFERROR(__xludf.DUMMYFUNCTION("""COMPUTED_VALUE"""),3.6625764E7)</f>
        <v>36625764</v>
      </c>
    </row>
    <row r="955">
      <c r="A955" s="2">
        <f>IFERROR(__xludf.DUMMYFUNCTION("""COMPUTED_VALUE"""),45740.66666666667)</f>
        <v>45740.66667</v>
      </c>
      <c r="B955" s="1">
        <f>IFERROR(__xludf.DUMMYFUNCTION("""COMPUTED_VALUE"""),167.07)</f>
        <v>167.07</v>
      </c>
      <c r="C955" s="1">
        <f>IFERROR(__xludf.DUMMYFUNCTION("""COMPUTED_VALUE"""),168.32)</f>
        <v>168.32</v>
      </c>
      <c r="D955" s="1">
        <f>IFERROR(__xludf.DUMMYFUNCTION("""COMPUTED_VALUE"""),165.14)</f>
        <v>165.14</v>
      </c>
      <c r="E955" s="1">
        <f>IFERROR(__xludf.DUMMYFUNCTION("""COMPUTED_VALUE"""),167.68)</f>
        <v>167.68</v>
      </c>
      <c r="F955" s="1">
        <f>IFERROR(__xludf.DUMMYFUNCTION("""COMPUTED_VALUE"""),3.0879129E7)</f>
        <v>30879129</v>
      </c>
    </row>
    <row r="956">
      <c r="A956" s="2">
        <f>IFERROR(__xludf.DUMMYFUNCTION("""COMPUTED_VALUE"""),45741.66666666667)</f>
        <v>45741.66667</v>
      </c>
      <c r="B956" s="1">
        <f>IFERROR(__xludf.DUMMYFUNCTION("""COMPUTED_VALUE"""),168.98)</f>
        <v>168.98</v>
      </c>
      <c r="C956" s="1">
        <f>IFERROR(__xludf.DUMMYFUNCTION("""COMPUTED_VALUE"""),170.63)</f>
        <v>170.63</v>
      </c>
      <c r="D956" s="1">
        <f>IFERROR(__xludf.DUMMYFUNCTION("""COMPUTED_VALUE"""),168.32)</f>
        <v>168.32</v>
      </c>
      <c r="E956" s="1">
        <f>IFERROR(__xludf.DUMMYFUNCTION("""COMPUTED_VALUE"""),170.56)</f>
        <v>170.56</v>
      </c>
      <c r="F956" s="1">
        <f>IFERROR(__xludf.DUMMYFUNCTION("""COMPUTED_VALUE"""),2.4174373E7)</f>
        <v>24174373</v>
      </c>
    </row>
    <row r="957">
      <c r="A957" s="2">
        <f>IFERROR(__xludf.DUMMYFUNCTION("""COMPUTED_VALUE"""),45742.66666666667)</f>
        <v>45742.66667</v>
      </c>
      <c r="B957" s="1">
        <f>IFERROR(__xludf.DUMMYFUNCTION("""COMPUTED_VALUE"""),169.0)</f>
        <v>169</v>
      </c>
      <c r="C957" s="1">
        <f>IFERROR(__xludf.DUMMYFUNCTION("""COMPUTED_VALUE"""),169.61)</f>
        <v>169.61</v>
      </c>
      <c r="D957" s="1">
        <f>IFERROR(__xludf.DUMMYFUNCTION("""COMPUTED_VALUE"""),164.84)</f>
        <v>164.84</v>
      </c>
      <c r="E957" s="1">
        <f>IFERROR(__xludf.DUMMYFUNCTION("""COMPUTED_VALUE"""),165.06)</f>
        <v>165.06</v>
      </c>
      <c r="F957" s="1">
        <f>IFERROR(__xludf.DUMMYFUNCTION("""COMPUTED_VALUE"""),2.8939326E7)</f>
        <v>28939326</v>
      </c>
    </row>
    <row r="958">
      <c r="A958" s="2">
        <f>IFERROR(__xludf.DUMMYFUNCTION("""COMPUTED_VALUE"""),45743.66666666667)</f>
        <v>45743.66667</v>
      </c>
      <c r="B958" s="1">
        <f>IFERROR(__xludf.DUMMYFUNCTION("""COMPUTED_VALUE"""),164.63)</f>
        <v>164.63</v>
      </c>
      <c r="C958" s="1">
        <f>IFERROR(__xludf.DUMMYFUNCTION("""COMPUTED_VALUE"""),165.42)</f>
        <v>165.42</v>
      </c>
      <c r="D958" s="1">
        <f>IFERROR(__xludf.DUMMYFUNCTION("""COMPUTED_VALUE"""),162.0)</f>
        <v>162</v>
      </c>
      <c r="E958" s="1">
        <f>IFERROR(__xludf.DUMMYFUNCTION("""COMPUTED_VALUE"""),162.24)</f>
        <v>162.24</v>
      </c>
      <c r="F958" s="1">
        <f>IFERROR(__xludf.DUMMYFUNCTION("""COMPUTED_VALUE"""),2.4508273E7)</f>
        <v>24508273</v>
      </c>
    </row>
    <row r="959">
      <c r="A959" s="2">
        <f>IFERROR(__xludf.DUMMYFUNCTION("""COMPUTED_VALUE"""),45744.66666666667)</f>
        <v>45744.66667</v>
      </c>
      <c r="B959" s="1">
        <f>IFERROR(__xludf.DUMMYFUNCTION("""COMPUTED_VALUE"""),160.49)</f>
        <v>160.49</v>
      </c>
      <c r="C959" s="1">
        <f>IFERROR(__xludf.DUMMYFUNCTION("""COMPUTED_VALUE"""),161.82)</f>
        <v>161.82</v>
      </c>
      <c r="D959" s="1">
        <f>IFERROR(__xludf.DUMMYFUNCTION("""COMPUTED_VALUE"""),153.63)</f>
        <v>153.63</v>
      </c>
      <c r="E959" s="1">
        <f>IFERROR(__xludf.DUMMYFUNCTION("""COMPUTED_VALUE"""),154.33)</f>
        <v>154.33</v>
      </c>
      <c r="F959" s="1">
        <f>IFERROR(__xludf.DUMMYFUNCTION("""COMPUTED_VALUE"""),4.8669335E7)</f>
        <v>48669335</v>
      </c>
    </row>
    <row r="960">
      <c r="A960" s="2">
        <f>IFERROR(__xludf.DUMMYFUNCTION("""COMPUTED_VALUE"""),45747.66666666667)</f>
        <v>45747.66667</v>
      </c>
      <c r="B960" s="1">
        <f>IFERROR(__xludf.DUMMYFUNCTION("""COMPUTED_VALUE"""),153.11)</f>
        <v>153.11</v>
      </c>
      <c r="C960" s="1">
        <f>IFERROR(__xludf.DUMMYFUNCTION("""COMPUTED_VALUE"""),155.54)</f>
        <v>155.54</v>
      </c>
      <c r="D960" s="1">
        <f>IFERROR(__xludf.DUMMYFUNCTION("""COMPUTED_VALUE"""),150.66)</f>
        <v>150.66</v>
      </c>
      <c r="E960" s="1">
        <f>IFERROR(__xludf.DUMMYFUNCTION("""COMPUTED_VALUE"""),154.64)</f>
        <v>154.64</v>
      </c>
      <c r="F960" s="1">
        <f>IFERROR(__xludf.DUMMYFUNCTION("""COMPUTED_VALUE"""),5.4603464E7)</f>
        <v>54603464</v>
      </c>
    </row>
    <row r="961">
      <c r="A961" s="2">
        <f>IFERROR(__xludf.DUMMYFUNCTION("""COMPUTED_VALUE"""),45748.66666666667)</f>
        <v>45748.66667</v>
      </c>
      <c r="B961" s="1">
        <f>IFERROR(__xludf.DUMMYFUNCTION("""COMPUTED_VALUE"""),153.62)</f>
        <v>153.62</v>
      </c>
      <c r="C961" s="1">
        <f>IFERROR(__xludf.DUMMYFUNCTION("""COMPUTED_VALUE"""),158.1)</f>
        <v>158.1</v>
      </c>
      <c r="D961" s="1">
        <f>IFERROR(__xludf.DUMMYFUNCTION("""COMPUTED_VALUE"""),153.62)</f>
        <v>153.62</v>
      </c>
      <c r="E961" s="1">
        <f>IFERROR(__xludf.DUMMYFUNCTION("""COMPUTED_VALUE"""),157.07)</f>
        <v>157.07</v>
      </c>
      <c r="F961" s="1">
        <f>IFERROR(__xludf.DUMMYFUNCTION("""COMPUTED_VALUE"""),3.0672899E7)</f>
        <v>30672899</v>
      </c>
    </row>
    <row r="962">
      <c r="A962" s="2">
        <f>IFERROR(__xludf.DUMMYFUNCTION("""COMPUTED_VALUE"""),45749.66666666667)</f>
        <v>45749.66667</v>
      </c>
      <c r="B962" s="1">
        <f>IFERROR(__xludf.DUMMYFUNCTION("""COMPUTED_VALUE"""),155.15)</f>
        <v>155.15</v>
      </c>
      <c r="C962" s="1">
        <f>IFERROR(__xludf.DUMMYFUNCTION("""COMPUTED_VALUE"""),158.41)</f>
        <v>158.41</v>
      </c>
      <c r="D962" s="1">
        <f>IFERROR(__xludf.DUMMYFUNCTION("""COMPUTED_VALUE"""),154.7)</f>
        <v>154.7</v>
      </c>
      <c r="E962" s="1">
        <f>IFERROR(__xludf.DUMMYFUNCTION("""COMPUTED_VALUE"""),157.04)</f>
        <v>157.04</v>
      </c>
      <c r="F962" s="1">
        <f>IFERROR(__xludf.DUMMYFUNCTION("""COMPUTED_VALUE"""),2.504173E7)</f>
        <v>25041730</v>
      </c>
    </row>
    <row r="963">
      <c r="A963" s="2">
        <f>IFERROR(__xludf.DUMMYFUNCTION("""COMPUTED_VALUE"""),45750.66666666667)</f>
        <v>45750.66667</v>
      </c>
      <c r="B963" s="1">
        <f>IFERROR(__xludf.DUMMYFUNCTION("""COMPUTED_VALUE"""),151.11)</f>
        <v>151.11</v>
      </c>
      <c r="C963" s="1">
        <f>IFERROR(__xludf.DUMMYFUNCTION("""COMPUTED_VALUE"""),152.78)</f>
        <v>152.78</v>
      </c>
      <c r="D963" s="1">
        <f>IFERROR(__xludf.DUMMYFUNCTION("""COMPUTED_VALUE"""),150.39)</f>
        <v>150.39</v>
      </c>
      <c r="E963" s="1">
        <f>IFERROR(__xludf.DUMMYFUNCTION("""COMPUTED_VALUE"""),150.72)</f>
        <v>150.72</v>
      </c>
      <c r="F963" s="1">
        <f>IFERROR(__xludf.DUMMYFUNCTION("""COMPUTED_VALUE"""),4.6883371E7)</f>
        <v>46883371</v>
      </c>
    </row>
    <row r="964">
      <c r="A964" s="2">
        <f>IFERROR(__xludf.DUMMYFUNCTION("""COMPUTED_VALUE"""),45751.66666666667)</f>
        <v>45751.66667</v>
      </c>
      <c r="B964" s="1">
        <f>IFERROR(__xludf.DUMMYFUNCTION("""COMPUTED_VALUE"""),148.01)</f>
        <v>148.01</v>
      </c>
      <c r="C964" s="1">
        <f>IFERROR(__xludf.DUMMYFUNCTION("""COMPUTED_VALUE"""),151.07)</f>
        <v>151.07</v>
      </c>
      <c r="D964" s="1">
        <f>IFERROR(__xludf.DUMMYFUNCTION("""COMPUTED_VALUE"""),145.38)</f>
        <v>145.38</v>
      </c>
      <c r="E964" s="1">
        <f>IFERROR(__xludf.DUMMYFUNCTION("""COMPUTED_VALUE"""),145.6)</f>
        <v>145.6</v>
      </c>
      <c r="F964" s="1">
        <f>IFERROR(__xludf.DUMMYFUNCTION("""COMPUTED_VALUE"""),6.2259539E7)</f>
        <v>62259539</v>
      </c>
    </row>
    <row r="965">
      <c r="A965" s="2">
        <f>IFERROR(__xludf.DUMMYFUNCTION("""COMPUTED_VALUE"""),45754.66666666667)</f>
        <v>45754.66667</v>
      </c>
      <c r="B965" s="1">
        <f>IFERROR(__xludf.DUMMYFUNCTION("""COMPUTED_VALUE"""),141.55)</f>
        <v>141.55</v>
      </c>
      <c r="C965" s="1">
        <f>IFERROR(__xludf.DUMMYFUNCTION("""COMPUTED_VALUE"""),152.85)</f>
        <v>152.85</v>
      </c>
      <c r="D965" s="1">
        <f>IFERROR(__xludf.DUMMYFUNCTION("""COMPUTED_VALUE"""),140.53)</f>
        <v>140.53</v>
      </c>
      <c r="E965" s="1">
        <f>IFERROR(__xludf.DUMMYFUNCTION("""COMPUTED_VALUE"""),146.75)</f>
        <v>146.75</v>
      </c>
      <c r="F965" s="1">
        <f>IFERROR(__xludf.DUMMYFUNCTION("""COMPUTED_VALUE"""),7.6794136E7)</f>
        <v>76794136</v>
      </c>
    </row>
    <row r="966">
      <c r="A966" s="2">
        <f>IFERROR(__xludf.DUMMYFUNCTION("""COMPUTED_VALUE"""),45755.66666666667)</f>
        <v>45755.66667</v>
      </c>
      <c r="B966" s="1">
        <f>IFERROR(__xludf.DUMMYFUNCTION("""COMPUTED_VALUE"""),151.22)</f>
        <v>151.22</v>
      </c>
      <c r="C966" s="1">
        <f>IFERROR(__xludf.DUMMYFUNCTION("""COMPUTED_VALUE"""),152.24)</f>
        <v>152.24</v>
      </c>
      <c r="D966" s="1">
        <f>IFERROR(__xludf.DUMMYFUNCTION("""COMPUTED_VALUE"""),143.03)</f>
        <v>143.03</v>
      </c>
      <c r="E966" s="1">
        <f>IFERROR(__xludf.DUMMYFUNCTION("""COMPUTED_VALUE"""),144.7)</f>
        <v>144.7</v>
      </c>
      <c r="F966" s="1">
        <f>IFERROR(__xludf.DUMMYFUNCTION("""COMPUTED_VALUE"""),5.2200208E7)</f>
        <v>52200208</v>
      </c>
    </row>
    <row r="967">
      <c r="A967" s="2">
        <f>IFERROR(__xludf.DUMMYFUNCTION("""COMPUTED_VALUE"""),45756.66666666667)</f>
        <v>45756.66667</v>
      </c>
      <c r="B967" s="1">
        <f>IFERROR(__xludf.DUMMYFUNCTION("""COMPUTED_VALUE"""),144.42)</f>
        <v>144.42</v>
      </c>
      <c r="C967" s="1">
        <f>IFERROR(__xludf.DUMMYFUNCTION("""COMPUTED_VALUE"""),159.55)</f>
        <v>159.55</v>
      </c>
      <c r="D967" s="1">
        <f>IFERROR(__xludf.DUMMYFUNCTION("""COMPUTED_VALUE"""),143.91)</f>
        <v>143.91</v>
      </c>
      <c r="E967" s="1">
        <f>IFERROR(__xludf.DUMMYFUNCTION("""COMPUTED_VALUE"""),158.71)</f>
        <v>158.71</v>
      </c>
      <c r="F967" s="1">
        <f>IFERROR(__xludf.DUMMYFUNCTION("""COMPUTED_VALUE"""),7.0406232E7)</f>
        <v>70406232</v>
      </c>
    </row>
    <row r="968">
      <c r="A968" s="2">
        <f>IFERROR(__xludf.DUMMYFUNCTION("""COMPUTED_VALUE"""),45757.66666666667)</f>
        <v>45757.66667</v>
      </c>
      <c r="B968" s="1">
        <f>IFERROR(__xludf.DUMMYFUNCTION("""COMPUTED_VALUE"""),156.54)</f>
        <v>156.54</v>
      </c>
      <c r="C968" s="1">
        <f>IFERROR(__xludf.DUMMYFUNCTION("""COMPUTED_VALUE"""),157.72)</f>
        <v>157.72</v>
      </c>
      <c r="D968" s="1">
        <f>IFERROR(__xludf.DUMMYFUNCTION("""COMPUTED_VALUE"""),149.93)</f>
        <v>149.93</v>
      </c>
      <c r="E968" s="1">
        <f>IFERROR(__xludf.DUMMYFUNCTION("""COMPUTED_VALUE"""),152.82)</f>
        <v>152.82</v>
      </c>
      <c r="F968" s="1">
        <f>IFERROR(__xludf.DUMMYFUNCTION("""COMPUTED_VALUE"""),4.8021972E7)</f>
        <v>48021972</v>
      </c>
    </row>
    <row r="969">
      <c r="A969" s="2">
        <f>IFERROR(__xludf.DUMMYFUNCTION("""COMPUTED_VALUE"""),45758.66666666667)</f>
        <v>45758.66667</v>
      </c>
      <c r="B969" s="1">
        <f>IFERROR(__xludf.DUMMYFUNCTION("""COMPUTED_VALUE"""),152.9)</f>
        <v>152.9</v>
      </c>
      <c r="C969" s="1">
        <f>IFERROR(__xludf.DUMMYFUNCTION("""COMPUTED_VALUE"""),157.67)</f>
        <v>157.67</v>
      </c>
      <c r="D969" s="1">
        <f>IFERROR(__xludf.DUMMYFUNCTION("""COMPUTED_VALUE"""),152.82)</f>
        <v>152.82</v>
      </c>
      <c r="E969" s="1">
        <f>IFERROR(__xludf.DUMMYFUNCTION("""COMPUTED_VALUE"""),157.14)</f>
        <v>157.14</v>
      </c>
      <c r="F969" s="1">
        <f>IFERROR(__xludf.DUMMYFUNCTION("""COMPUTED_VALUE"""),3.3636239E7)</f>
        <v>33636239</v>
      </c>
    </row>
    <row r="970">
      <c r="A970" s="2">
        <f>IFERROR(__xludf.DUMMYFUNCTION("""COMPUTED_VALUE"""),45761.66666666667)</f>
        <v>45761.66667</v>
      </c>
      <c r="B970" s="1">
        <f>IFERROR(__xludf.DUMMYFUNCTION("""COMPUTED_VALUE"""),160.0)</f>
        <v>160</v>
      </c>
      <c r="C970" s="1">
        <f>IFERROR(__xludf.DUMMYFUNCTION("""COMPUTED_VALUE"""),161.72)</f>
        <v>161.72</v>
      </c>
      <c r="D970" s="1">
        <f>IFERROR(__xludf.DUMMYFUNCTION("""COMPUTED_VALUE"""),157.56)</f>
        <v>157.56</v>
      </c>
      <c r="E970" s="1">
        <f>IFERROR(__xludf.DUMMYFUNCTION("""COMPUTED_VALUE"""),159.07)</f>
        <v>159.07</v>
      </c>
      <c r="F970" s="1">
        <f>IFERROR(__xludf.DUMMYFUNCTION("""COMPUTED_VALUE"""),3.0332957E7)</f>
        <v>30332957</v>
      </c>
    </row>
    <row r="971">
      <c r="A971" s="2">
        <f>IFERROR(__xludf.DUMMYFUNCTION("""COMPUTED_VALUE"""),45762.66666666667)</f>
        <v>45762.66667</v>
      </c>
      <c r="B971" s="1">
        <f>IFERROR(__xludf.DUMMYFUNCTION("""COMPUTED_VALUE"""),159.13)</f>
        <v>159.13</v>
      </c>
      <c r="C971" s="1">
        <f>IFERROR(__xludf.DUMMYFUNCTION("""COMPUTED_VALUE"""),159.65)</f>
        <v>159.65</v>
      </c>
      <c r="D971" s="1">
        <f>IFERROR(__xludf.DUMMYFUNCTION("""COMPUTED_VALUE"""),155.21)</f>
        <v>155.21</v>
      </c>
      <c r="E971" s="1">
        <f>IFERROR(__xludf.DUMMYFUNCTION("""COMPUTED_VALUE"""),156.31)</f>
        <v>156.31</v>
      </c>
      <c r="F971" s="1">
        <f>IFERROR(__xludf.DUMMYFUNCTION("""COMPUTED_VALUE"""),2.7551534E7)</f>
        <v>27551534</v>
      </c>
    </row>
    <row r="972">
      <c r="A972" s="2">
        <f>IFERROR(__xludf.DUMMYFUNCTION("""COMPUTED_VALUE"""),45763.66666666667)</f>
        <v>45763.66667</v>
      </c>
      <c r="B972" s="1">
        <f>IFERROR(__xludf.DUMMYFUNCTION("""COMPUTED_VALUE"""),153.1)</f>
        <v>153.1</v>
      </c>
      <c r="C972" s="1">
        <f>IFERROR(__xludf.DUMMYFUNCTION("""COMPUTED_VALUE"""),155.89)</f>
        <v>155.89</v>
      </c>
      <c r="D972" s="1">
        <f>IFERROR(__xludf.DUMMYFUNCTION("""COMPUTED_VALUE"""),151.51)</f>
        <v>151.51</v>
      </c>
      <c r="E972" s="1">
        <f>IFERROR(__xludf.DUMMYFUNCTION("""COMPUTED_VALUE"""),153.33)</f>
        <v>153.33</v>
      </c>
      <c r="F972" s="1">
        <f>IFERROR(__xludf.DUMMYFUNCTION("""COMPUTED_VALUE"""),2.8187421E7)</f>
        <v>28187421</v>
      </c>
    </row>
    <row r="973">
      <c r="A973" s="2">
        <f>IFERROR(__xludf.DUMMYFUNCTION("""COMPUTED_VALUE"""),45764.66666666667)</f>
        <v>45764.66667</v>
      </c>
      <c r="B973" s="1">
        <f>IFERROR(__xludf.DUMMYFUNCTION("""COMPUTED_VALUE"""),154.29)</f>
        <v>154.29</v>
      </c>
      <c r="C973" s="1">
        <f>IFERROR(__xludf.DUMMYFUNCTION("""COMPUTED_VALUE"""),154.68)</f>
        <v>154.68</v>
      </c>
      <c r="D973" s="1">
        <f>IFERROR(__xludf.DUMMYFUNCTION("""COMPUTED_VALUE"""),148.5)</f>
        <v>148.5</v>
      </c>
      <c r="E973" s="1">
        <f>IFERROR(__xludf.DUMMYFUNCTION("""COMPUTED_VALUE"""),151.16)</f>
        <v>151.16</v>
      </c>
      <c r="F973" s="1">
        <f>IFERROR(__xludf.DUMMYFUNCTION("""COMPUTED_VALUE"""),3.3046576E7)</f>
        <v>33046576</v>
      </c>
    </row>
    <row r="974">
      <c r="A974" s="2">
        <f>IFERROR(__xludf.DUMMYFUNCTION("""COMPUTED_VALUE"""),45768.66666666667)</f>
        <v>45768.66667</v>
      </c>
      <c r="B974" s="1">
        <f>IFERROR(__xludf.DUMMYFUNCTION("""COMPUTED_VALUE"""),148.88)</f>
        <v>148.88</v>
      </c>
      <c r="C974" s="1">
        <f>IFERROR(__xludf.DUMMYFUNCTION("""COMPUTED_VALUE"""),148.95)</f>
        <v>148.95</v>
      </c>
      <c r="D974" s="1">
        <f>IFERROR(__xludf.DUMMYFUNCTION("""COMPUTED_VALUE"""),146.1)</f>
        <v>146.1</v>
      </c>
      <c r="E974" s="1">
        <f>IFERROR(__xludf.DUMMYFUNCTION("""COMPUTED_VALUE"""),147.67)</f>
        <v>147.67</v>
      </c>
      <c r="F974" s="1">
        <f>IFERROR(__xludf.DUMMYFUNCTION("""COMPUTED_VALUE"""),2.6049115E7)</f>
        <v>26049115</v>
      </c>
    </row>
    <row r="975">
      <c r="A975" s="2">
        <f>IFERROR(__xludf.DUMMYFUNCTION("""COMPUTED_VALUE"""),45769.66666666667)</f>
        <v>45769.66667</v>
      </c>
      <c r="B975" s="1">
        <f>IFERROR(__xludf.DUMMYFUNCTION("""COMPUTED_VALUE"""),148.89)</f>
        <v>148.89</v>
      </c>
      <c r="C975" s="1">
        <f>IFERROR(__xludf.DUMMYFUNCTION("""COMPUTED_VALUE"""),152.19)</f>
        <v>152.19</v>
      </c>
      <c r="D975" s="1">
        <f>IFERROR(__xludf.DUMMYFUNCTION("""COMPUTED_VALUE"""),148.54)</f>
        <v>148.54</v>
      </c>
      <c r="E975" s="1">
        <f>IFERROR(__xludf.DUMMYFUNCTION("""COMPUTED_VALUE"""),151.47)</f>
        <v>151.47</v>
      </c>
      <c r="F975" s="1">
        <f>IFERROR(__xludf.DUMMYFUNCTION("""COMPUTED_VALUE"""),2.6971774E7)</f>
        <v>26971774</v>
      </c>
    </row>
    <row r="976">
      <c r="A976" s="2">
        <f>IFERROR(__xludf.DUMMYFUNCTION("""COMPUTED_VALUE"""),45770.66666666667)</f>
        <v>45770.66667</v>
      </c>
      <c r="B976" s="1">
        <f>IFERROR(__xludf.DUMMYFUNCTION("""COMPUTED_VALUE"""),155.61)</f>
        <v>155.61</v>
      </c>
      <c r="C976" s="1">
        <f>IFERROR(__xludf.DUMMYFUNCTION("""COMPUTED_VALUE"""),157.53)</f>
        <v>157.53</v>
      </c>
      <c r="D976" s="1">
        <f>IFERROR(__xludf.DUMMYFUNCTION("""COMPUTED_VALUE"""),153.81)</f>
        <v>153.81</v>
      </c>
      <c r="E976" s="1">
        <f>IFERROR(__xludf.DUMMYFUNCTION("""COMPUTED_VALUE"""),155.35)</f>
        <v>155.35</v>
      </c>
      <c r="F976" s="1">
        <f>IFERROR(__xludf.DUMMYFUNCTION("""COMPUTED_VALUE"""),3.1128833E7)</f>
        <v>31128833</v>
      </c>
    </row>
    <row r="977">
      <c r="A977" s="2">
        <f>IFERROR(__xludf.DUMMYFUNCTION("""COMPUTED_VALUE"""),45771.66666666667)</f>
        <v>45771.66667</v>
      </c>
      <c r="B977" s="1">
        <f>IFERROR(__xludf.DUMMYFUNCTION("""COMPUTED_VALUE"""),156.15)</f>
        <v>156.15</v>
      </c>
      <c r="C977" s="1">
        <f>IFERROR(__xludf.DUMMYFUNCTION("""COMPUTED_VALUE"""),159.59)</f>
        <v>159.59</v>
      </c>
      <c r="D977" s="1">
        <f>IFERROR(__xludf.DUMMYFUNCTION("""COMPUTED_VALUE"""),155.79)</f>
        <v>155.79</v>
      </c>
      <c r="E977" s="1">
        <f>IFERROR(__xludf.DUMMYFUNCTION("""COMPUTED_VALUE"""),159.28)</f>
        <v>159.28</v>
      </c>
      <c r="F977" s="1">
        <f>IFERROR(__xludf.DUMMYFUNCTION("""COMPUTED_VALUE"""),4.5893951E7)</f>
        <v>45893951</v>
      </c>
    </row>
    <row r="978">
      <c r="A978" s="2">
        <f>IFERROR(__xludf.DUMMYFUNCTION("""COMPUTED_VALUE"""),45772.66666666667)</f>
        <v>45772.66667</v>
      </c>
      <c r="B978" s="1">
        <f>IFERROR(__xludf.DUMMYFUNCTION("""COMPUTED_VALUE"""),165.07)</f>
        <v>165.07</v>
      </c>
      <c r="C978" s="1">
        <f>IFERROR(__xludf.DUMMYFUNCTION("""COMPUTED_VALUE"""),166.1)</f>
        <v>166.1</v>
      </c>
      <c r="D978" s="1">
        <f>IFERROR(__xludf.DUMMYFUNCTION("""COMPUTED_VALUE"""),161.04)</f>
        <v>161.04</v>
      </c>
      <c r="E978" s="1">
        <f>IFERROR(__xludf.DUMMYFUNCTION("""COMPUTED_VALUE"""),161.96)</f>
        <v>161.96</v>
      </c>
      <c r="F978" s="1">
        <f>IFERROR(__xludf.DUMMYFUNCTION("""COMPUTED_VALUE"""),5.6033995E7)</f>
        <v>56033995</v>
      </c>
    </row>
    <row r="979">
      <c r="A979" s="2">
        <f>IFERROR(__xludf.DUMMYFUNCTION("""COMPUTED_VALUE"""),45775.66666666667)</f>
        <v>45775.66667</v>
      </c>
      <c r="B979" s="1">
        <f>IFERROR(__xludf.DUMMYFUNCTION("""COMPUTED_VALUE"""),162.43)</f>
        <v>162.43</v>
      </c>
      <c r="C979" s="1">
        <f>IFERROR(__xludf.DUMMYFUNCTION("""COMPUTED_VALUE"""),163.15)</f>
        <v>163.15</v>
      </c>
      <c r="D979" s="1">
        <f>IFERROR(__xludf.DUMMYFUNCTION("""COMPUTED_VALUE"""),158.6)</f>
        <v>158.6</v>
      </c>
      <c r="E979" s="1">
        <f>IFERROR(__xludf.DUMMYFUNCTION("""COMPUTED_VALUE"""),160.61)</f>
        <v>160.61</v>
      </c>
      <c r="F979" s="1">
        <f>IFERROR(__xludf.DUMMYFUNCTION("""COMPUTED_VALUE"""),2.9745782E7)</f>
        <v>29745782</v>
      </c>
    </row>
    <row r="980">
      <c r="A980" s="2">
        <f>IFERROR(__xludf.DUMMYFUNCTION("""COMPUTED_VALUE"""),45776.66666666667)</f>
        <v>45776.66667</v>
      </c>
      <c r="B980" s="1">
        <f>IFERROR(__xludf.DUMMYFUNCTION("""COMPUTED_VALUE"""),160.32)</f>
        <v>160.32</v>
      </c>
      <c r="C980" s="1">
        <f>IFERROR(__xludf.DUMMYFUNCTION("""COMPUTED_VALUE"""),160.74)</f>
        <v>160.74</v>
      </c>
      <c r="D980" s="1">
        <f>IFERROR(__xludf.DUMMYFUNCTION("""COMPUTED_VALUE"""),157.52)</f>
        <v>157.52</v>
      </c>
      <c r="E980" s="1">
        <f>IFERROR(__xludf.DUMMYFUNCTION("""COMPUTED_VALUE"""),160.16)</f>
        <v>160.16</v>
      </c>
      <c r="F980" s="1">
        <f>IFERROR(__xludf.DUMMYFUNCTION("""COMPUTED_VALUE"""),2.6808958E7)</f>
        <v>26808958</v>
      </c>
    </row>
    <row r="981">
      <c r="A981" s="2">
        <f>IFERROR(__xludf.DUMMYFUNCTION("""COMPUTED_VALUE"""),45777.66666666667)</f>
        <v>45777.66667</v>
      </c>
      <c r="B981" s="1">
        <f>IFERROR(__xludf.DUMMYFUNCTION("""COMPUTED_VALUE"""),157.98)</f>
        <v>157.98</v>
      </c>
      <c r="C981" s="1">
        <f>IFERROR(__xludf.DUMMYFUNCTION("""COMPUTED_VALUE"""),159.27)</f>
        <v>159.27</v>
      </c>
      <c r="D981" s="1">
        <f>IFERROR(__xludf.DUMMYFUNCTION("""COMPUTED_VALUE"""),155.4)</f>
        <v>155.4</v>
      </c>
      <c r="E981" s="1">
        <f>IFERROR(__xludf.DUMMYFUNCTION("""COMPUTED_VALUE"""),158.8)</f>
        <v>158.8</v>
      </c>
      <c r="F981" s="1">
        <f>IFERROR(__xludf.DUMMYFUNCTION("""COMPUTED_VALUE"""),3.4981059E7)</f>
        <v>34981059</v>
      </c>
    </row>
    <row r="982">
      <c r="A982" s="2">
        <f>IFERROR(__xludf.DUMMYFUNCTION("""COMPUTED_VALUE"""),45778.66666666667)</f>
        <v>45778.66667</v>
      </c>
      <c r="B982" s="1">
        <f>IFERROR(__xludf.DUMMYFUNCTION("""COMPUTED_VALUE"""),160.45)</f>
        <v>160.45</v>
      </c>
      <c r="C982" s="1">
        <f>IFERROR(__xludf.DUMMYFUNCTION("""COMPUTED_VALUE"""),161.95)</f>
        <v>161.95</v>
      </c>
      <c r="D982" s="1">
        <f>IFERROR(__xludf.DUMMYFUNCTION("""COMPUTED_VALUE"""),158.91)</f>
        <v>158.91</v>
      </c>
      <c r="E982" s="1">
        <f>IFERROR(__xludf.DUMMYFUNCTION("""COMPUTED_VALUE"""),161.3)</f>
        <v>161.3</v>
      </c>
      <c r="F982" s="1">
        <f>IFERROR(__xludf.DUMMYFUNCTION("""COMPUTED_VALUE"""),3.0203248E7)</f>
        <v>30203248</v>
      </c>
    </row>
    <row r="983">
      <c r="A983" s="2">
        <f>IFERROR(__xludf.DUMMYFUNCTION("""COMPUTED_VALUE"""),45779.66666666667)</f>
        <v>45779.66667</v>
      </c>
      <c r="B983" s="1">
        <f>IFERROR(__xludf.DUMMYFUNCTION("""COMPUTED_VALUE"""),163.41)</f>
        <v>163.41</v>
      </c>
      <c r="C983" s="1">
        <f>IFERROR(__xludf.DUMMYFUNCTION("""COMPUTED_VALUE"""),164.97)</f>
        <v>164.97</v>
      </c>
      <c r="D983" s="1">
        <f>IFERROR(__xludf.DUMMYFUNCTION("""COMPUTED_VALUE"""),161.87)</f>
        <v>161.87</v>
      </c>
      <c r="E983" s="1">
        <f>IFERROR(__xludf.DUMMYFUNCTION("""COMPUTED_VALUE"""),164.03)</f>
        <v>164.03</v>
      </c>
      <c r="F983" s="1">
        <f>IFERROR(__xludf.DUMMYFUNCTION("""COMPUTED_VALUE"""),2.5715005E7)</f>
        <v>25715005</v>
      </c>
    </row>
    <row r="984">
      <c r="A984" s="2">
        <f>IFERROR(__xludf.DUMMYFUNCTION("""COMPUTED_VALUE"""),45782.66666666667)</f>
        <v>45782.66667</v>
      </c>
      <c r="B984" s="1">
        <f>IFERROR(__xludf.DUMMYFUNCTION("""COMPUTED_VALUE"""),163.0)</f>
        <v>163</v>
      </c>
      <c r="C984" s="1">
        <f>IFERROR(__xludf.DUMMYFUNCTION("""COMPUTED_VALUE"""),165.39)</f>
        <v>165.39</v>
      </c>
      <c r="D984" s="1">
        <f>IFERROR(__xludf.DUMMYFUNCTION("""COMPUTED_VALUE"""),162.72)</f>
        <v>162.72</v>
      </c>
      <c r="E984" s="1">
        <f>IFERROR(__xludf.DUMMYFUNCTION("""COMPUTED_VALUE"""),164.21)</f>
        <v>164.21</v>
      </c>
      <c r="F984" s="1">
        <f>IFERROR(__xludf.DUMMYFUNCTION("""COMPUTED_VALUE"""),2.1341814E7)</f>
        <v>21341814</v>
      </c>
    </row>
    <row r="985">
      <c r="A985" s="2">
        <f>IFERROR(__xludf.DUMMYFUNCTION("""COMPUTED_VALUE"""),45783.66666666667)</f>
        <v>45783.66667</v>
      </c>
      <c r="B985" s="1">
        <f>IFERROR(__xludf.DUMMYFUNCTION("""COMPUTED_VALUE"""),162.17)</f>
        <v>162.17</v>
      </c>
      <c r="C985" s="1">
        <f>IFERROR(__xludf.DUMMYFUNCTION("""COMPUTED_VALUE"""),164.8)</f>
        <v>164.8</v>
      </c>
      <c r="D985" s="1">
        <f>IFERROR(__xludf.DUMMYFUNCTION("""COMPUTED_VALUE"""),161.19)</f>
        <v>161.19</v>
      </c>
      <c r="E985" s="1">
        <f>IFERROR(__xludf.DUMMYFUNCTION("""COMPUTED_VALUE"""),163.23)</f>
        <v>163.23</v>
      </c>
      <c r="F985" s="1">
        <f>IFERROR(__xludf.DUMMYFUNCTION("""COMPUTED_VALUE"""),2.127721E7)</f>
        <v>21277210</v>
      </c>
    </row>
    <row r="986">
      <c r="A986" s="2">
        <f>IFERROR(__xludf.DUMMYFUNCTION("""COMPUTED_VALUE"""),45784.66666666667)</f>
        <v>45784.66667</v>
      </c>
      <c r="B986" s="1">
        <f>IFERROR(__xludf.DUMMYFUNCTION("""COMPUTED_VALUE"""),164.08)</f>
        <v>164.08</v>
      </c>
      <c r="C986" s="1">
        <f>IFERROR(__xludf.DUMMYFUNCTION("""COMPUTED_VALUE"""),165.0)</f>
        <v>165</v>
      </c>
      <c r="D986" s="1">
        <f>IFERROR(__xludf.DUMMYFUNCTION("""COMPUTED_VALUE"""),147.84)</f>
        <v>147.84</v>
      </c>
      <c r="E986" s="1">
        <f>IFERROR(__xludf.DUMMYFUNCTION("""COMPUTED_VALUE"""),151.38)</f>
        <v>151.38</v>
      </c>
      <c r="F986" s="1">
        <f>IFERROR(__xludf.DUMMYFUNCTION("""COMPUTED_VALUE"""),1.27747554E8)</f>
        <v>127747554</v>
      </c>
    </row>
    <row r="987">
      <c r="A987" s="2">
        <f>IFERROR(__xludf.DUMMYFUNCTION("""COMPUTED_VALUE"""),45785.66666666667)</f>
        <v>45785.66667</v>
      </c>
      <c r="B987" s="1">
        <f>IFERROR(__xludf.DUMMYFUNCTION("""COMPUTED_VALUE"""),155.0)</f>
        <v>155</v>
      </c>
      <c r="C987" s="1">
        <f>IFERROR(__xludf.DUMMYFUNCTION("""COMPUTED_VALUE"""),155.93)</f>
        <v>155.93</v>
      </c>
      <c r="D987" s="1">
        <f>IFERROR(__xludf.DUMMYFUNCTION("""COMPUTED_VALUE"""),152.9)</f>
        <v>152.9</v>
      </c>
      <c r="E987" s="1">
        <f>IFERROR(__xludf.DUMMYFUNCTION("""COMPUTED_VALUE"""),154.28)</f>
        <v>154.28</v>
      </c>
      <c r="F987" s="1">
        <f>IFERROR(__xludf.DUMMYFUNCTION("""COMPUTED_VALUE"""),5.7498692E7)</f>
        <v>57498692</v>
      </c>
    </row>
    <row r="988">
      <c r="A988" s="2">
        <f>IFERROR(__xludf.DUMMYFUNCTION("""COMPUTED_VALUE"""),45786.66666666667)</f>
        <v>45786.66667</v>
      </c>
      <c r="B988" s="1">
        <f>IFERROR(__xludf.DUMMYFUNCTION("""COMPUTED_VALUE"""),154.17)</f>
        <v>154.17</v>
      </c>
      <c r="C988" s="1">
        <f>IFERROR(__xludf.DUMMYFUNCTION("""COMPUTED_VALUE"""),155.05)</f>
        <v>155.05</v>
      </c>
      <c r="D988" s="1">
        <f>IFERROR(__xludf.DUMMYFUNCTION("""COMPUTED_VALUE"""),152.2)</f>
        <v>152.2</v>
      </c>
      <c r="E988" s="1">
        <f>IFERROR(__xludf.DUMMYFUNCTION("""COMPUTED_VALUE"""),152.75)</f>
        <v>152.75</v>
      </c>
      <c r="F988" s="1">
        <f>IFERROR(__xludf.DUMMYFUNCTION("""COMPUTED_VALUE"""),3.2435281E7)</f>
        <v>32435281</v>
      </c>
    </row>
    <row r="989">
      <c r="A989" s="2">
        <f>IFERROR(__xludf.DUMMYFUNCTION("""COMPUTED_VALUE"""),45789.66666666667)</f>
        <v>45789.66667</v>
      </c>
      <c r="B989" s="1">
        <f>IFERROR(__xludf.DUMMYFUNCTION("""COMPUTED_VALUE"""),157.49)</f>
        <v>157.49</v>
      </c>
      <c r="C989" s="1">
        <f>IFERROR(__xludf.DUMMYFUNCTION("""COMPUTED_VALUE"""),159.1)</f>
        <v>159.1</v>
      </c>
      <c r="D989" s="1">
        <f>IFERROR(__xludf.DUMMYFUNCTION("""COMPUTED_VALUE"""),156.25)</f>
        <v>156.25</v>
      </c>
      <c r="E989" s="1">
        <f>IFERROR(__xludf.DUMMYFUNCTION("""COMPUTED_VALUE"""),158.46)</f>
        <v>158.46</v>
      </c>
      <c r="F989" s="1">
        <f>IFERROR(__xludf.DUMMYFUNCTION("""COMPUTED_VALUE"""),4.4138818E7)</f>
        <v>44138818</v>
      </c>
    </row>
    <row r="990">
      <c r="A990" s="2">
        <f>IFERROR(__xludf.DUMMYFUNCTION("""COMPUTED_VALUE"""),45790.66666666667)</f>
        <v>45790.66667</v>
      </c>
      <c r="B990" s="1">
        <f>IFERROR(__xludf.DUMMYFUNCTION("""COMPUTED_VALUE"""),158.79)</f>
        <v>158.79</v>
      </c>
      <c r="C990" s="1">
        <f>IFERROR(__xludf.DUMMYFUNCTION("""COMPUTED_VALUE"""),160.57)</f>
        <v>160.57</v>
      </c>
      <c r="D990" s="1">
        <f>IFERROR(__xludf.DUMMYFUNCTION("""COMPUTED_VALUE"""),156.16)</f>
        <v>156.16</v>
      </c>
      <c r="E990" s="1">
        <f>IFERROR(__xludf.DUMMYFUNCTION("""COMPUTED_VALUE"""),159.53)</f>
        <v>159.53</v>
      </c>
      <c r="F990" s="1">
        <f>IFERROR(__xludf.DUMMYFUNCTION("""COMPUTED_VALUE"""),4.2382126E7)</f>
        <v>42382126</v>
      </c>
    </row>
    <row r="991">
      <c r="A991" s="2">
        <f>IFERROR(__xludf.DUMMYFUNCTION("""COMPUTED_VALUE"""),45791.66666666667)</f>
        <v>45791.66667</v>
      </c>
      <c r="B991" s="1">
        <f>IFERROR(__xludf.DUMMYFUNCTION("""COMPUTED_VALUE"""),159.96)</f>
        <v>159.96</v>
      </c>
      <c r="C991" s="1">
        <f>IFERROR(__xludf.DUMMYFUNCTION("""COMPUTED_VALUE"""),167.0)</f>
        <v>167</v>
      </c>
      <c r="D991" s="1">
        <f>IFERROR(__xludf.DUMMYFUNCTION("""COMPUTED_VALUE"""),159.61)</f>
        <v>159.61</v>
      </c>
      <c r="E991" s="1">
        <f>IFERROR(__xludf.DUMMYFUNCTION("""COMPUTED_VALUE"""),165.37)</f>
        <v>165.37</v>
      </c>
      <c r="F991" s="1">
        <f>IFERROR(__xludf.DUMMYFUNCTION("""COMPUTED_VALUE"""),4.8755869E7)</f>
        <v>48755869</v>
      </c>
    </row>
    <row r="992">
      <c r="A992" s="2">
        <f>IFERROR(__xludf.DUMMYFUNCTION("""COMPUTED_VALUE"""),45792.66666666667)</f>
        <v>45792.66667</v>
      </c>
      <c r="B992" s="1">
        <f>IFERROR(__xludf.DUMMYFUNCTION("""COMPUTED_VALUE"""),165.84)</f>
        <v>165.84</v>
      </c>
      <c r="C992" s="1">
        <f>IFERROR(__xludf.DUMMYFUNCTION("""COMPUTED_VALUE"""),166.21)</f>
        <v>166.21</v>
      </c>
      <c r="D992" s="1">
        <f>IFERROR(__xludf.DUMMYFUNCTION("""COMPUTED_VALUE"""),162.37)</f>
        <v>162.37</v>
      </c>
      <c r="E992" s="1">
        <f>IFERROR(__xludf.DUMMYFUNCTION("""COMPUTED_VALUE"""),163.96)</f>
        <v>163.96</v>
      </c>
      <c r="F992" s="1">
        <f>IFERROR(__xludf.DUMMYFUNCTION("""COMPUTED_VALUE"""),3.3146669E7)</f>
        <v>33146669</v>
      </c>
    </row>
    <row r="993">
      <c r="A993" s="2">
        <f>IFERROR(__xludf.DUMMYFUNCTION("""COMPUTED_VALUE"""),45793.66666666667)</f>
        <v>45793.66667</v>
      </c>
      <c r="B993" s="1">
        <f>IFERROR(__xludf.DUMMYFUNCTION("""COMPUTED_VALUE"""),167.73)</f>
        <v>167.73</v>
      </c>
      <c r="C993" s="1">
        <f>IFERROR(__xludf.DUMMYFUNCTION("""COMPUTED_VALUE"""),169.35)</f>
        <v>169.35</v>
      </c>
      <c r="D993" s="1">
        <f>IFERROR(__xludf.DUMMYFUNCTION("""COMPUTED_VALUE"""),165.62)</f>
        <v>165.62</v>
      </c>
      <c r="E993" s="1">
        <f>IFERROR(__xludf.DUMMYFUNCTION("""COMPUTED_VALUE"""),166.19)</f>
        <v>166.19</v>
      </c>
      <c r="F993" s="1">
        <f>IFERROR(__xludf.DUMMYFUNCTION("""COMPUTED_VALUE"""),4.2846925E7)</f>
        <v>42846925</v>
      </c>
    </row>
    <row r="994">
      <c r="A994" s="2">
        <f>IFERROR(__xludf.DUMMYFUNCTION("""COMPUTED_VALUE"""),45796.66666666667)</f>
        <v>45796.66667</v>
      </c>
      <c r="B994" s="1">
        <f>IFERROR(__xludf.DUMMYFUNCTION("""COMPUTED_VALUE"""),164.51)</f>
        <v>164.51</v>
      </c>
      <c r="C994" s="1">
        <f>IFERROR(__xludf.DUMMYFUNCTION("""COMPUTED_VALUE"""),166.64)</f>
        <v>166.64</v>
      </c>
      <c r="D994" s="1">
        <f>IFERROR(__xludf.DUMMYFUNCTION("""COMPUTED_VALUE"""),164.22)</f>
        <v>164.22</v>
      </c>
      <c r="E994" s="1">
        <f>IFERROR(__xludf.DUMMYFUNCTION("""COMPUTED_VALUE"""),166.54)</f>
        <v>166.54</v>
      </c>
      <c r="F994" s="1">
        <f>IFERROR(__xludf.DUMMYFUNCTION("""COMPUTED_VALUE"""),3.0426097E7)</f>
        <v>30426097</v>
      </c>
    </row>
    <row r="995">
      <c r="A995" s="2">
        <f>IFERROR(__xludf.DUMMYFUNCTION("""COMPUTED_VALUE"""),45797.66666666667)</f>
        <v>45797.66667</v>
      </c>
      <c r="B995" s="1">
        <f>IFERROR(__xludf.DUMMYFUNCTION("""COMPUTED_VALUE"""),166.43)</f>
        <v>166.43</v>
      </c>
      <c r="C995" s="1">
        <f>IFERROR(__xludf.DUMMYFUNCTION("""COMPUTED_VALUE"""),168.5)</f>
        <v>168.5</v>
      </c>
      <c r="D995" s="1">
        <f>IFERROR(__xludf.DUMMYFUNCTION("""COMPUTED_VALUE"""),162.9)</f>
        <v>162.9</v>
      </c>
      <c r="E995" s="1">
        <f>IFERROR(__xludf.DUMMYFUNCTION("""COMPUTED_VALUE"""),163.98)</f>
        <v>163.98</v>
      </c>
      <c r="F995" s="1">
        <f>IFERROR(__xludf.DUMMYFUNCTION("""COMPUTED_VALUE"""),4.6607656E7)</f>
        <v>46607656</v>
      </c>
    </row>
    <row r="996">
      <c r="A996" s="2">
        <f>IFERROR(__xludf.DUMMYFUNCTION("""COMPUTED_VALUE"""),45798.66666666667)</f>
        <v>45798.66667</v>
      </c>
      <c r="B996" s="1">
        <f>IFERROR(__xludf.DUMMYFUNCTION("""COMPUTED_VALUE"""),163.69)</f>
        <v>163.69</v>
      </c>
      <c r="C996" s="1">
        <f>IFERROR(__xludf.DUMMYFUNCTION("""COMPUTED_VALUE"""),173.14)</f>
        <v>173.14</v>
      </c>
      <c r="D996" s="1">
        <f>IFERROR(__xludf.DUMMYFUNCTION("""COMPUTED_VALUE"""),163.56)</f>
        <v>163.56</v>
      </c>
      <c r="E996" s="1">
        <f>IFERROR(__xludf.DUMMYFUNCTION("""COMPUTED_VALUE"""),168.56)</f>
        <v>168.56</v>
      </c>
      <c r="F996" s="1">
        <f>IFERROR(__xludf.DUMMYFUNCTION("""COMPUTED_VALUE"""),7.3415956E7)</f>
        <v>73415956</v>
      </c>
    </row>
    <row r="997">
      <c r="A997" s="2">
        <f>IFERROR(__xludf.DUMMYFUNCTION("""COMPUTED_VALUE"""),45799.66666666667)</f>
        <v>45799.66667</v>
      </c>
      <c r="B997" s="1">
        <f>IFERROR(__xludf.DUMMYFUNCTION("""COMPUTED_VALUE"""),171.85)</f>
        <v>171.85</v>
      </c>
      <c r="C997" s="1">
        <f>IFERROR(__xludf.DUMMYFUNCTION("""COMPUTED_VALUE"""),176.77)</f>
        <v>176.77</v>
      </c>
      <c r="D997" s="1">
        <f>IFERROR(__xludf.DUMMYFUNCTION("""COMPUTED_VALUE"""),170.71)</f>
        <v>170.71</v>
      </c>
      <c r="E997" s="1">
        <f>IFERROR(__xludf.DUMMYFUNCTION("""COMPUTED_VALUE"""),170.87)</f>
        <v>170.87</v>
      </c>
      <c r="F997" s="1">
        <f>IFERROR(__xludf.DUMMYFUNCTION("""COMPUTED_VALUE"""),7.4864418E7)</f>
        <v>74864418</v>
      </c>
    </row>
    <row r="998">
      <c r="A998" s="2">
        <f>IFERROR(__xludf.DUMMYFUNCTION("""COMPUTED_VALUE"""),45800.66666666667)</f>
        <v>45800.66667</v>
      </c>
      <c r="B998" s="1">
        <f>IFERROR(__xludf.DUMMYFUNCTION("""COMPUTED_VALUE"""),169.06)</f>
        <v>169.06</v>
      </c>
      <c r="C998" s="1">
        <f>IFERROR(__xludf.DUMMYFUNCTION("""COMPUTED_VALUE"""),169.96)</f>
        <v>169.96</v>
      </c>
      <c r="D998" s="1">
        <f>IFERROR(__xludf.DUMMYFUNCTION("""COMPUTED_VALUE"""),167.89)</f>
        <v>167.89</v>
      </c>
      <c r="E998" s="1">
        <f>IFERROR(__xludf.DUMMYFUNCTION("""COMPUTED_VALUE"""),168.47)</f>
        <v>168.47</v>
      </c>
      <c r="F998" s="1">
        <f>IFERROR(__xludf.DUMMYFUNCTION("""COMPUTED_VALUE"""),3.5211439E7)</f>
        <v>35211439</v>
      </c>
    </row>
    <row r="999">
      <c r="A999" s="2">
        <f>IFERROR(__xludf.DUMMYFUNCTION("""COMPUTED_VALUE"""),45804.66666666667)</f>
        <v>45804.66667</v>
      </c>
      <c r="B999" s="1">
        <f>IFERROR(__xludf.DUMMYFUNCTION("""COMPUTED_VALUE"""),170.16)</f>
        <v>170.16</v>
      </c>
      <c r="C999" s="1">
        <f>IFERROR(__xludf.DUMMYFUNCTION("""COMPUTED_VALUE"""),173.17)</f>
        <v>173.17</v>
      </c>
      <c r="D999" s="1">
        <f>IFERROR(__xludf.DUMMYFUNCTION("""COMPUTED_VALUE"""),170.0)</f>
        <v>170</v>
      </c>
      <c r="E999" s="1">
        <f>IFERROR(__xludf.DUMMYFUNCTION("""COMPUTED_VALUE"""),172.9)</f>
        <v>172.9</v>
      </c>
      <c r="F999" s="1">
        <f>IFERROR(__xludf.DUMMYFUNCTION("""COMPUTED_VALUE"""),3.799567E7)</f>
        <v>37995670</v>
      </c>
    </row>
    <row r="1000">
      <c r="A1000" s="2">
        <f>IFERROR(__xludf.DUMMYFUNCTION("""COMPUTED_VALUE"""),45805.66666666667)</f>
        <v>45805.66667</v>
      </c>
      <c r="B1000" s="1">
        <f>IFERROR(__xludf.DUMMYFUNCTION("""COMPUTED_VALUE"""),173.16)</f>
        <v>173.16</v>
      </c>
      <c r="C1000" s="1">
        <f>IFERROR(__xludf.DUMMYFUNCTION("""COMPUTED_VALUE"""),175.27)</f>
        <v>175.27</v>
      </c>
      <c r="D1000" s="1">
        <f>IFERROR(__xludf.DUMMYFUNCTION("""COMPUTED_VALUE"""),171.91)</f>
        <v>171.91</v>
      </c>
      <c r="E1000" s="1">
        <f>IFERROR(__xludf.DUMMYFUNCTION("""COMPUTED_VALUE"""),172.36)</f>
        <v>172.36</v>
      </c>
      <c r="F1000" s="1">
        <f>IFERROR(__xludf.DUMMYFUNCTION("""COMPUTED_VALUE"""),3.4783997E7)</f>
        <v>34783997</v>
      </c>
    </row>
    <row r="1001">
      <c r="A1001" s="2">
        <f>IFERROR(__xludf.DUMMYFUNCTION("""COMPUTED_VALUE"""),45806.66666666667)</f>
        <v>45806.66667</v>
      </c>
      <c r="B1001" s="1">
        <f>IFERROR(__xludf.DUMMYFUNCTION("""COMPUTED_VALUE"""),174.0)</f>
        <v>174</v>
      </c>
      <c r="C1001" s="1">
        <f>IFERROR(__xludf.DUMMYFUNCTION("""COMPUTED_VALUE"""),174.42)</f>
        <v>174.42</v>
      </c>
      <c r="D1001" s="1">
        <f>IFERROR(__xludf.DUMMYFUNCTION("""COMPUTED_VALUE"""),170.63)</f>
        <v>170.63</v>
      </c>
      <c r="E1001" s="1">
        <f>IFERROR(__xludf.DUMMYFUNCTION("""COMPUTED_VALUE"""),171.86)</f>
        <v>171.86</v>
      </c>
      <c r="F1001" s="1">
        <f>IFERROR(__xludf.DUMMYFUNCTION("""COMPUTED_VALUE"""),2.9373803E7)</f>
        <v>29373803</v>
      </c>
    </row>
    <row r="1002">
      <c r="A1002" s="2">
        <f>IFERROR(__xludf.DUMMYFUNCTION("""COMPUTED_VALUE"""),45807.66666666667)</f>
        <v>45807.66667</v>
      </c>
      <c r="B1002" s="1">
        <f>IFERROR(__xludf.DUMMYFUNCTION("""COMPUTED_VALUE"""),171.35)</f>
        <v>171.35</v>
      </c>
      <c r="C1002" s="1">
        <f>IFERROR(__xludf.DUMMYFUNCTION("""COMPUTED_VALUE"""),172.21)</f>
        <v>172.21</v>
      </c>
      <c r="D1002" s="1">
        <f>IFERROR(__xludf.DUMMYFUNCTION("""COMPUTED_VALUE"""),167.44)</f>
        <v>167.44</v>
      </c>
      <c r="E1002" s="1">
        <f>IFERROR(__xludf.DUMMYFUNCTION("""COMPUTED_VALUE"""),171.74)</f>
        <v>171.74</v>
      </c>
      <c r="F1002" s="1">
        <f>IFERROR(__xludf.DUMMYFUNCTION("""COMPUTED_VALUE"""),5.2639911E7)</f>
        <v>52639911</v>
      </c>
    </row>
    <row r="1003">
      <c r="A1003" s="2">
        <f>IFERROR(__xludf.DUMMYFUNCTION("""COMPUTED_VALUE"""),45810.66666666667)</f>
        <v>45810.66667</v>
      </c>
      <c r="B1003" s="1">
        <f>IFERROR(__xludf.DUMMYFUNCTION("""COMPUTED_VALUE"""),167.84)</f>
        <v>167.84</v>
      </c>
      <c r="C1003" s="1">
        <f>IFERROR(__xludf.DUMMYFUNCTION("""COMPUTED_VALUE"""),169.87)</f>
        <v>169.87</v>
      </c>
      <c r="D1003" s="1">
        <f>IFERROR(__xludf.DUMMYFUNCTION("""COMPUTED_VALUE"""),167.39)</f>
        <v>167.39</v>
      </c>
      <c r="E1003" s="1">
        <f>IFERROR(__xludf.DUMMYFUNCTION("""COMPUTED_VALUE"""),169.03)</f>
        <v>169.03</v>
      </c>
      <c r="F1003" s="1">
        <f>IFERROR(__xludf.DUMMYFUNCTION("""COMPUTED_VALUE"""),3.8612272E7)</f>
        <v>38612272</v>
      </c>
    </row>
    <row r="1004">
      <c r="A1004" s="2">
        <f>IFERROR(__xludf.DUMMYFUNCTION("""COMPUTED_VALUE"""),45811.66666666667)</f>
        <v>45811.66667</v>
      </c>
      <c r="B1004" s="1">
        <f>IFERROR(__xludf.DUMMYFUNCTION("""COMPUTED_VALUE"""),167.49)</f>
        <v>167.49</v>
      </c>
      <c r="C1004" s="1">
        <f>IFERROR(__xludf.DUMMYFUNCTION("""COMPUTED_VALUE"""),168.48)</f>
        <v>168.48</v>
      </c>
      <c r="D1004" s="1">
        <f>IFERROR(__xludf.DUMMYFUNCTION("""COMPUTED_VALUE"""),165.28)</f>
        <v>165.28</v>
      </c>
      <c r="E1004" s="1">
        <f>IFERROR(__xludf.DUMMYFUNCTION("""COMPUTED_VALUE"""),166.18)</f>
        <v>166.18</v>
      </c>
      <c r="F1004" s="1">
        <f>IFERROR(__xludf.DUMMYFUNCTION("""COMPUTED_VALUE"""),4.5084903E7)</f>
        <v>45084903</v>
      </c>
    </row>
    <row r="1005">
      <c r="A1005" s="2">
        <f>IFERROR(__xludf.DUMMYFUNCTION("""COMPUTED_VALUE"""),45812.66666666667)</f>
        <v>45812.66667</v>
      </c>
      <c r="B1005" s="1">
        <f>IFERROR(__xludf.DUMMYFUNCTION("""COMPUTED_VALUE"""),166.74)</f>
        <v>166.74</v>
      </c>
      <c r="C1005" s="1">
        <f>IFERROR(__xludf.DUMMYFUNCTION("""COMPUTED_VALUE"""),168.22)</f>
        <v>168.22</v>
      </c>
      <c r="D1005" s="1">
        <f>IFERROR(__xludf.DUMMYFUNCTION("""COMPUTED_VALUE"""),166.36)</f>
        <v>166.36</v>
      </c>
      <c r="E1005" s="1">
        <f>IFERROR(__xludf.DUMMYFUNCTION("""COMPUTED_VALUE"""),168.05)</f>
        <v>168.05</v>
      </c>
      <c r="F1005" s="1">
        <f>IFERROR(__xludf.DUMMYFUNCTION("""COMPUTED_VALUE"""),2.6900838E7)</f>
        <v>26900838</v>
      </c>
    </row>
    <row r="1006">
      <c r="A1006" s="2">
        <f>IFERROR(__xludf.DUMMYFUNCTION("""COMPUTED_VALUE"""),45813.66666666667)</f>
        <v>45813.66667</v>
      </c>
      <c r="B1006" s="1">
        <f>IFERROR(__xludf.DUMMYFUNCTION("""COMPUTED_VALUE"""),170.34)</f>
        <v>170.34</v>
      </c>
      <c r="C1006" s="1">
        <f>IFERROR(__xludf.DUMMYFUNCTION("""COMPUTED_VALUE"""),170.93)</f>
        <v>170.93</v>
      </c>
      <c r="D1006" s="1">
        <f>IFERROR(__xludf.DUMMYFUNCTION("""COMPUTED_VALUE"""),167.59)</f>
        <v>167.59</v>
      </c>
      <c r="E1006" s="1">
        <f>IFERROR(__xludf.DUMMYFUNCTION("""COMPUTED_VALUE"""),168.21)</f>
        <v>168.21</v>
      </c>
      <c r="F1006" s="1">
        <f>IFERROR(__xludf.DUMMYFUNCTION("""COMPUTED_VALUE"""),3.6444564E7)</f>
        <v>36444564</v>
      </c>
    </row>
    <row r="1007">
      <c r="A1007" s="2">
        <f>IFERROR(__xludf.DUMMYFUNCTION("""COMPUTED_VALUE"""),45814.66666666667)</f>
        <v>45814.66667</v>
      </c>
      <c r="B1007" s="1">
        <f>IFERROR(__xludf.DUMMYFUNCTION("""COMPUTED_VALUE"""),170.83)</f>
        <v>170.83</v>
      </c>
      <c r="C1007" s="1">
        <f>IFERROR(__xludf.DUMMYFUNCTION("""COMPUTED_VALUE"""),174.5)</f>
        <v>174.5</v>
      </c>
      <c r="D1007" s="1">
        <f>IFERROR(__xludf.DUMMYFUNCTION("""COMPUTED_VALUE"""),170.83)</f>
        <v>170.83</v>
      </c>
      <c r="E1007" s="1">
        <f>IFERROR(__xludf.DUMMYFUNCTION("""COMPUTED_VALUE"""),173.68)</f>
        <v>173.68</v>
      </c>
      <c r="F1007" s="1">
        <f>IFERROR(__xludf.DUMMYFUNCTION("""COMPUTED_VALUE"""),3.5731832E7)</f>
        <v>35731832</v>
      </c>
    </row>
    <row r="1008">
      <c r="A1008" s="2">
        <f>IFERROR(__xludf.DUMMYFUNCTION("""COMPUTED_VALUE"""),45817.66666666667)</f>
        <v>45817.66667</v>
      </c>
      <c r="B1008" s="1">
        <f>IFERROR(__xludf.DUMMYFUNCTION("""COMPUTED_VALUE"""),174.54)</f>
        <v>174.54</v>
      </c>
      <c r="C1008" s="1">
        <f>IFERROR(__xludf.DUMMYFUNCTION("""COMPUTED_VALUE"""),176.47)</f>
        <v>176.47</v>
      </c>
      <c r="D1008" s="1">
        <f>IFERROR(__xludf.DUMMYFUNCTION("""COMPUTED_VALUE"""),174.37)</f>
        <v>174.37</v>
      </c>
      <c r="E1008" s="1">
        <f>IFERROR(__xludf.DUMMYFUNCTION("""COMPUTED_VALUE"""),176.09)</f>
        <v>176.09</v>
      </c>
      <c r="F1008" s="1">
        <f>IFERROR(__xludf.DUMMYFUNCTION("""COMPUTED_VALUE"""),2.8935906E7)</f>
        <v>28935906</v>
      </c>
    </row>
    <row r="1009">
      <c r="A1009" s="2">
        <f>IFERROR(__xludf.DUMMYFUNCTION("""COMPUTED_VALUE"""),45818.66666666667)</f>
        <v>45818.66667</v>
      </c>
      <c r="B1009" s="1">
        <f>IFERROR(__xludf.DUMMYFUNCTION("""COMPUTED_VALUE"""),176.2)</f>
        <v>176.2</v>
      </c>
      <c r="C1009" s="1">
        <f>IFERROR(__xludf.DUMMYFUNCTION("""COMPUTED_VALUE"""),181.11)</f>
        <v>181.11</v>
      </c>
      <c r="D1009" s="1">
        <f>IFERROR(__xludf.DUMMYFUNCTION("""COMPUTED_VALUE"""),174.91)</f>
        <v>174.91</v>
      </c>
      <c r="E1009" s="1">
        <f>IFERROR(__xludf.DUMMYFUNCTION("""COMPUTED_VALUE"""),178.6)</f>
        <v>178.6</v>
      </c>
      <c r="F1009" s="1">
        <f>IFERROR(__xludf.DUMMYFUNCTION("""COMPUTED_VALUE"""),6.1766121E7)</f>
        <v>61766121</v>
      </c>
    </row>
    <row r="1010">
      <c r="A1010" s="2">
        <f>IFERROR(__xludf.DUMMYFUNCTION("""COMPUTED_VALUE"""),45819.66666666667)</f>
        <v>45819.66667</v>
      </c>
      <c r="B1010" s="1">
        <f>IFERROR(__xludf.DUMMYFUNCTION("""COMPUTED_VALUE"""),179.77)</f>
        <v>179.77</v>
      </c>
      <c r="C1010" s="1">
        <f>IFERROR(__xludf.DUMMYFUNCTION("""COMPUTED_VALUE"""),180.37)</f>
        <v>180.37</v>
      </c>
      <c r="D1010" s="1">
        <f>IFERROR(__xludf.DUMMYFUNCTION("""COMPUTED_VALUE"""),176.75)</f>
        <v>176.75</v>
      </c>
      <c r="E1010" s="1">
        <f>IFERROR(__xludf.DUMMYFUNCTION("""COMPUTED_VALUE"""),177.35)</f>
        <v>177.35</v>
      </c>
      <c r="F1010" s="1">
        <f>IFERROR(__xludf.DUMMYFUNCTION("""COMPUTED_VALUE"""),3.1646757E7)</f>
        <v>31646757</v>
      </c>
    </row>
    <row r="1011">
      <c r="A1011" s="2">
        <f>IFERROR(__xludf.DUMMYFUNCTION("""COMPUTED_VALUE"""),45820.66666666667)</f>
        <v>45820.66667</v>
      </c>
      <c r="B1011" s="1">
        <f>IFERROR(__xludf.DUMMYFUNCTION("""COMPUTED_VALUE"""),176.18)</f>
        <v>176.18</v>
      </c>
      <c r="C1011" s="1">
        <f>IFERROR(__xludf.DUMMYFUNCTION("""COMPUTED_VALUE"""),176.72)</f>
        <v>176.72</v>
      </c>
      <c r="D1011" s="1">
        <f>IFERROR(__xludf.DUMMYFUNCTION("""COMPUTED_VALUE"""),174.75)</f>
        <v>174.75</v>
      </c>
      <c r="E1011" s="1">
        <f>IFERROR(__xludf.DUMMYFUNCTION("""COMPUTED_VALUE"""),175.7)</f>
        <v>175.7</v>
      </c>
      <c r="F1011" s="1">
        <f>IFERROR(__xludf.DUMMYFUNCTION("""COMPUTED_VALUE"""),2.0941873E7)</f>
        <v>20941873</v>
      </c>
    </row>
    <row r="1012">
      <c r="A1012" s="2">
        <f>IFERROR(__xludf.DUMMYFUNCTION("""COMPUTED_VALUE"""),45821.66666666667)</f>
        <v>45821.66667</v>
      </c>
      <c r="B1012" s="1">
        <f>IFERROR(__xludf.DUMMYFUNCTION("""COMPUTED_VALUE"""),172.44)</f>
        <v>172.44</v>
      </c>
      <c r="C1012" s="1">
        <f>IFERROR(__xludf.DUMMYFUNCTION("""COMPUTED_VALUE"""),177.13)</f>
        <v>177.13</v>
      </c>
      <c r="D1012" s="1">
        <f>IFERROR(__xludf.DUMMYFUNCTION("""COMPUTED_VALUE"""),172.39)</f>
        <v>172.39</v>
      </c>
      <c r="E1012" s="1">
        <f>IFERROR(__xludf.DUMMYFUNCTION("""COMPUTED_VALUE"""),174.67)</f>
        <v>174.67</v>
      </c>
      <c r="F1012" s="1">
        <f>IFERROR(__xludf.DUMMYFUNCTION("""COMPUTED_VALUE"""),2.7663107E7)</f>
        <v>27663107</v>
      </c>
    </row>
    <row r="1013">
      <c r="A1013" s="2">
        <f>IFERROR(__xludf.DUMMYFUNCTION("""COMPUTED_VALUE"""),45824.66666666667)</f>
        <v>45824.66667</v>
      </c>
      <c r="B1013" s="1">
        <f>IFERROR(__xludf.DUMMYFUNCTION("""COMPUTED_VALUE"""),174.73)</f>
        <v>174.73</v>
      </c>
      <c r="C1013" s="1">
        <f>IFERROR(__xludf.DUMMYFUNCTION("""COMPUTED_VALUE"""),176.94)</f>
        <v>176.94</v>
      </c>
      <c r="D1013" s="1">
        <f>IFERROR(__xludf.DUMMYFUNCTION("""COMPUTED_VALUE"""),174.65)</f>
        <v>174.65</v>
      </c>
      <c r="E1013" s="1">
        <f>IFERROR(__xludf.DUMMYFUNCTION("""COMPUTED_VALUE"""),176.77)</f>
        <v>176.77</v>
      </c>
      <c r="F1013" s="1">
        <f>IFERROR(__xludf.DUMMYFUNCTION("""COMPUTED_VALUE"""),2.7389208E7)</f>
        <v>27389208</v>
      </c>
    </row>
    <row r="1014">
      <c r="A1014" s="2">
        <f>IFERROR(__xludf.DUMMYFUNCTION("""COMPUTED_VALUE"""),45825.66666666667)</f>
        <v>45825.66667</v>
      </c>
      <c r="B1014" s="1">
        <f>IFERROR(__xludf.DUMMYFUNCTION("""COMPUTED_VALUE"""),175.7)</f>
        <v>175.7</v>
      </c>
      <c r="C1014" s="1">
        <f>IFERROR(__xludf.DUMMYFUNCTION("""COMPUTED_VALUE"""),177.36)</f>
        <v>177.36</v>
      </c>
      <c r="D1014" s="1">
        <f>IFERROR(__xludf.DUMMYFUNCTION("""COMPUTED_VALUE"""),174.58)</f>
        <v>174.58</v>
      </c>
      <c r="E1014" s="1">
        <f>IFERROR(__xludf.DUMMYFUNCTION("""COMPUTED_VALUE"""),175.95)</f>
        <v>175.95</v>
      </c>
      <c r="F1014" s="1">
        <f>IFERROR(__xludf.DUMMYFUNCTION("""COMPUTED_VALUE"""),2.4973043E7)</f>
        <v>24973043</v>
      </c>
    </row>
    <row r="1015">
      <c r="A1015" s="2">
        <f>IFERROR(__xludf.DUMMYFUNCTION("""COMPUTED_VALUE"""),45826.66666666667)</f>
        <v>45826.66667</v>
      </c>
      <c r="B1015" s="1">
        <f>IFERROR(__xludf.DUMMYFUNCTION("""COMPUTED_VALUE"""),176.01)</f>
        <v>176.01</v>
      </c>
      <c r="C1015" s="1">
        <f>IFERROR(__xludf.DUMMYFUNCTION("""COMPUTED_VALUE"""),176.56)</f>
        <v>176.56</v>
      </c>
      <c r="D1015" s="1">
        <f>IFERROR(__xludf.DUMMYFUNCTION("""COMPUTED_VALUE"""),173.2)</f>
        <v>173.2</v>
      </c>
      <c r="E1015" s="1">
        <f>IFERROR(__xludf.DUMMYFUNCTION("""COMPUTED_VALUE"""),173.32)</f>
        <v>173.32</v>
      </c>
      <c r="F1015" s="1">
        <f>IFERROR(__xludf.DUMMYFUNCTION("""COMPUTED_VALUE"""),2.8707524E7)</f>
        <v>28707524</v>
      </c>
    </row>
    <row r="1016">
      <c r="A1016" s="2">
        <f>IFERROR(__xludf.DUMMYFUNCTION("""COMPUTED_VALUE"""),45828.66666666667)</f>
        <v>45828.66667</v>
      </c>
      <c r="B1016" s="1">
        <f>IFERROR(__xludf.DUMMYFUNCTION("""COMPUTED_VALUE"""),173.95)</f>
        <v>173.95</v>
      </c>
      <c r="C1016" s="1">
        <f>IFERROR(__xludf.DUMMYFUNCTION("""COMPUTED_VALUE"""),174.34)</f>
        <v>174.34</v>
      </c>
      <c r="D1016" s="1">
        <f>IFERROR(__xludf.DUMMYFUNCTION("""COMPUTED_VALUE"""),165.46)</f>
        <v>165.46</v>
      </c>
      <c r="E1016" s="1">
        <f>IFERROR(__xludf.DUMMYFUNCTION("""COMPUTED_VALUE"""),166.64)</f>
        <v>166.64</v>
      </c>
      <c r="F1016" s="1">
        <f>IFERROR(__xludf.DUMMYFUNCTION("""COMPUTED_VALUE"""),7.5659917E7)</f>
        <v>75659917</v>
      </c>
    </row>
    <row r="1017">
      <c r="A1017" s="2">
        <f>IFERROR(__xludf.DUMMYFUNCTION("""COMPUTED_VALUE"""),45831.66666666667)</f>
        <v>45831.66667</v>
      </c>
      <c r="B1017" s="1">
        <f>IFERROR(__xludf.DUMMYFUNCTION("""COMPUTED_VALUE"""),166.27)</f>
        <v>166.27</v>
      </c>
      <c r="C1017" s="1">
        <f>IFERROR(__xludf.DUMMYFUNCTION("""COMPUTED_VALUE"""),167.34)</f>
        <v>167.34</v>
      </c>
      <c r="D1017" s="1">
        <f>IFERROR(__xludf.DUMMYFUNCTION("""COMPUTED_VALUE"""),162.0)</f>
        <v>162</v>
      </c>
      <c r="E1017" s="1">
        <f>IFERROR(__xludf.DUMMYFUNCTION("""COMPUTED_VALUE"""),165.19)</f>
        <v>165.19</v>
      </c>
      <c r="F1017" s="1">
        <f>IFERROR(__xludf.DUMMYFUNCTION("""COMPUTED_VALUE"""),5.7670985E7)</f>
        <v>57670985</v>
      </c>
    </row>
    <row r="1018">
      <c r="A1018" s="2">
        <f>IFERROR(__xludf.DUMMYFUNCTION("""COMPUTED_VALUE"""),45832.66666666667)</f>
        <v>45832.66667</v>
      </c>
      <c r="B1018" s="1">
        <f>IFERROR(__xludf.DUMMYFUNCTION("""COMPUTED_VALUE"""),166.92)</f>
        <v>166.92</v>
      </c>
      <c r="C1018" s="1">
        <f>IFERROR(__xludf.DUMMYFUNCTION("""COMPUTED_VALUE"""),168.22)</f>
        <v>168.22</v>
      </c>
      <c r="D1018" s="1">
        <f>IFERROR(__xludf.DUMMYFUNCTION("""COMPUTED_VALUE"""),166.13)</f>
        <v>166.13</v>
      </c>
      <c r="E1018" s="1">
        <f>IFERROR(__xludf.DUMMYFUNCTION("""COMPUTED_VALUE"""),166.77)</f>
        <v>166.77</v>
      </c>
      <c r="F1018" s="1">
        <f>IFERROR(__xludf.DUMMYFUNCTION("""COMPUTED_VALUE"""),4.0524312E7)</f>
        <v>40524312</v>
      </c>
    </row>
    <row r="1019">
      <c r="A1019" s="2">
        <f>IFERROR(__xludf.DUMMYFUNCTION("""COMPUTED_VALUE"""),45833.66666666667)</f>
        <v>45833.66667</v>
      </c>
      <c r="B1019" s="1">
        <f>IFERROR(__xludf.DUMMYFUNCTION("""COMPUTED_VALUE"""),167.63)</f>
        <v>167.63</v>
      </c>
      <c r="C1019" s="1">
        <f>IFERROR(__xludf.DUMMYFUNCTION("""COMPUTED_VALUE"""),172.36)</f>
        <v>172.36</v>
      </c>
      <c r="D1019" s="1">
        <f>IFERROR(__xludf.DUMMYFUNCTION("""COMPUTED_VALUE"""),167.55)</f>
        <v>167.55</v>
      </c>
      <c r="E1019" s="1">
        <f>IFERROR(__xludf.DUMMYFUNCTION("""COMPUTED_VALUE"""),170.68)</f>
        <v>170.68</v>
      </c>
      <c r="F1019" s="1">
        <f>IFERROR(__xludf.DUMMYFUNCTION("""COMPUTED_VALUE"""),3.5478989E7)</f>
        <v>35478989</v>
      </c>
    </row>
    <row r="1020">
      <c r="A1020" s="2">
        <f>IFERROR(__xludf.DUMMYFUNCTION("""COMPUTED_VALUE"""),45834.66666666667)</f>
        <v>45834.66667</v>
      </c>
      <c r="B1020" s="1">
        <f>IFERROR(__xludf.DUMMYFUNCTION("""COMPUTED_VALUE"""),172.43)</f>
        <v>172.43</v>
      </c>
      <c r="C1020" s="1">
        <f>IFERROR(__xludf.DUMMYFUNCTION("""COMPUTED_VALUE"""),173.69)</f>
        <v>173.69</v>
      </c>
      <c r="D1020" s="1">
        <f>IFERROR(__xludf.DUMMYFUNCTION("""COMPUTED_VALUE"""),169.94)</f>
        <v>169.94</v>
      </c>
      <c r="E1020" s="1">
        <f>IFERROR(__xludf.DUMMYFUNCTION("""COMPUTED_VALUE"""),173.54)</f>
        <v>173.54</v>
      </c>
      <c r="F1020" s="1">
        <f>IFERROR(__xludf.DUMMYFUNCTION("""COMPUTED_VALUE"""),3.179669E7)</f>
        <v>31796690</v>
      </c>
    </row>
    <row r="1021">
      <c r="A1021" s="2">
        <f>IFERROR(__xludf.DUMMYFUNCTION("""COMPUTED_VALUE"""),45835.66666666667)</f>
        <v>45835.66667</v>
      </c>
      <c r="B1021" s="1">
        <f>IFERROR(__xludf.DUMMYFUNCTION("""COMPUTED_VALUE"""),173.54)</f>
        <v>173.54</v>
      </c>
      <c r="C1021" s="1">
        <f>IFERROR(__xludf.DUMMYFUNCTION("""COMPUTED_VALUE"""),178.68)</f>
        <v>178.68</v>
      </c>
      <c r="D1021" s="1">
        <f>IFERROR(__xludf.DUMMYFUNCTION("""COMPUTED_VALUE"""),171.73)</f>
        <v>171.73</v>
      </c>
      <c r="E1021" s="1">
        <f>IFERROR(__xludf.DUMMYFUNCTION("""COMPUTED_VALUE"""),178.53)</f>
        <v>178.53</v>
      </c>
      <c r="F1021" s="1">
        <f>IFERROR(__xludf.DUMMYFUNCTION("""COMPUTED_VALUE"""),1.081402E8)</f>
        <v>108140200</v>
      </c>
    </row>
    <row r="1022">
      <c r="A1022" s="2">
        <f>IFERROR(__xludf.DUMMYFUNCTION("""COMPUTED_VALUE"""),45838.66666666667)</f>
        <v>45838.66667</v>
      </c>
      <c r="B1022" s="1">
        <f>IFERROR(__xludf.DUMMYFUNCTION("""COMPUTED_VALUE"""),180.78)</f>
        <v>180.78</v>
      </c>
      <c r="C1022" s="1">
        <f>IFERROR(__xludf.DUMMYFUNCTION("""COMPUTED_VALUE"""),181.23)</f>
        <v>181.23</v>
      </c>
      <c r="D1022" s="1">
        <f>IFERROR(__xludf.DUMMYFUNCTION("""COMPUTED_VALUE"""),174.58)</f>
        <v>174.58</v>
      </c>
      <c r="E1022" s="1">
        <f>IFERROR(__xludf.DUMMYFUNCTION("""COMPUTED_VALUE"""),176.23)</f>
        <v>176.23</v>
      </c>
      <c r="F1022" s="1">
        <f>IFERROR(__xludf.DUMMYFUNCTION("""COMPUTED_VALUE"""),6.3378856E7)</f>
        <v>63378856</v>
      </c>
    </row>
    <row r="1023">
      <c r="A1023" s="2">
        <f>IFERROR(__xludf.DUMMYFUNCTION("""COMPUTED_VALUE"""),45839.66666666667)</f>
        <v>45839.66667</v>
      </c>
      <c r="B1023" s="1">
        <f>IFERROR(__xludf.DUMMYFUNCTION("""COMPUTED_VALUE"""),175.74)</f>
        <v>175.74</v>
      </c>
      <c r="C1023" s="1">
        <f>IFERROR(__xludf.DUMMYFUNCTION("""COMPUTED_VALUE"""),176.09)</f>
        <v>176.09</v>
      </c>
      <c r="D1023" s="1">
        <f>IFERROR(__xludf.DUMMYFUNCTION("""COMPUTED_VALUE"""),173.53)</f>
        <v>173.53</v>
      </c>
      <c r="E1023" s="1">
        <f>IFERROR(__xludf.DUMMYFUNCTION("""COMPUTED_VALUE"""),175.84)</f>
        <v>175.84</v>
      </c>
      <c r="F1023" s="1">
        <f>IFERROR(__xludf.DUMMYFUNCTION("""COMPUTED_VALUE"""),3.5904526E7)</f>
        <v>35904526</v>
      </c>
    </row>
    <row r="1024">
      <c r="A1024" s="2">
        <f>IFERROR(__xludf.DUMMYFUNCTION("""COMPUTED_VALUE"""),45840.66666666667)</f>
        <v>45840.66667</v>
      </c>
      <c r="B1024" s="1">
        <f>IFERROR(__xludf.DUMMYFUNCTION("""COMPUTED_VALUE"""),175.54)</f>
        <v>175.54</v>
      </c>
      <c r="C1024" s="1">
        <f>IFERROR(__xludf.DUMMYFUNCTION("""COMPUTED_VALUE"""),178.86)</f>
        <v>178.86</v>
      </c>
      <c r="D1024" s="1">
        <f>IFERROR(__xludf.DUMMYFUNCTION("""COMPUTED_VALUE"""),175.07)</f>
        <v>175.07</v>
      </c>
      <c r="E1024" s="1">
        <f>IFERROR(__xludf.DUMMYFUNCTION("""COMPUTED_VALUE"""),178.64)</f>
        <v>178.64</v>
      </c>
      <c r="F1024" s="1">
        <f>IFERROR(__xludf.DUMMYFUNCTION("""COMPUTED_VALUE"""),2.9128947E7)</f>
        <v>29128947</v>
      </c>
    </row>
    <row r="1025">
      <c r="A1025" s="2">
        <f>IFERROR(__xludf.DUMMYFUNCTION("""COMPUTED_VALUE"""),45841.54513888889)</f>
        <v>45841.54514</v>
      </c>
      <c r="B1025" s="1">
        <f>IFERROR(__xludf.DUMMYFUNCTION("""COMPUTED_VALUE"""),178.5)</f>
        <v>178.5</v>
      </c>
      <c r="C1025" s="1">
        <f>IFERROR(__xludf.DUMMYFUNCTION("""COMPUTED_VALUE"""),179.67)</f>
        <v>179.67</v>
      </c>
      <c r="D1025" s="1">
        <f>IFERROR(__xludf.DUMMYFUNCTION("""COMPUTED_VALUE"""),177.05)</f>
        <v>177.05</v>
      </c>
      <c r="E1025" s="1">
        <f>IFERROR(__xludf.DUMMYFUNCTION("""COMPUTED_VALUE"""),179.53)</f>
        <v>179.53</v>
      </c>
      <c r="F1025" s="1">
        <f>IFERROR(__xludf.DUMMYFUNCTION("""COMPUTED_VALUE"""),2.1689729E7)</f>
        <v>21689729</v>
      </c>
    </row>
    <row r="1026">
      <c r="A1026" s="2">
        <f>IFERROR(__xludf.DUMMYFUNCTION("""COMPUTED_VALUE"""),45845.66666666667)</f>
        <v>45845.66667</v>
      </c>
      <c r="B1026" s="1">
        <f>IFERROR(__xludf.DUMMYFUNCTION("""COMPUTED_VALUE"""),179.06)</f>
        <v>179.06</v>
      </c>
      <c r="C1026" s="1">
        <f>IFERROR(__xludf.DUMMYFUNCTION("""COMPUTED_VALUE"""),179.3)</f>
        <v>179.3</v>
      </c>
      <c r="D1026" s="1">
        <f>IFERROR(__xludf.DUMMYFUNCTION("""COMPUTED_VALUE"""),175.68)</f>
        <v>175.68</v>
      </c>
      <c r="E1026" s="1">
        <f>IFERROR(__xludf.DUMMYFUNCTION("""COMPUTED_VALUE"""),176.79)</f>
        <v>176.79</v>
      </c>
      <c r="F1026" s="1">
        <f>IFERROR(__xludf.DUMMYFUNCTION("""COMPUTED_VALUE"""),3.4175648E7)</f>
        <v>34175648</v>
      </c>
    </row>
    <row r="1027">
      <c r="A1027" s="2">
        <f>IFERROR(__xludf.DUMMYFUNCTION("""COMPUTED_VALUE"""),45846.66666666667)</f>
        <v>45846.66667</v>
      </c>
      <c r="B1027" s="1">
        <f>IFERROR(__xludf.DUMMYFUNCTION("""COMPUTED_VALUE"""),177.85)</f>
        <v>177.85</v>
      </c>
      <c r="C1027" s="1">
        <f>IFERROR(__xludf.DUMMYFUNCTION("""COMPUTED_VALUE"""),177.95)</f>
        <v>177.95</v>
      </c>
      <c r="D1027" s="1">
        <f>IFERROR(__xludf.DUMMYFUNCTION("""COMPUTED_VALUE"""),172.81)</f>
        <v>172.81</v>
      </c>
      <c r="E1027" s="1">
        <f>IFERROR(__xludf.DUMMYFUNCTION("""COMPUTED_VALUE"""),174.36)</f>
        <v>174.36</v>
      </c>
      <c r="F1027" s="1">
        <f>IFERROR(__xludf.DUMMYFUNCTION("""COMPUTED_VALUE"""),4.0442535E7)</f>
        <v>40442535</v>
      </c>
    </row>
    <row r="1028">
      <c r="A1028" s="2">
        <f>IFERROR(__xludf.DUMMYFUNCTION("""COMPUTED_VALUE"""),45847.66666666667)</f>
        <v>45847.66667</v>
      </c>
      <c r="B1028" s="1">
        <f>IFERROR(__xludf.DUMMYFUNCTION("""COMPUTED_VALUE"""),175.25)</f>
        <v>175.25</v>
      </c>
      <c r="C1028" s="1">
        <f>IFERROR(__xludf.DUMMYFUNCTION("""COMPUTED_VALUE"""),179.44)</f>
        <v>179.44</v>
      </c>
      <c r="D1028" s="1">
        <f>IFERROR(__xludf.DUMMYFUNCTION("""COMPUTED_VALUE"""),172.77)</f>
        <v>172.77</v>
      </c>
      <c r="E1028" s="1">
        <f>IFERROR(__xludf.DUMMYFUNCTION("""COMPUTED_VALUE"""),176.62)</f>
        <v>176.62</v>
      </c>
      <c r="F1028" s="1">
        <f>IFERROR(__xludf.DUMMYFUNCTION("""COMPUTED_VALUE"""),4.3025594E7)</f>
        <v>43025594</v>
      </c>
    </row>
    <row r="1029">
      <c r="A1029" s="2">
        <f>IFERROR(__xludf.DUMMYFUNCTION("""COMPUTED_VALUE"""),45848.66666666667)</f>
        <v>45848.66667</v>
      </c>
      <c r="B1029" s="1">
        <f>IFERROR(__xludf.DUMMYFUNCTION("""COMPUTED_VALUE"""),175.63)</f>
        <v>175.63</v>
      </c>
      <c r="C1029" s="1">
        <f>IFERROR(__xludf.DUMMYFUNCTION("""COMPUTED_VALUE"""),178.43)</f>
        <v>178.43</v>
      </c>
      <c r="D1029" s="1">
        <f>IFERROR(__xludf.DUMMYFUNCTION("""COMPUTED_VALUE"""),174.38)</f>
        <v>174.38</v>
      </c>
      <c r="E1029" s="1">
        <f>IFERROR(__xludf.DUMMYFUNCTION("""COMPUTED_VALUE"""),177.62)</f>
        <v>177.62</v>
      </c>
      <c r="F1029" s="1">
        <f>IFERROR(__xludf.DUMMYFUNCTION("""COMPUTED_VALUE"""),2.9252386E7)</f>
        <v>29252386</v>
      </c>
    </row>
    <row r="1030">
      <c r="A1030" s="2">
        <f>IFERROR(__xludf.DUMMYFUNCTION("""COMPUTED_VALUE"""),45849.66666666667)</f>
        <v>45849.66667</v>
      </c>
      <c r="B1030" s="1">
        <f>IFERROR(__xludf.DUMMYFUNCTION("""COMPUTED_VALUE"""),176.79)</f>
        <v>176.79</v>
      </c>
      <c r="C1030" s="1">
        <f>IFERROR(__xludf.DUMMYFUNCTION("""COMPUTED_VALUE"""),181.43)</f>
        <v>181.43</v>
      </c>
      <c r="D1030" s="1">
        <f>IFERROR(__xludf.DUMMYFUNCTION("""COMPUTED_VALUE"""),176.48)</f>
        <v>176.48</v>
      </c>
      <c r="E1030" s="1">
        <f>IFERROR(__xludf.DUMMYFUNCTION("""COMPUTED_VALUE"""),180.19)</f>
        <v>180.19</v>
      </c>
      <c r="F1030" s="1">
        <f>IFERROR(__xludf.DUMMYFUNCTION("""COMPUTED_VALUE"""),3.4282922E7)</f>
        <v>34282922</v>
      </c>
    </row>
    <row r="1031">
      <c r="A1031" s="2">
        <f>IFERROR(__xludf.DUMMYFUNCTION("""COMPUTED_VALUE"""),45852.66666666667)</f>
        <v>45852.66667</v>
      </c>
      <c r="B1031" s="1">
        <f>IFERROR(__xludf.DUMMYFUNCTION("""COMPUTED_VALUE"""),181.01)</f>
        <v>181.01</v>
      </c>
      <c r="C1031" s="1">
        <f>IFERROR(__xludf.DUMMYFUNCTION("""COMPUTED_VALUE"""),183.67)</f>
        <v>183.67</v>
      </c>
      <c r="D1031" s="1">
        <f>IFERROR(__xludf.DUMMYFUNCTION("""COMPUTED_VALUE"""),179.68)</f>
        <v>179.68</v>
      </c>
      <c r="E1031" s="1">
        <f>IFERROR(__xludf.DUMMYFUNCTION("""COMPUTED_VALUE"""),181.56)</f>
        <v>181.56</v>
      </c>
      <c r="F1031" s="1">
        <f>IFERROR(__xludf.DUMMYFUNCTION("""COMPUTED_VALUE"""),3.2536632E7)</f>
        <v>32536632</v>
      </c>
    </row>
    <row r="1032">
      <c r="A1032" s="2">
        <f>IFERROR(__xludf.DUMMYFUNCTION("""COMPUTED_VALUE"""),45853.66666666667)</f>
        <v>45853.66667</v>
      </c>
      <c r="B1032" s="1">
        <f>IFERROR(__xludf.DUMMYFUNCTION("""COMPUTED_VALUE"""),182.81)</f>
        <v>182.81</v>
      </c>
      <c r="C1032" s="1">
        <f>IFERROR(__xludf.DUMMYFUNCTION("""COMPUTED_VALUE"""),184.22)</f>
        <v>184.22</v>
      </c>
      <c r="D1032" s="1">
        <f>IFERROR(__xludf.DUMMYFUNCTION("""COMPUTED_VALUE"""),181.6)</f>
        <v>181.6</v>
      </c>
      <c r="E1032" s="1">
        <f>IFERROR(__xludf.DUMMYFUNCTION("""COMPUTED_VALUE"""),182.0)</f>
        <v>182</v>
      </c>
      <c r="F1032" s="1">
        <f>IFERROR(__xludf.DUMMYFUNCTION("""COMPUTED_VALUE"""),3.3448251E7)</f>
        <v>33448251</v>
      </c>
    </row>
    <row r="1033">
      <c r="A1033" s="2">
        <f>IFERROR(__xludf.DUMMYFUNCTION("""COMPUTED_VALUE"""),45854.66666666667)</f>
        <v>45854.66667</v>
      </c>
      <c r="B1033" s="1">
        <f>IFERROR(__xludf.DUMMYFUNCTION("""COMPUTED_VALUE"""),183.24)</f>
        <v>183.24</v>
      </c>
      <c r="C1033" s="1">
        <f>IFERROR(__xludf.DUMMYFUNCTION("""COMPUTED_VALUE"""),184.33)</f>
        <v>184.33</v>
      </c>
      <c r="D1033" s="1">
        <f>IFERROR(__xludf.DUMMYFUNCTION("""COMPUTED_VALUE"""),182.03)</f>
        <v>182.03</v>
      </c>
      <c r="E1033" s="1">
        <f>IFERROR(__xludf.DUMMYFUNCTION("""COMPUTED_VALUE"""),182.97)</f>
        <v>182.97</v>
      </c>
      <c r="F1033" s="1">
        <f>IFERROR(__xludf.DUMMYFUNCTION("""COMPUTED_VALUE"""),3.3104193E7)</f>
        <v>33104193</v>
      </c>
    </row>
    <row r="1034">
      <c r="A1034" s="2">
        <f>IFERROR(__xludf.DUMMYFUNCTION("""COMPUTED_VALUE"""),45855.66666666667)</f>
        <v>45855.66667</v>
      </c>
      <c r="B1034" s="1">
        <f>IFERROR(__xludf.DUMMYFUNCTION("""COMPUTED_VALUE"""),182.14)</f>
        <v>182.14</v>
      </c>
      <c r="C1034" s="1">
        <f>IFERROR(__xludf.DUMMYFUNCTION("""COMPUTED_VALUE"""),184.06)</f>
        <v>184.06</v>
      </c>
      <c r="D1034" s="1">
        <f>IFERROR(__xludf.DUMMYFUNCTION("""COMPUTED_VALUE"""),180.48)</f>
        <v>180.48</v>
      </c>
      <c r="E1034" s="1">
        <f>IFERROR(__xludf.DUMMYFUNCTION("""COMPUTED_VALUE"""),183.58)</f>
        <v>183.58</v>
      </c>
      <c r="F1034" s="1">
        <f>IFERROR(__xludf.DUMMYFUNCTION("""COMPUTED_VALUE"""),3.1992565E7)</f>
        <v>31992565</v>
      </c>
    </row>
    <row r="1035">
      <c r="A1035" s="2">
        <f>IFERROR(__xludf.DUMMYFUNCTION("""COMPUTED_VALUE"""),45856.66666666667)</f>
        <v>45856.66667</v>
      </c>
      <c r="B1035" s="1">
        <f>IFERROR(__xludf.DUMMYFUNCTION("""COMPUTED_VALUE"""),185.4)</f>
        <v>185.4</v>
      </c>
      <c r="C1035" s="1">
        <f>IFERROR(__xludf.DUMMYFUNCTION("""COMPUTED_VALUE"""),186.42)</f>
        <v>186.42</v>
      </c>
      <c r="D1035" s="1">
        <f>IFERROR(__xludf.DUMMYFUNCTION("""COMPUTED_VALUE"""),183.71)</f>
        <v>183.71</v>
      </c>
      <c r="E1035" s="1">
        <f>IFERROR(__xludf.DUMMYFUNCTION("""COMPUTED_VALUE"""),185.06)</f>
        <v>185.06</v>
      </c>
      <c r="F1035" s="1">
        <f>IFERROR(__xludf.DUMMYFUNCTION("""COMPUTED_VALUE"""),3.4014509E7)</f>
        <v>34014509</v>
      </c>
    </row>
    <row r="1036">
      <c r="A1036" s="2">
        <f>IFERROR(__xludf.DUMMYFUNCTION("""COMPUTED_VALUE"""),45859.66666666667)</f>
        <v>45859.66667</v>
      </c>
      <c r="B1036" s="1">
        <f>IFERROR(__xludf.DUMMYFUNCTION("""COMPUTED_VALUE"""),186.25)</f>
        <v>186.25</v>
      </c>
      <c r="C1036" s="1">
        <f>IFERROR(__xludf.DUMMYFUNCTION("""COMPUTED_VALUE"""),190.29)</f>
        <v>190.29</v>
      </c>
      <c r="D1036" s="1">
        <f>IFERROR(__xludf.DUMMYFUNCTION("""COMPUTED_VALUE"""),186.15)</f>
        <v>186.15</v>
      </c>
      <c r="E1036" s="1">
        <f>IFERROR(__xludf.DUMMYFUNCTION("""COMPUTED_VALUE"""),190.1)</f>
        <v>190.1</v>
      </c>
      <c r="F1036" s="1">
        <f>IFERROR(__xludf.DUMMYFUNCTION("""COMPUTED_VALUE"""),4.5803129E7)</f>
        <v>45803129</v>
      </c>
    </row>
    <row r="1037">
      <c r="A1037" s="2">
        <f>IFERROR(__xludf.DUMMYFUNCTION("""COMPUTED_VALUE"""),45860.66666666667)</f>
        <v>45860.66667</v>
      </c>
      <c r="B1037" s="1">
        <f>IFERROR(__xludf.DUMMYFUNCTION("""COMPUTED_VALUE"""),191.5)</f>
        <v>191.5</v>
      </c>
      <c r="C1037" s="1">
        <f>IFERROR(__xludf.DUMMYFUNCTION("""COMPUTED_VALUE"""),191.65)</f>
        <v>191.65</v>
      </c>
      <c r="D1037" s="1">
        <f>IFERROR(__xludf.DUMMYFUNCTION("""COMPUTED_VALUE"""),187.46)</f>
        <v>187.46</v>
      </c>
      <c r="E1037" s="1">
        <f>IFERROR(__xludf.DUMMYFUNCTION("""COMPUTED_VALUE"""),191.34)</f>
        <v>191.34</v>
      </c>
      <c r="F1037" s="1">
        <f>IFERROR(__xludf.DUMMYFUNCTION("""COMPUTED_VALUE"""),4.4660215E7)</f>
        <v>44660215</v>
      </c>
    </row>
    <row r="1038">
      <c r="A1038" s="2">
        <f>IFERROR(__xludf.DUMMYFUNCTION("""COMPUTED_VALUE"""),45861.66666666667)</f>
        <v>45861.66667</v>
      </c>
      <c r="B1038" s="1">
        <f>IFERROR(__xludf.DUMMYFUNCTION("""COMPUTED_VALUE"""),191.5)</f>
        <v>191.5</v>
      </c>
      <c r="C1038" s="1">
        <f>IFERROR(__xludf.DUMMYFUNCTION("""COMPUTED_VALUE"""),192.53)</f>
        <v>192.53</v>
      </c>
      <c r="D1038" s="1">
        <f>IFERROR(__xludf.DUMMYFUNCTION("""COMPUTED_VALUE"""),189.18)</f>
        <v>189.18</v>
      </c>
      <c r="E1038" s="1">
        <f>IFERROR(__xludf.DUMMYFUNCTION("""COMPUTED_VALUE"""),190.23)</f>
        <v>190.23</v>
      </c>
      <c r="F1038" s="1">
        <f>IFERROR(__xludf.DUMMYFUNCTION("""COMPUTED_VALUE"""),5.8681948E7)</f>
        <v>58681948</v>
      </c>
    </row>
    <row r="1039">
      <c r="A1039" s="2">
        <f>IFERROR(__xludf.DUMMYFUNCTION("""COMPUTED_VALUE"""),45862.66666666667)</f>
        <v>45862.66667</v>
      </c>
      <c r="B1039" s="1">
        <f>IFERROR(__xludf.DUMMYFUNCTION("""COMPUTED_VALUE"""),197.03)</f>
        <v>197.03</v>
      </c>
      <c r="C1039" s="1">
        <f>IFERROR(__xludf.DUMMYFUNCTION("""COMPUTED_VALUE"""),197.95)</f>
        <v>197.95</v>
      </c>
      <c r="D1039" s="1">
        <f>IFERROR(__xludf.DUMMYFUNCTION("""COMPUTED_VALUE"""),191.0)</f>
        <v>191</v>
      </c>
      <c r="E1039" s="1">
        <f>IFERROR(__xludf.DUMMYFUNCTION("""COMPUTED_VALUE"""),192.17)</f>
        <v>192.17</v>
      </c>
      <c r="F1039" s="1">
        <f>IFERROR(__xludf.DUMMYFUNCTION("""COMPUTED_VALUE"""),7.4881687E7)</f>
        <v>74881687</v>
      </c>
    </row>
    <row r="1040">
      <c r="A1040" s="2">
        <f>IFERROR(__xludf.DUMMYFUNCTION("""COMPUTED_VALUE"""),45863.66666666667)</f>
        <v>45863.66667</v>
      </c>
      <c r="B1040" s="1">
        <f>IFERROR(__xludf.DUMMYFUNCTION("""COMPUTED_VALUE"""),191.98)</f>
        <v>191.98</v>
      </c>
      <c r="C1040" s="1">
        <f>IFERROR(__xludf.DUMMYFUNCTION("""COMPUTED_VALUE"""),194.33)</f>
        <v>194.33</v>
      </c>
      <c r="D1040" s="1">
        <f>IFERROR(__xludf.DUMMYFUNCTION("""COMPUTED_VALUE"""),191.26)</f>
        <v>191.26</v>
      </c>
      <c r="E1040" s="1">
        <f>IFERROR(__xludf.DUMMYFUNCTION("""COMPUTED_VALUE"""),193.18)</f>
        <v>193.18</v>
      </c>
      <c r="F1040" s="1">
        <f>IFERROR(__xludf.DUMMYFUNCTION("""COMPUTED_VALUE"""),3.9785863E7)</f>
        <v>39785863</v>
      </c>
    </row>
    <row r="1041">
      <c r="A1041" s="2">
        <f>IFERROR(__xludf.DUMMYFUNCTION("""COMPUTED_VALUE"""),45866.66666666667)</f>
        <v>45866.66667</v>
      </c>
      <c r="B1041" s="1">
        <f>IFERROR(__xludf.DUMMYFUNCTION("""COMPUTED_VALUE"""),193.65)</f>
        <v>193.65</v>
      </c>
      <c r="C1041" s="1">
        <f>IFERROR(__xludf.DUMMYFUNCTION("""COMPUTED_VALUE"""),194.05)</f>
        <v>194.05</v>
      </c>
      <c r="D1041" s="1">
        <f>IFERROR(__xludf.DUMMYFUNCTION("""COMPUTED_VALUE"""),190.84)</f>
        <v>190.84</v>
      </c>
      <c r="E1041" s="1">
        <f>IFERROR(__xludf.DUMMYFUNCTION("""COMPUTED_VALUE"""),192.58)</f>
        <v>192.58</v>
      </c>
      <c r="F1041" s="1">
        <f>IFERROR(__xludf.DUMMYFUNCTION("""COMPUTED_VALUE"""),3.8139504E7)</f>
        <v>38139504</v>
      </c>
    </row>
    <row r="1042">
      <c r="A1042" s="2">
        <f>IFERROR(__xludf.DUMMYFUNCTION("""COMPUTED_VALUE"""),45867.66666666667)</f>
        <v>45867.66667</v>
      </c>
      <c r="B1042" s="1">
        <f>IFERROR(__xludf.DUMMYFUNCTION("""COMPUTED_VALUE"""),192.43)</f>
        <v>192.43</v>
      </c>
      <c r="C1042" s="1">
        <f>IFERROR(__xludf.DUMMYFUNCTION("""COMPUTED_VALUE"""),195.92)</f>
        <v>195.92</v>
      </c>
      <c r="D1042" s="1">
        <f>IFERROR(__xludf.DUMMYFUNCTION("""COMPUTED_VALUE"""),192.08)</f>
        <v>192.08</v>
      </c>
      <c r="E1042" s="1">
        <f>IFERROR(__xludf.DUMMYFUNCTION("""COMPUTED_VALUE"""),195.75)</f>
        <v>195.75</v>
      </c>
      <c r="F1042" s="1">
        <f>IFERROR(__xludf.DUMMYFUNCTION("""COMPUTED_VALUE"""),4.1389153E7)</f>
        <v>41389153</v>
      </c>
    </row>
    <row r="1043">
      <c r="A1043" s="2">
        <f>IFERROR(__xludf.DUMMYFUNCTION("""COMPUTED_VALUE"""),45868.66666666667)</f>
        <v>45868.66667</v>
      </c>
      <c r="B1043" s="1">
        <f>IFERROR(__xludf.DUMMYFUNCTION("""COMPUTED_VALUE"""),195.6)</f>
        <v>195.6</v>
      </c>
      <c r="C1043" s="1">
        <f>IFERROR(__xludf.DUMMYFUNCTION("""COMPUTED_VALUE"""),197.6)</f>
        <v>197.6</v>
      </c>
      <c r="D1043" s="1">
        <f>IFERROR(__xludf.DUMMYFUNCTION("""COMPUTED_VALUE"""),194.69)</f>
        <v>194.69</v>
      </c>
      <c r="E1043" s="1">
        <f>IFERROR(__xludf.DUMMYFUNCTION("""COMPUTED_VALUE"""),196.53)</f>
        <v>196.53</v>
      </c>
      <c r="F1043" s="1">
        <f>IFERROR(__xludf.DUMMYFUNCTION("""COMPUTED_VALUE"""),3.2445405E7)</f>
        <v>32445405</v>
      </c>
    </row>
    <row r="1044">
      <c r="A1044" s="2">
        <f>IFERROR(__xludf.DUMMYFUNCTION("""COMPUTED_VALUE"""),45869.66666666667)</f>
        <v>45869.66667</v>
      </c>
      <c r="B1044" s="1">
        <f>IFERROR(__xludf.DUMMYFUNCTION("""COMPUTED_VALUE"""),195.71)</f>
        <v>195.71</v>
      </c>
      <c r="C1044" s="1">
        <f>IFERROR(__xludf.DUMMYFUNCTION("""COMPUTED_VALUE"""),195.99)</f>
        <v>195.99</v>
      </c>
      <c r="D1044" s="1">
        <f>IFERROR(__xludf.DUMMYFUNCTION("""COMPUTED_VALUE"""),191.09)</f>
        <v>191.09</v>
      </c>
      <c r="E1044" s="1">
        <f>IFERROR(__xludf.DUMMYFUNCTION("""COMPUTED_VALUE"""),191.9)</f>
        <v>191.9</v>
      </c>
      <c r="F1044" s="1">
        <f>IFERROR(__xludf.DUMMYFUNCTION("""COMPUTED_VALUE"""),5.1329163E7)</f>
        <v>51329163</v>
      </c>
    </row>
    <row r="1045">
      <c r="A1045" s="2">
        <f>IFERROR(__xludf.DUMMYFUNCTION("""COMPUTED_VALUE"""),45870.66666666667)</f>
        <v>45870.66667</v>
      </c>
      <c r="B1045" s="1">
        <f>IFERROR(__xludf.DUMMYFUNCTION("""COMPUTED_VALUE"""),189.03)</f>
        <v>189.03</v>
      </c>
      <c r="C1045" s="1">
        <f>IFERROR(__xludf.DUMMYFUNCTION("""COMPUTED_VALUE"""),190.83)</f>
        <v>190.83</v>
      </c>
      <c r="D1045" s="1">
        <f>IFERROR(__xludf.DUMMYFUNCTION("""COMPUTED_VALUE"""),187.82)</f>
        <v>187.82</v>
      </c>
      <c r="E1045" s="1">
        <f>IFERROR(__xludf.DUMMYFUNCTION("""COMPUTED_VALUE"""),189.13)</f>
        <v>189.13</v>
      </c>
      <c r="F1045" s="1">
        <f>IFERROR(__xludf.DUMMYFUNCTION("""COMPUTED_VALUE"""),3.4832181E7)</f>
        <v>34832181</v>
      </c>
    </row>
    <row r="1046">
      <c r="A1046" s="2">
        <f>IFERROR(__xludf.DUMMYFUNCTION("""COMPUTED_VALUE"""),45873.66666666667)</f>
        <v>45873.66667</v>
      </c>
      <c r="B1046" s="1">
        <f>IFERROR(__xludf.DUMMYFUNCTION("""COMPUTED_VALUE"""),190.29)</f>
        <v>190.29</v>
      </c>
      <c r="C1046" s="1">
        <f>IFERROR(__xludf.DUMMYFUNCTION("""COMPUTED_VALUE"""),195.27)</f>
        <v>195.27</v>
      </c>
      <c r="D1046" s="1">
        <f>IFERROR(__xludf.DUMMYFUNCTION("""COMPUTED_VALUE"""),190.12)</f>
        <v>190.12</v>
      </c>
      <c r="E1046" s="1">
        <f>IFERROR(__xludf.DUMMYFUNCTION("""COMPUTED_VALUE"""),195.04)</f>
        <v>195.04</v>
      </c>
      <c r="F1046" s="1">
        <f>IFERROR(__xludf.DUMMYFUNCTION("""COMPUTED_VALUE"""),3.154735E7)</f>
        <v>31547350</v>
      </c>
    </row>
    <row r="1047">
      <c r="A1047" s="2">
        <f>IFERROR(__xludf.DUMMYFUNCTION("""COMPUTED_VALUE"""),45874.66666666667)</f>
        <v>45874.66667</v>
      </c>
      <c r="B1047" s="1">
        <f>IFERROR(__xludf.DUMMYFUNCTION("""COMPUTED_VALUE"""),194.71)</f>
        <v>194.71</v>
      </c>
      <c r="C1047" s="1">
        <f>IFERROR(__xludf.DUMMYFUNCTION("""COMPUTED_VALUE"""),197.86)</f>
        <v>197.86</v>
      </c>
      <c r="D1047" s="1">
        <f>IFERROR(__xludf.DUMMYFUNCTION("""COMPUTED_VALUE"""),193.89)</f>
        <v>193.89</v>
      </c>
      <c r="E1047" s="1">
        <f>IFERROR(__xludf.DUMMYFUNCTION("""COMPUTED_VALUE"""),194.67)</f>
        <v>194.67</v>
      </c>
      <c r="F1047" s="1">
        <f>IFERROR(__xludf.DUMMYFUNCTION("""COMPUTED_VALUE"""),3.160234E7)</f>
        <v>31602340</v>
      </c>
    </row>
    <row r="1048">
      <c r="A1048" s="2">
        <f>IFERROR(__xludf.DUMMYFUNCTION("""COMPUTED_VALUE"""),45875.66666666667)</f>
        <v>45875.66667</v>
      </c>
      <c r="B1048" s="1">
        <f>IFERROR(__xludf.DUMMYFUNCTION("""COMPUTED_VALUE"""),194.5)</f>
        <v>194.5</v>
      </c>
      <c r="C1048" s="1">
        <f>IFERROR(__xludf.DUMMYFUNCTION("""COMPUTED_VALUE"""),196.63)</f>
        <v>196.63</v>
      </c>
      <c r="D1048" s="1">
        <f>IFERROR(__xludf.DUMMYFUNCTION("""COMPUTED_VALUE"""),193.67)</f>
        <v>193.67</v>
      </c>
      <c r="E1048" s="1">
        <f>IFERROR(__xludf.DUMMYFUNCTION("""COMPUTED_VALUE"""),196.09)</f>
        <v>196.09</v>
      </c>
      <c r="F1048" s="1">
        <f>IFERROR(__xludf.DUMMYFUNCTION("""COMPUTED_VALUE"""),2.1562908E7)</f>
        <v>21562908</v>
      </c>
    </row>
    <row r="1049">
      <c r="A1049" s="2">
        <f>IFERROR(__xludf.DUMMYFUNCTION("""COMPUTED_VALUE"""),45876.66666666667)</f>
        <v>45876.66667</v>
      </c>
      <c r="B1049" s="1">
        <f>IFERROR(__xludf.DUMMYFUNCTION("""COMPUTED_VALUE"""),197.06)</f>
        <v>197.06</v>
      </c>
      <c r="C1049" s="1">
        <f>IFERROR(__xludf.DUMMYFUNCTION("""COMPUTED_VALUE"""),197.54)</f>
        <v>197.54</v>
      </c>
      <c r="D1049" s="1">
        <f>IFERROR(__xludf.DUMMYFUNCTION("""COMPUTED_VALUE"""),194.33)</f>
        <v>194.33</v>
      </c>
      <c r="E1049" s="1">
        <f>IFERROR(__xludf.DUMMYFUNCTION("""COMPUTED_VALUE"""),196.52)</f>
        <v>196.52</v>
      </c>
      <c r="F1049" s="1">
        <f>IFERROR(__xludf.DUMMYFUNCTION("""COMPUTED_VALUE"""),2.6321811E7)</f>
        <v>26321811</v>
      </c>
    </row>
    <row r="1050">
      <c r="A1050" s="2">
        <f>IFERROR(__xludf.DUMMYFUNCTION("""COMPUTED_VALUE"""),45877.66666666667)</f>
        <v>45877.66667</v>
      </c>
      <c r="B1050" s="1">
        <f>IFERROR(__xludf.DUMMYFUNCTION("""COMPUTED_VALUE"""),197.22)</f>
        <v>197.22</v>
      </c>
      <c r="C1050" s="1">
        <f>IFERROR(__xludf.DUMMYFUNCTION("""COMPUTED_VALUE"""),202.61)</f>
        <v>202.61</v>
      </c>
      <c r="D1050" s="1">
        <f>IFERROR(__xludf.DUMMYFUNCTION("""COMPUTED_VALUE"""),197.17)</f>
        <v>197.17</v>
      </c>
      <c r="E1050" s="1">
        <f>IFERROR(__xludf.DUMMYFUNCTION("""COMPUTED_VALUE"""),201.42)</f>
        <v>201.42</v>
      </c>
      <c r="F1050" s="1">
        <f>IFERROR(__xludf.DUMMYFUNCTION("""COMPUTED_VALUE"""),3.9161826E7)</f>
        <v>39161826</v>
      </c>
    </row>
    <row r="1051">
      <c r="A1051" s="2">
        <f>IFERROR(__xludf.DUMMYFUNCTION("""COMPUTED_VALUE"""),45880.66666666667)</f>
        <v>45880.66667</v>
      </c>
      <c r="B1051" s="1">
        <f>IFERROR(__xludf.DUMMYFUNCTION("""COMPUTED_VALUE"""),200.94)</f>
        <v>200.94</v>
      </c>
      <c r="C1051" s="1">
        <f>IFERROR(__xludf.DUMMYFUNCTION("""COMPUTED_VALUE"""),201.48)</f>
        <v>201.48</v>
      </c>
      <c r="D1051" s="1">
        <f>IFERROR(__xludf.DUMMYFUNCTION("""COMPUTED_VALUE"""),199.07)</f>
        <v>199.07</v>
      </c>
      <c r="E1051" s="1">
        <f>IFERROR(__xludf.DUMMYFUNCTION("""COMPUTED_VALUE"""),201.0)</f>
        <v>201</v>
      </c>
      <c r="F1051" s="1">
        <f>IFERROR(__xludf.DUMMYFUNCTION("""COMPUTED_VALUE"""),2.5832435E7)</f>
        <v>25832435</v>
      </c>
    </row>
    <row r="1052">
      <c r="A1052" s="2">
        <f>IFERROR(__xludf.DUMMYFUNCTION("""COMPUTED_VALUE"""),45881.66666666667)</f>
        <v>45881.66667</v>
      </c>
      <c r="B1052" s="1">
        <f>IFERROR(__xludf.DUMMYFUNCTION("""COMPUTED_VALUE"""),201.37)</f>
        <v>201.37</v>
      </c>
      <c r="C1052" s="1">
        <f>IFERROR(__xludf.DUMMYFUNCTION("""COMPUTED_VALUE"""),204.5)</f>
        <v>204.5</v>
      </c>
      <c r="D1052" s="1">
        <f>IFERROR(__xludf.DUMMYFUNCTION("""COMPUTED_VALUE"""),200.59)</f>
        <v>200.59</v>
      </c>
      <c r="E1052" s="1">
        <f>IFERROR(__xludf.DUMMYFUNCTION("""COMPUTED_VALUE"""),203.34)</f>
        <v>203.34</v>
      </c>
      <c r="F1052" s="1">
        <f>IFERROR(__xludf.DUMMYFUNCTION("""COMPUTED_VALUE"""),3.0424452E7)</f>
        <v>30424452</v>
      </c>
    </row>
    <row r="1053">
      <c r="A1053" s="2">
        <f>IFERROR(__xludf.DUMMYFUNCTION("""COMPUTED_VALUE"""),45882.66666666667)</f>
        <v>45882.66667</v>
      </c>
      <c r="B1053" s="1">
        <f>IFERROR(__xludf.DUMMYFUNCTION("""COMPUTED_VALUE"""),204.13)</f>
        <v>204.13</v>
      </c>
      <c r="C1053" s="1">
        <f>IFERROR(__xludf.DUMMYFUNCTION("""COMPUTED_VALUE"""),204.53)</f>
        <v>204.53</v>
      </c>
      <c r="D1053" s="1">
        <f>IFERROR(__xludf.DUMMYFUNCTION("""COMPUTED_VALUE"""),197.51)</f>
        <v>197.51</v>
      </c>
      <c r="E1053" s="1">
        <f>IFERROR(__xludf.DUMMYFUNCTION("""COMPUTED_VALUE"""),201.96)</f>
        <v>201.96</v>
      </c>
      <c r="F1053" s="1">
        <f>IFERROR(__xludf.DUMMYFUNCTION("""COMPUTED_VALUE"""),2.8342922E7)</f>
        <v>28342922</v>
      </c>
    </row>
    <row r="1054">
      <c r="A1054" s="2">
        <f>IFERROR(__xludf.DUMMYFUNCTION("""COMPUTED_VALUE"""),45883.66666666667)</f>
        <v>45883.66667</v>
      </c>
      <c r="B1054" s="1">
        <f>IFERROR(__xludf.DUMMYFUNCTION("""COMPUTED_VALUE"""),201.5)</f>
        <v>201.5</v>
      </c>
      <c r="C1054" s="1">
        <f>IFERROR(__xludf.DUMMYFUNCTION("""COMPUTED_VALUE"""),204.44)</f>
        <v>204.44</v>
      </c>
      <c r="D1054" s="1">
        <f>IFERROR(__xludf.DUMMYFUNCTION("""COMPUTED_VALUE"""),201.23)</f>
        <v>201.23</v>
      </c>
      <c r="E1054" s="1">
        <f>IFERROR(__xludf.DUMMYFUNCTION("""COMPUTED_VALUE"""),202.94)</f>
        <v>202.94</v>
      </c>
      <c r="F1054" s="1">
        <f>IFERROR(__xludf.DUMMYFUNCTION("""COMPUTED_VALUE"""),2.5230427E7)</f>
        <v>25230427</v>
      </c>
    </row>
    <row r="1055">
      <c r="A1055" s="2">
        <f>IFERROR(__xludf.DUMMYFUNCTION("""COMPUTED_VALUE"""),45884.66666666667)</f>
        <v>45884.66667</v>
      </c>
      <c r="B1055" s="1">
        <f>IFERROR(__xludf.DUMMYFUNCTION("""COMPUTED_VALUE"""),203.85)</f>
        <v>203.85</v>
      </c>
      <c r="C1055" s="1">
        <f>IFERROR(__xludf.DUMMYFUNCTION("""COMPUTED_VALUE"""),206.44)</f>
        <v>206.44</v>
      </c>
      <c r="D1055" s="1">
        <f>IFERROR(__xludf.DUMMYFUNCTION("""COMPUTED_VALUE"""),201.28)</f>
        <v>201.28</v>
      </c>
      <c r="E1055" s="1">
        <f>IFERROR(__xludf.DUMMYFUNCTION("""COMPUTED_VALUE"""),203.9)</f>
        <v>203.9</v>
      </c>
      <c r="F1055" s="1">
        <f>IFERROR(__xludf.DUMMYFUNCTION("""COMPUTED_VALUE"""),3.4931422E7)</f>
        <v>34931422</v>
      </c>
    </row>
    <row r="1056">
      <c r="A1056" s="2">
        <f>IFERROR(__xludf.DUMMYFUNCTION("""COMPUTED_VALUE"""),45887.66666666667)</f>
        <v>45887.66667</v>
      </c>
      <c r="B1056" s="1">
        <f>IFERROR(__xludf.DUMMYFUNCTION("""COMPUTED_VALUE"""),204.2)</f>
        <v>204.2</v>
      </c>
      <c r="C1056" s="1">
        <f>IFERROR(__xludf.DUMMYFUNCTION("""COMPUTED_VALUE"""),205.27)</f>
        <v>205.27</v>
      </c>
      <c r="D1056" s="1">
        <f>IFERROR(__xludf.DUMMYFUNCTION("""COMPUTED_VALUE"""),202.49)</f>
        <v>202.49</v>
      </c>
      <c r="E1056" s="1">
        <f>IFERROR(__xludf.DUMMYFUNCTION("""COMPUTED_VALUE"""),203.5)</f>
        <v>203.5</v>
      </c>
      <c r="F1056" s="1">
        <f>IFERROR(__xludf.DUMMYFUNCTION("""COMPUTED_VALUE"""),1.8526594E7)</f>
        <v>18526594</v>
      </c>
    </row>
    <row r="1057">
      <c r="A1057" s="2">
        <f>IFERROR(__xludf.DUMMYFUNCTION("""COMPUTED_VALUE"""),45888.66666666667)</f>
        <v>45888.66667</v>
      </c>
      <c r="B1057" s="1">
        <f>IFERROR(__xludf.DUMMYFUNCTION("""COMPUTED_VALUE"""),203.03)</f>
        <v>203.03</v>
      </c>
      <c r="C1057" s="1">
        <f>IFERROR(__xludf.DUMMYFUNCTION("""COMPUTED_VALUE"""),203.44)</f>
        <v>203.44</v>
      </c>
      <c r="D1057" s="1">
        <f>IFERROR(__xludf.DUMMYFUNCTION("""COMPUTED_VALUE"""),199.96)</f>
        <v>199.96</v>
      </c>
      <c r="E1057" s="1">
        <f>IFERROR(__xludf.DUMMYFUNCTION("""COMPUTED_VALUE"""),201.57)</f>
        <v>201.57</v>
      </c>
      <c r="F1057" s="1">
        <f>IFERROR(__xludf.DUMMYFUNCTION("""COMPUTED_VALUE"""),2.4240233E7)</f>
        <v>24240233</v>
      </c>
    </row>
    <row r="1058">
      <c r="A1058" s="2">
        <f>IFERROR(__xludf.DUMMYFUNCTION("""COMPUTED_VALUE"""),45889.66666666667)</f>
        <v>45889.66667</v>
      </c>
      <c r="B1058" s="1">
        <f>IFERROR(__xludf.DUMMYFUNCTION("""COMPUTED_VALUE"""),200.73)</f>
        <v>200.73</v>
      </c>
      <c r="C1058" s="1">
        <f>IFERROR(__xludf.DUMMYFUNCTION("""COMPUTED_VALUE"""),201.28)</f>
        <v>201.28</v>
      </c>
      <c r="D1058" s="1">
        <f>IFERROR(__xludf.DUMMYFUNCTION("""COMPUTED_VALUE"""),196.6)</f>
        <v>196.6</v>
      </c>
      <c r="E1058" s="1">
        <f>IFERROR(__xludf.DUMMYFUNCTION("""COMPUTED_VALUE"""),199.32)</f>
        <v>199.32</v>
      </c>
      <c r="F1058" s="1">
        <f>IFERROR(__xludf.DUMMYFUNCTION("""COMPUTED_VALUE"""),2.8955498E7)</f>
        <v>28955498</v>
      </c>
    </row>
    <row r="1059">
      <c r="A1059" s="2">
        <f>IFERROR(__xludf.DUMMYFUNCTION("""COMPUTED_VALUE"""),45890.66666666667)</f>
        <v>45890.66667</v>
      </c>
      <c r="B1059" s="1">
        <f>IFERROR(__xludf.DUMMYFUNCTION("""COMPUTED_VALUE"""),199.75)</f>
        <v>199.75</v>
      </c>
      <c r="C1059" s="1">
        <f>IFERROR(__xludf.DUMMYFUNCTION("""COMPUTED_VALUE"""),202.48)</f>
        <v>202.48</v>
      </c>
      <c r="D1059" s="1">
        <f>IFERROR(__xludf.DUMMYFUNCTION("""COMPUTED_VALUE"""),199.43)</f>
        <v>199.43</v>
      </c>
      <c r="E1059" s="1">
        <f>IFERROR(__xludf.DUMMYFUNCTION("""COMPUTED_VALUE"""),199.75)</f>
        <v>199.75</v>
      </c>
      <c r="F1059" s="1">
        <f>IFERROR(__xludf.DUMMYFUNCTION("""COMPUTED_VALUE"""),1.9774633E7)</f>
        <v>19774633</v>
      </c>
    </row>
    <row r="1060">
      <c r="A1060" s="2">
        <f>IFERROR(__xludf.DUMMYFUNCTION("""COMPUTED_VALUE"""),45891.66666666667)</f>
        <v>45891.66667</v>
      </c>
      <c r="B1060" s="1">
        <f>IFERROR(__xludf.DUMMYFUNCTION("""COMPUTED_VALUE"""),202.73)</f>
        <v>202.73</v>
      </c>
      <c r="C1060" s="1">
        <f>IFERROR(__xludf.DUMMYFUNCTION("""COMPUTED_VALUE"""),208.54)</f>
        <v>208.54</v>
      </c>
      <c r="D1060" s="1">
        <f>IFERROR(__xludf.DUMMYFUNCTION("""COMPUTED_VALUE"""),201.3)</f>
        <v>201.3</v>
      </c>
      <c r="E1060" s="1">
        <f>IFERROR(__xludf.DUMMYFUNCTION("""COMPUTED_VALUE"""),206.09)</f>
        <v>206.09</v>
      </c>
      <c r="F1060" s="1">
        <f>IFERROR(__xludf.DUMMYFUNCTION("""COMPUTED_VALUE"""),4.282704E7)</f>
        <v>42827040</v>
      </c>
    </row>
    <row r="1061">
      <c r="A1061" s="2">
        <f>IFERROR(__xludf.DUMMYFUNCTION("""COMPUTED_VALUE"""),45894.66666666667)</f>
        <v>45894.66667</v>
      </c>
      <c r="B1061" s="1">
        <f>IFERROR(__xludf.DUMMYFUNCTION("""COMPUTED_VALUE"""),206.43)</f>
        <v>206.43</v>
      </c>
      <c r="C1061" s="1">
        <f>IFERROR(__xludf.DUMMYFUNCTION("""COMPUTED_VALUE"""),210.52)</f>
        <v>210.52</v>
      </c>
      <c r="D1061" s="1">
        <f>IFERROR(__xludf.DUMMYFUNCTION("""COMPUTED_VALUE"""),205.28)</f>
        <v>205.28</v>
      </c>
      <c r="E1061" s="1">
        <f>IFERROR(__xludf.DUMMYFUNCTION("""COMPUTED_VALUE"""),208.49)</f>
        <v>208.49</v>
      </c>
      <c r="F1061" s="1">
        <f>IFERROR(__xludf.DUMMYFUNCTION("""COMPUTED_VALUE"""),2.9928878E7)</f>
        <v>29928878</v>
      </c>
    </row>
    <row r="1062">
      <c r="A1062" s="2">
        <f>IFERROR(__xludf.DUMMYFUNCTION("""COMPUTED_VALUE"""),45895.66666666667)</f>
        <v>45895.66667</v>
      </c>
      <c r="B1062" s="1">
        <f>IFERROR(__xludf.DUMMYFUNCTION("""COMPUTED_VALUE"""),207.51)</f>
        <v>207.51</v>
      </c>
      <c r="C1062" s="1">
        <f>IFERROR(__xludf.DUMMYFUNCTION("""COMPUTED_VALUE"""),207.85)</f>
        <v>207.85</v>
      </c>
      <c r="D1062" s="1">
        <f>IFERROR(__xludf.DUMMYFUNCTION("""COMPUTED_VALUE"""),205.7)</f>
        <v>205.7</v>
      </c>
      <c r="E1062" s="1">
        <f>IFERROR(__xludf.DUMMYFUNCTION("""COMPUTED_VALUE"""),207.14)</f>
        <v>207.14</v>
      </c>
      <c r="F1062" s="1">
        <f>IFERROR(__xludf.DUMMYFUNCTION("""COMPUTED_VALUE"""),2.846413E7)</f>
        <v>28464130</v>
      </c>
    </row>
    <row r="1063">
      <c r="A1063" s="2">
        <f>IFERROR(__xludf.DUMMYFUNCTION("""COMPUTED_VALUE"""),45896.66666666667)</f>
        <v>45896.66667</v>
      </c>
      <c r="B1063" s="1">
        <f>IFERROR(__xludf.DUMMYFUNCTION("""COMPUTED_VALUE"""),205.7)</f>
        <v>205.7</v>
      </c>
      <c r="C1063" s="1">
        <f>IFERROR(__xludf.DUMMYFUNCTION("""COMPUTED_VALUE"""),208.91)</f>
        <v>208.91</v>
      </c>
      <c r="D1063" s="1">
        <f>IFERROR(__xludf.DUMMYFUNCTION("""COMPUTED_VALUE"""),205.65)</f>
        <v>205.65</v>
      </c>
      <c r="E1063" s="1">
        <f>IFERROR(__xludf.DUMMYFUNCTION("""COMPUTED_VALUE"""),207.48)</f>
        <v>207.48</v>
      </c>
      <c r="F1063" s="1">
        <f>IFERROR(__xludf.DUMMYFUNCTION("""COMPUTED_VALUE"""),2.302285E7)</f>
        <v>23022850</v>
      </c>
    </row>
    <row r="1064">
      <c r="A1064" s="2">
        <f>IFERROR(__xludf.DUMMYFUNCTION("""COMPUTED_VALUE"""),45897.66666666667)</f>
        <v>45897.66667</v>
      </c>
      <c r="B1064" s="1">
        <f>IFERROR(__xludf.DUMMYFUNCTION("""COMPUTED_VALUE"""),207.25)</f>
        <v>207.25</v>
      </c>
      <c r="C1064" s="1">
        <f>IFERROR(__xludf.DUMMYFUNCTION("""COMPUTED_VALUE"""),212.22)</f>
        <v>212.22</v>
      </c>
      <c r="D1064" s="1">
        <f>IFERROR(__xludf.DUMMYFUNCTION("""COMPUTED_VALUE"""),206.9)</f>
        <v>206.9</v>
      </c>
      <c r="E1064" s="1">
        <f>IFERROR(__xludf.DUMMYFUNCTION("""COMPUTED_VALUE"""),211.64)</f>
        <v>211.64</v>
      </c>
      <c r="F1064" s="1">
        <f>IFERROR(__xludf.DUMMYFUNCTION("""COMPUTED_VALUE"""),3.2339307E7)</f>
        <v>32339307</v>
      </c>
    </row>
    <row r="1065">
      <c r="A1065" s="2">
        <f>IFERROR(__xludf.DUMMYFUNCTION("""COMPUTED_VALUE"""),45898.66666666667)</f>
        <v>45898.66667</v>
      </c>
      <c r="B1065" s="1">
        <f>IFERROR(__xludf.DUMMYFUNCTION("""COMPUTED_VALUE"""),210.51)</f>
        <v>210.51</v>
      </c>
      <c r="C1065" s="1">
        <f>IFERROR(__xludf.DUMMYFUNCTION("""COMPUTED_VALUE"""),214.65)</f>
        <v>214.65</v>
      </c>
      <c r="D1065" s="1">
        <f>IFERROR(__xludf.DUMMYFUNCTION("""COMPUTED_VALUE"""),210.2)</f>
        <v>210.2</v>
      </c>
      <c r="E1065" s="1">
        <f>IFERROR(__xludf.DUMMYFUNCTION("""COMPUTED_VALUE"""),212.91)</f>
        <v>212.91</v>
      </c>
      <c r="F1065" s="1">
        <f>IFERROR(__xludf.DUMMYFUNCTION("""COMPUTED_VALUE"""),3.9728364E7)</f>
        <v>39728364</v>
      </c>
    </row>
    <row r="1066">
      <c r="A1066" s="2">
        <f>IFERROR(__xludf.DUMMYFUNCTION("""COMPUTED_VALUE"""),45902.66666666667)</f>
        <v>45902.66667</v>
      </c>
      <c r="B1066" s="1">
        <f>IFERROR(__xludf.DUMMYFUNCTION("""COMPUTED_VALUE"""),208.44)</f>
        <v>208.44</v>
      </c>
      <c r="C1066" s="1">
        <f>IFERROR(__xludf.DUMMYFUNCTION("""COMPUTED_VALUE"""),211.68)</f>
        <v>211.68</v>
      </c>
      <c r="D1066" s="1">
        <f>IFERROR(__xludf.DUMMYFUNCTION("""COMPUTED_VALUE"""),206.2)</f>
        <v>206.2</v>
      </c>
      <c r="E1066" s="1">
        <f>IFERROR(__xludf.DUMMYFUNCTION("""COMPUTED_VALUE"""),211.35)</f>
        <v>211.35</v>
      </c>
      <c r="F1066" s="1">
        <f>IFERROR(__xludf.DUMMYFUNCTION("""COMPUTED_VALUE"""),4.7523037E7)</f>
        <v>47523037</v>
      </c>
    </row>
    <row r="1067">
      <c r="A1067" s="2">
        <f>IFERROR(__xludf.DUMMYFUNCTION("""COMPUTED_VALUE"""),45903.66666666667)</f>
        <v>45903.66667</v>
      </c>
      <c r="B1067" s="1">
        <f>IFERROR(__xludf.DUMMYFUNCTION("""COMPUTED_VALUE"""),226.21)</f>
        <v>226.21</v>
      </c>
      <c r="C1067" s="1">
        <f>IFERROR(__xludf.DUMMYFUNCTION("""COMPUTED_VALUE"""),231.31)</f>
        <v>231.31</v>
      </c>
      <c r="D1067" s="1">
        <f>IFERROR(__xludf.DUMMYFUNCTION("""COMPUTED_VALUE"""),224.79)</f>
        <v>224.79</v>
      </c>
      <c r="E1067" s="1">
        <f>IFERROR(__xludf.DUMMYFUNCTION("""COMPUTED_VALUE"""),230.66)</f>
        <v>230.66</v>
      </c>
      <c r="F1067" s="1">
        <f>IFERROR(__xludf.DUMMYFUNCTION("""COMPUTED_VALUE"""),1.03336125E8)</f>
        <v>103336125</v>
      </c>
    </row>
    <row r="1068">
      <c r="A1068" s="2">
        <f>IFERROR(__xludf.DUMMYFUNCTION("""COMPUTED_VALUE"""),45904.66666666667)</f>
        <v>45904.66667</v>
      </c>
      <c r="B1068" s="1">
        <f>IFERROR(__xludf.DUMMYFUNCTION("""COMPUTED_VALUE"""),229.65)</f>
        <v>229.65</v>
      </c>
      <c r="C1068" s="1">
        <f>IFERROR(__xludf.DUMMYFUNCTION("""COMPUTED_VALUE"""),232.37)</f>
        <v>232.37</v>
      </c>
      <c r="D1068" s="1">
        <f>IFERROR(__xludf.DUMMYFUNCTION("""COMPUTED_VALUE"""),226.11)</f>
        <v>226.11</v>
      </c>
      <c r="E1068" s="1">
        <f>IFERROR(__xludf.DUMMYFUNCTION("""COMPUTED_VALUE"""),232.3)</f>
        <v>232.3</v>
      </c>
      <c r="F1068" s="1">
        <f>IFERROR(__xludf.DUMMYFUNCTION("""COMPUTED_VALUE"""),5.1684167E7)</f>
        <v>51684167</v>
      </c>
    </row>
    <row r="1069">
      <c r="A1069" s="2">
        <f>IFERROR(__xludf.DUMMYFUNCTION("""COMPUTED_VALUE"""),45905.66666666667)</f>
        <v>45905.66667</v>
      </c>
      <c r="B1069" s="1">
        <f>IFERROR(__xludf.DUMMYFUNCTION("""COMPUTED_VALUE"""),232.2)</f>
        <v>232.2</v>
      </c>
      <c r="C1069" s="1">
        <f>IFERROR(__xludf.DUMMYFUNCTION("""COMPUTED_VALUE"""),235.76)</f>
        <v>235.76</v>
      </c>
      <c r="D1069" s="1">
        <f>IFERROR(__xludf.DUMMYFUNCTION("""COMPUTED_VALUE"""),231.9)</f>
        <v>231.9</v>
      </c>
      <c r="E1069" s="1">
        <f>IFERROR(__xludf.DUMMYFUNCTION("""COMPUTED_VALUE"""),235.0)</f>
        <v>235</v>
      </c>
      <c r="F1069" s="1">
        <f>IFERROR(__xludf.DUMMYFUNCTION("""COMPUTED_VALUE"""),4.6588925E7)</f>
        <v>46588925</v>
      </c>
    </row>
    <row r="1070">
      <c r="A1070" s="2">
        <f>IFERROR(__xludf.DUMMYFUNCTION("""COMPUTED_VALUE"""),45908.66666666667)</f>
        <v>45908.66667</v>
      </c>
      <c r="B1070" s="1">
        <f>IFERROR(__xludf.DUMMYFUNCTION("""COMPUTED_VALUE"""),235.47)</f>
        <v>235.47</v>
      </c>
      <c r="C1070" s="1">
        <f>IFERROR(__xludf.DUMMYFUNCTION("""COMPUTED_VALUE"""),238.13)</f>
        <v>238.13</v>
      </c>
      <c r="D1070" s="1">
        <f>IFERROR(__xludf.DUMMYFUNCTION("""COMPUTED_VALUE"""),233.67)</f>
        <v>233.67</v>
      </c>
      <c r="E1070" s="1">
        <f>IFERROR(__xludf.DUMMYFUNCTION("""COMPUTED_VALUE"""),234.04)</f>
        <v>234.04</v>
      </c>
      <c r="F1070" s="1">
        <f>IFERROR(__xludf.DUMMYFUNCTION("""COMPUTED_VALUE"""),3.2474743E7)</f>
        <v>32474743</v>
      </c>
    </row>
    <row r="1071">
      <c r="A1071" s="2">
        <f>IFERROR(__xludf.DUMMYFUNCTION("""COMPUTED_VALUE"""),45909.66666666667)</f>
        <v>45909.66667</v>
      </c>
      <c r="B1071" s="1">
        <f>IFERROR(__xludf.DUMMYFUNCTION("""COMPUTED_VALUE"""),234.17)</f>
        <v>234.17</v>
      </c>
      <c r="C1071" s="1">
        <f>IFERROR(__xludf.DUMMYFUNCTION("""COMPUTED_VALUE"""),240.47)</f>
        <v>240.47</v>
      </c>
      <c r="D1071" s="1">
        <f>IFERROR(__xludf.DUMMYFUNCTION("""COMPUTED_VALUE"""),233.23)</f>
        <v>233.23</v>
      </c>
      <c r="E1071" s="1">
        <f>IFERROR(__xludf.DUMMYFUNCTION("""COMPUTED_VALUE"""),239.63)</f>
        <v>239.63</v>
      </c>
      <c r="F1071" s="1">
        <f>IFERROR(__xludf.DUMMYFUNCTION("""COMPUTED_VALUE"""),3.8060959E7)</f>
        <v>38060959</v>
      </c>
    </row>
    <row r="1072">
      <c r="A1072" s="2">
        <f>IFERROR(__xludf.DUMMYFUNCTION("""COMPUTED_VALUE"""),45910.66666666667)</f>
        <v>45910.66667</v>
      </c>
      <c r="B1072" s="1">
        <f>IFERROR(__xludf.DUMMYFUNCTION("""COMPUTED_VALUE"""),238.9)</f>
        <v>238.9</v>
      </c>
      <c r="C1072" s="1">
        <f>IFERROR(__xludf.DUMMYFUNCTION("""COMPUTED_VALUE"""),241.66)</f>
        <v>241.66</v>
      </c>
      <c r="D1072" s="1">
        <f>IFERROR(__xludf.DUMMYFUNCTION("""COMPUTED_VALUE"""),237.85)</f>
        <v>237.85</v>
      </c>
      <c r="E1072" s="1">
        <f>IFERROR(__xludf.DUMMYFUNCTION("""COMPUTED_VALUE"""),239.17)</f>
        <v>239.17</v>
      </c>
      <c r="F1072" s="1">
        <f>IFERROR(__xludf.DUMMYFUNCTION("""COMPUTED_VALUE"""),3.5141074E7)</f>
        <v>35141074</v>
      </c>
    </row>
    <row r="1073">
      <c r="A1073" s="2">
        <f>IFERROR(__xludf.DUMMYFUNCTION("""COMPUTED_VALUE"""),45911.66666666667)</f>
        <v>45911.66667</v>
      </c>
      <c r="B1073" s="1">
        <f>IFERROR(__xludf.DUMMYFUNCTION("""COMPUTED_VALUE"""),239.88)</f>
        <v>239.88</v>
      </c>
      <c r="C1073" s="1">
        <f>IFERROR(__xludf.DUMMYFUNCTION("""COMPUTED_VALUE"""),242.25)</f>
        <v>242.25</v>
      </c>
      <c r="D1073" s="1">
        <f>IFERROR(__xludf.DUMMYFUNCTION("""COMPUTED_VALUE"""),236.25)</f>
        <v>236.25</v>
      </c>
      <c r="E1073" s="1">
        <f>IFERROR(__xludf.DUMMYFUNCTION("""COMPUTED_VALUE"""),240.37)</f>
        <v>240.37</v>
      </c>
      <c r="F1073" s="1">
        <f>IFERROR(__xludf.DUMMYFUNCTION("""COMPUTED_VALUE"""),3.0599328E7)</f>
        <v>30599328</v>
      </c>
    </row>
    <row r="1074">
      <c r="A1074" s="2">
        <f>IFERROR(__xludf.DUMMYFUNCTION("""COMPUTED_VALUE"""),45912.66666666667)</f>
        <v>45912.66667</v>
      </c>
      <c r="B1074" s="1">
        <f>IFERROR(__xludf.DUMMYFUNCTION("""COMPUTED_VALUE"""),240.37)</f>
        <v>240.37</v>
      </c>
      <c r="C1074" s="1">
        <f>IFERROR(__xludf.DUMMYFUNCTION("""COMPUTED_VALUE"""),242.08)</f>
        <v>242.08</v>
      </c>
      <c r="D1074" s="1">
        <f>IFERROR(__xludf.DUMMYFUNCTION("""COMPUTED_VALUE"""),238.0)</f>
        <v>238</v>
      </c>
      <c r="E1074" s="1">
        <f>IFERROR(__xludf.DUMMYFUNCTION("""COMPUTED_VALUE"""),240.8)</f>
        <v>240.8</v>
      </c>
      <c r="F1074" s="1">
        <f>IFERROR(__xludf.DUMMYFUNCTION("""COMPUTED_VALUE"""),2.677161E7)</f>
        <v>26771610</v>
      </c>
    </row>
    <row r="1075">
      <c r="A1075" s="2">
        <f>IFERROR(__xludf.DUMMYFUNCTION("""COMPUTED_VALUE"""),45915.66666666667)</f>
        <v>45915.66667</v>
      </c>
      <c r="B1075" s="1">
        <f>IFERROR(__xludf.DUMMYFUNCTION("""COMPUTED_VALUE"""),244.66)</f>
        <v>244.66</v>
      </c>
      <c r="C1075" s="1">
        <f>IFERROR(__xludf.DUMMYFUNCTION("""COMPUTED_VALUE"""),252.41)</f>
        <v>252.41</v>
      </c>
      <c r="D1075" s="1">
        <f>IFERROR(__xludf.DUMMYFUNCTION("""COMPUTED_VALUE"""),244.66)</f>
        <v>244.66</v>
      </c>
      <c r="E1075" s="1">
        <f>IFERROR(__xludf.DUMMYFUNCTION("""COMPUTED_VALUE"""),251.61)</f>
        <v>251.61</v>
      </c>
      <c r="F1075" s="1">
        <f>IFERROR(__xludf.DUMMYFUNCTION("""COMPUTED_VALUE"""),5.8383796E7)</f>
        <v>58383796</v>
      </c>
    </row>
    <row r="1076">
      <c r="A1076" s="2">
        <f>IFERROR(__xludf.DUMMYFUNCTION("""COMPUTED_VALUE"""),45916.66666666667)</f>
        <v>45916.66667</v>
      </c>
      <c r="B1076" s="1">
        <f>IFERROR(__xludf.DUMMYFUNCTION("""COMPUTED_VALUE"""),252.08)</f>
        <v>252.08</v>
      </c>
      <c r="C1076" s="1">
        <f>IFERROR(__xludf.DUMMYFUNCTION("""COMPUTED_VALUE"""),253.04)</f>
        <v>253.04</v>
      </c>
      <c r="D1076" s="1">
        <f>IFERROR(__xludf.DUMMYFUNCTION("""COMPUTED_VALUE"""),249.47)</f>
        <v>249.47</v>
      </c>
      <c r="E1076" s="1">
        <f>IFERROR(__xludf.DUMMYFUNCTION("""COMPUTED_VALUE"""),251.16)</f>
        <v>251.16</v>
      </c>
      <c r="F1076" s="1">
        <f>IFERROR(__xludf.DUMMYFUNCTION("""COMPUTED_VALUE"""),3.410972E7)</f>
        <v>34109720</v>
      </c>
    </row>
    <row r="1077">
      <c r="A1077" s="2">
        <f>IFERROR(__xludf.DUMMYFUNCTION("""COMPUTED_VALUE"""),45917.66666666667)</f>
        <v>45917.66667</v>
      </c>
      <c r="B1077" s="1">
        <f>IFERROR(__xludf.DUMMYFUNCTION("""COMPUTED_VALUE"""),251.22)</f>
        <v>251.22</v>
      </c>
      <c r="C1077" s="1">
        <f>IFERROR(__xludf.DUMMYFUNCTION("""COMPUTED_VALUE"""),251.6)</f>
        <v>251.6</v>
      </c>
      <c r="D1077" s="1">
        <f>IFERROR(__xludf.DUMMYFUNCTION("""COMPUTED_VALUE"""),246.28)</f>
        <v>246.28</v>
      </c>
      <c r="E1077" s="1">
        <f>IFERROR(__xludf.DUMMYFUNCTION("""COMPUTED_VALUE"""),249.53)</f>
        <v>249.53</v>
      </c>
      <c r="F1077" s="1">
        <f>IFERROR(__xludf.DUMMYFUNCTION("""COMPUTED_VALUE"""),3.4107992E7)</f>
        <v>34107992</v>
      </c>
    </row>
    <row r="1078">
      <c r="A1078" s="2">
        <f>IFERROR(__xludf.DUMMYFUNCTION("""COMPUTED_VALUE"""),45918.66666666667)</f>
        <v>45918.66667</v>
      </c>
      <c r="B1078" s="1">
        <f>IFERROR(__xludf.DUMMYFUNCTION("""COMPUTED_VALUE"""),251.68)</f>
        <v>251.68</v>
      </c>
      <c r="C1078" s="1">
        <f>IFERROR(__xludf.DUMMYFUNCTION("""COMPUTED_VALUE"""),253.99)</f>
        <v>253.99</v>
      </c>
      <c r="D1078" s="1">
        <f>IFERROR(__xludf.DUMMYFUNCTION("""COMPUTED_VALUE"""),249.8)</f>
        <v>249.8</v>
      </c>
      <c r="E1078" s="1">
        <f>IFERROR(__xludf.DUMMYFUNCTION("""COMPUTED_VALUE"""),252.03)</f>
        <v>252.03</v>
      </c>
      <c r="F1078" s="1">
        <f>IFERROR(__xludf.DUMMYFUNCTION("""COMPUTED_VALUE"""),3.1239474E7)</f>
        <v>31239474</v>
      </c>
    </row>
    <row r="1079">
      <c r="A1079" s="2">
        <f>IFERROR(__xludf.DUMMYFUNCTION("""COMPUTED_VALUE"""),45919.66666666667)</f>
        <v>45919.66667</v>
      </c>
      <c r="B1079" s="1">
        <f>IFERROR(__xludf.DUMMYFUNCTION("""COMPUTED_VALUE"""),253.25)</f>
        <v>253.25</v>
      </c>
      <c r="C1079" s="1">
        <f>IFERROR(__xludf.DUMMYFUNCTION("""COMPUTED_VALUE"""),256.0)</f>
        <v>256</v>
      </c>
      <c r="D1079" s="1">
        <f>IFERROR(__xludf.DUMMYFUNCTION("""COMPUTED_VALUE"""),251.81)</f>
        <v>251.81</v>
      </c>
      <c r="E1079" s="1">
        <f>IFERROR(__xludf.DUMMYFUNCTION("""COMPUTED_VALUE"""),254.72)</f>
        <v>254.72</v>
      </c>
      <c r="F1079" s="1">
        <f>IFERROR(__xludf.DUMMYFUNCTION("""COMPUTED_VALUE"""),5.5571424E7)</f>
        <v>55571424</v>
      </c>
    </row>
    <row r="1080">
      <c r="A1080" s="2">
        <f>IFERROR(__xludf.DUMMYFUNCTION("""COMPUTED_VALUE"""),45922.66666666667)</f>
        <v>45922.66667</v>
      </c>
      <c r="B1080" s="1">
        <f>IFERROR(__xludf.DUMMYFUNCTION("""COMPUTED_VALUE"""),254.43)</f>
        <v>254.43</v>
      </c>
      <c r="C1080" s="1">
        <f>IFERROR(__xludf.DUMMYFUNCTION("""COMPUTED_VALUE"""),255.78)</f>
        <v>255.78</v>
      </c>
      <c r="D1080" s="1">
        <f>IFERROR(__xludf.DUMMYFUNCTION("""COMPUTED_VALUE"""),250.3)</f>
        <v>250.3</v>
      </c>
      <c r="E1080" s="1">
        <f>IFERROR(__xludf.DUMMYFUNCTION("""COMPUTED_VALUE"""),252.53)</f>
        <v>252.53</v>
      </c>
      <c r="F1080" s="1">
        <f>IFERROR(__xludf.DUMMYFUNCTION("""COMPUTED_VALUE"""),3.2290538E7)</f>
        <v>32290538</v>
      </c>
    </row>
    <row r="1081">
      <c r="A1081" s="2">
        <f>IFERROR(__xludf.DUMMYFUNCTION("""COMPUTED_VALUE"""),45923.66666666667)</f>
        <v>45923.66667</v>
      </c>
      <c r="B1081" s="1">
        <f>IFERROR(__xludf.DUMMYFUNCTION("""COMPUTED_VALUE"""),253.04)</f>
        <v>253.04</v>
      </c>
      <c r="C1081" s="1">
        <f>IFERROR(__xludf.DUMMYFUNCTION("""COMPUTED_VALUE"""),254.36)</f>
        <v>254.36</v>
      </c>
      <c r="D1081" s="1">
        <f>IFERROR(__xludf.DUMMYFUNCTION("""COMPUTED_VALUE"""),250.48)</f>
        <v>250.48</v>
      </c>
      <c r="E1081" s="1">
        <f>IFERROR(__xludf.DUMMYFUNCTION("""COMPUTED_VALUE"""),251.66)</f>
        <v>251.66</v>
      </c>
      <c r="F1081" s="1">
        <f>IFERROR(__xludf.DUMMYFUNCTION("""COMPUTED_VALUE"""),2.6628016E7)</f>
        <v>26628016</v>
      </c>
    </row>
    <row r="1082">
      <c r="A1082" s="2">
        <f>IFERROR(__xludf.DUMMYFUNCTION("""COMPUTED_VALUE"""),45924.66666666667)</f>
        <v>45924.66667</v>
      </c>
      <c r="B1082" s="1">
        <f>IFERROR(__xludf.DUMMYFUNCTION("""COMPUTED_VALUE"""),251.66)</f>
        <v>251.66</v>
      </c>
      <c r="C1082" s="1">
        <f>IFERROR(__xludf.DUMMYFUNCTION("""COMPUTED_VALUE"""),252.35)</f>
        <v>252.35</v>
      </c>
      <c r="D1082" s="1">
        <f>IFERROR(__xludf.DUMMYFUNCTION("""COMPUTED_VALUE"""),246.44)</f>
        <v>246.44</v>
      </c>
      <c r="E1082" s="1">
        <f>IFERROR(__xludf.DUMMYFUNCTION("""COMPUTED_VALUE"""),247.14)</f>
        <v>247.14</v>
      </c>
      <c r="F1082" s="1">
        <f>IFERROR(__xludf.DUMMYFUNCTION("""COMPUTED_VALUE"""),2.8201003E7)</f>
        <v>28201003</v>
      </c>
    </row>
    <row r="1083">
      <c r="A1083" s="2">
        <f>IFERROR(__xludf.DUMMYFUNCTION("""COMPUTED_VALUE"""),45925.66666666667)</f>
        <v>45925.66667</v>
      </c>
      <c r="B1083" s="1">
        <f>IFERROR(__xludf.DUMMYFUNCTION("""COMPUTED_VALUE"""),244.4)</f>
        <v>244.4</v>
      </c>
      <c r="C1083" s="1">
        <f>IFERROR(__xludf.DUMMYFUNCTION("""COMPUTED_VALUE"""),246.49)</f>
        <v>246.49</v>
      </c>
      <c r="D1083" s="1">
        <f>IFERROR(__xludf.DUMMYFUNCTION("""COMPUTED_VALUE"""),240.74)</f>
        <v>240.74</v>
      </c>
      <c r="E1083" s="1">
        <f>IFERROR(__xludf.DUMMYFUNCTION("""COMPUTED_VALUE"""),245.79)</f>
        <v>245.79</v>
      </c>
      <c r="F1083" s="1">
        <f>IFERROR(__xludf.DUMMYFUNCTION("""COMPUTED_VALUE"""),3.1020383E7)</f>
        <v>31020383</v>
      </c>
    </row>
    <row r="1084">
      <c r="A1084" s="2">
        <f>IFERROR(__xludf.DUMMYFUNCTION("""COMPUTED_VALUE"""),45926.66666666667)</f>
        <v>45926.66667</v>
      </c>
      <c r="B1084" s="1">
        <f>IFERROR(__xludf.DUMMYFUNCTION("""COMPUTED_VALUE"""),247.07)</f>
        <v>247.07</v>
      </c>
      <c r="C1084" s="1">
        <f>IFERROR(__xludf.DUMMYFUNCTION("""COMPUTED_VALUE"""),249.42)</f>
        <v>249.42</v>
      </c>
      <c r="D1084" s="1">
        <f>IFERROR(__xludf.DUMMYFUNCTION("""COMPUTED_VALUE"""),245.97)</f>
        <v>245.97</v>
      </c>
      <c r="E1084" s="1">
        <f>IFERROR(__xludf.DUMMYFUNCTION("""COMPUTED_VALUE"""),246.54)</f>
        <v>246.54</v>
      </c>
      <c r="F1084" s="1">
        <f>IFERROR(__xludf.DUMMYFUNCTION("""COMPUTED_VALUE"""),1.8503194E7)</f>
        <v>18503194</v>
      </c>
    </row>
    <row r="1085">
      <c r="A1085" s="2">
        <f>IFERROR(__xludf.DUMMYFUNCTION("""COMPUTED_VALUE"""),45929.66666666667)</f>
        <v>45929.66667</v>
      </c>
      <c r="B1085" s="1">
        <f>IFERROR(__xludf.DUMMYFUNCTION("""COMPUTED_VALUE"""),247.85)</f>
        <v>247.85</v>
      </c>
      <c r="C1085" s="1">
        <f>IFERROR(__xludf.DUMMYFUNCTION("""COMPUTED_VALUE"""),251.15)</f>
        <v>251.15</v>
      </c>
      <c r="D1085" s="1">
        <f>IFERROR(__xludf.DUMMYFUNCTION("""COMPUTED_VALUE"""),242.77)</f>
        <v>242.77</v>
      </c>
      <c r="E1085" s="1">
        <f>IFERROR(__xludf.DUMMYFUNCTION("""COMPUTED_VALUE"""),244.05)</f>
        <v>244.05</v>
      </c>
      <c r="F1085" s="1">
        <f>IFERROR(__xludf.DUMMYFUNCTION("""COMPUTED_VALUE"""),3.2505777E7)</f>
        <v>32505777</v>
      </c>
    </row>
    <row r="1086">
      <c r="A1086" s="2">
        <f>IFERROR(__xludf.DUMMYFUNCTION("""COMPUTED_VALUE"""),45930.66666666667)</f>
        <v>45930.66667</v>
      </c>
      <c r="B1086" s="1">
        <f>IFERROR(__xludf.DUMMYFUNCTION("""COMPUTED_VALUE"""),242.81)</f>
        <v>242.81</v>
      </c>
      <c r="C1086" s="1">
        <f>IFERROR(__xludf.DUMMYFUNCTION("""COMPUTED_VALUE"""),243.29)</f>
        <v>243.29</v>
      </c>
      <c r="D1086" s="1">
        <f>IFERROR(__xludf.DUMMYFUNCTION("""COMPUTED_VALUE"""),239.25)</f>
        <v>239.25</v>
      </c>
      <c r="E1086" s="1">
        <f>IFERROR(__xludf.DUMMYFUNCTION("""COMPUTED_VALUE"""),243.1)</f>
        <v>243.1</v>
      </c>
      <c r="F1086" s="1">
        <f>IFERROR(__xludf.DUMMYFUNCTION("""COMPUTED_VALUE"""),3.4724346E7)</f>
        <v>34724346</v>
      </c>
    </row>
    <row r="1087">
      <c r="A1087" s="2">
        <f>IFERROR(__xludf.DUMMYFUNCTION("""COMPUTED_VALUE"""),45931.66666666667)</f>
        <v>45931.66667</v>
      </c>
      <c r="B1087" s="1">
        <f>IFERROR(__xludf.DUMMYFUNCTION("""COMPUTED_VALUE"""),240.75)</f>
        <v>240.75</v>
      </c>
      <c r="C1087" s="1">
        <f>IFERROR(__xludf.DUMMYFUNCTION("""COMPUTED_VALUE"""),246.3)</f>
        <v>246.3</v>
      </c>
      <c r="D1087" s="1">
        <f>IFERROR(__xludf.DUMMYFUNCTION("""COMPUTED_VALUE"""),238.61)</f>
        <v>238.61</v>
      </c>
      <c r="E1087" s="1">
        <f>IFERROR(__xludf.DUMMYFUNCTION("""COMPUTED_VALUE"""),244.9)</f>
        <v>244.9</v>
      </c>
      <c r="F1087" s="1">
        <f>IFERROR(__xludf.DUMMYFUNCTION("""COMPUTED_VALUE"""),3.1658234E7)</f>
        <v>31658234</v>
      </c>
    </row>
    <row r="1088">
      <c r="A1088" s="2">
        <f>IFERROR(__xludf.DUMMYFUNCTION("""COMPUTED_VALUE"""),45932.66666666667)</f>
        <v>45932.66667</v>
      </c>
      <c r="B1088" s="1">
        <f>IFERROR(__xludf.DUMMYFUNCTION("""COMPUTED_VALUE"""),245.15)</f>
        <v>245.15</v>
      </c>
      <c r="C1088" s="1">
        <f>IFERROR(__xludf.DUMMYFUNCTION("""COMPUTED_VALUE"""),246.81)</f>
        <v>246.81</v>
      </c>
      <c r="D1088" s="1">
        <f>IFERROR(__xludf.DUMMYFUNCTION("""COMPUTED_VALUE"""),242.3)</f>
        <v>242.3</v>
      </c>
      <c r="E1088" s="1">
        <f>IFERROR(__xludf.DUMMYFUNCTION("""COMPUTED_VALUE"""),245.69)</f>
        <v>245.69</v>
      </c>
      <c r="F1088" s="1">
        <f>IFERROR(__xludf.DUMMYFUNCTION("""COMPUTED_VALUE"""),2.5483298E7)</f>
        <v>25483298</v>
      </c>
    </row>
    <row r="1089">
      <c r="A1089" s="2">
        <f>IFERROR(__xludf.DUMMYFUNCTION("""COMPUTED_VALUE"""),45933.66666666667)</f>
        <v>45933.66667</v>
      </c>
      <c r="B1089" s="1">
        <f>IFERROR(__xludf.DUMMYFUNCTION("""COMPUTED_VALUE"""),244.49)</f>
        <v>244.49</v>
      </c>
      <c r="C1089" s="1">
        <f>IFERROR(__xludf.DUMMYFUNCTION("""COMPUTED_VALUE"""),246.3)</f>
        <v>246.3</v>
      </c>
      <c r="D1089" s="1">
        <f>IFERROR(__xludf.DUMMYFUNCTION("""COMPUTED_VALUE"""),241.66)</f>
        <v>241.66</v>
      </c>
      <c r="E1089" s="1">
        <f>IFERROR(__xludf.DUMMYFUNCTION("""COMPUTED_VALUE"""),245.35)</f>
        <v>245.35</v>
      </c>
      <c r="F1089" s="1">
        <f>IFERROR(__xludf.DUMMYFUNCTION("""COMPUTED_VALUE"""),3.0249559E7)</f>
        <v>30249559</v>
      </c>
    </row>
    <row r="1090">
      <c r="A1090" s="2">
        <f>IFERROR(__xludf.DUMMYFUNCTION("""COMPUTED_VALUE"""),45936.66666666667)</f>
        <v>45936.66667</v>
      </c>
      <c r="B1090" s="1">
        <f>IFERROR(__xludf.DUMMYFUNCTION("""COMPUTED_VALUE"""),244.78)</f>
        <v>244.78</v>
      </c>
      <c r="C1090" s="1">
        <f>IFERROR(__xludf.DUMMYFUNCTION("""COMPUTED_VALUE"""),251.32)</f>
        <v>251.32</v>
      </c>
      <c r="D1090" s="1">
        <f>IFERROR(__xludf.DUMMYFUNCTION("""COMPUTED_VALUE"""),244.58)</f>
        <v>244.58</v>
      </c>
      <c r="E1090" s="1">
        <f>IFERROR(__xludf.DUMMYFUNCTION("""COMPUTED_VALUE"""),250.43)</f>
        <v>250.43</v>
      </c>
      <c r="F1090" s="1">
        <f>IFERROR(__xludf.DUMMYFUNCTION("""COMPUTED_VALUE"""),2.8894653E7)</f>
        <v>28894653</v>
      </c>
    </row>
    <row r="1091">
      <c r="A1091" s="2">
        <f>IFERROR(__xludf.DUMMYFUNCTION("""COMPUTED_VALUE"""),45937.66666666667)</f>
        <v>45937.66667</v>
      </c>
      <c r="B1091" s="1">
        <f>IFERROR(__xludf.DUMMYFUNCTION("""COMPUTED_VALUE"""),248.27)</f>
        <v>248.27</v>
      </c>
      <c r="C1091" s="1">
        <f>IFERROR(__xludf.DUMMYFUNCTION("""COMPUTED_VALUE"""),250.44)</f>
        <v>250.44</v>
      </c>
      <c r="D1091" s="1">
        <f>IFERROR(__xludf.DUMMYFUNCTION("""COMPUTED_VALUE"""),245.52)</f>
        <v>245.52</v>
      </c>
      <c r="E1091" s="1">
        <f>IFERROR(__xludf.DUMMYFUNCTION("""COMPUTED_VALUE"""),245.76)</f>
        <v>245.76</v>
      </c>
      <c r="F1091" s="1">
        <f>IFERROR(__xludf.DUMMYFUNCTION("""COMPUTED_VALUE"""),2.3181285E7)</f>
        <v>23181285</v>
      </c>
    </row>
    <row r="1092">
      <c r="A1092" s="2">
        <f>IFERROR(__xludf.DUMMYFUNCTION("""COMPUTED_VALUE"""),45938.66666666667)</f>
        <v>45938.66667</v>
      </c>
      <c r="B1092" s="1">
        <f>IFERROR(__xludf.DUMMYFUNCTION("""COMPUTED_VALUE"""),244.96)</f>
        <v>244.96</v>
      </c>
      <c r="C1092" s="1">
        <f>IFERROR(__xludf.DUMMYFUNCTION("""COMPUTED_VALUE"""),246.01)</f>
        <v>246.01</v>
      </c>
      <c r="D1092" s="1">
        <f>IFERROR(__xludf.DUMMYFUNCTION("""COMPUTED_VALUE"""),243.82)</f>
        <v>243.82</v>
      </c>
      <c r="E1092" s="1">
        <f>IFERROR(__xludf.DUMMYFUNCTION("""COMPUTED_VALUE"""),244.62)</f>
        <v>244.62</v>
      </c>
      <c r="F1092" s="1">
        <f>IFERROR(__xludf.DUMMYFUNCTION("""COMPUTED_VALUE"""),2.1307104E7)</f>
        <v>21307104</v>
      </c>
    </row>
    <row r="1093">
      <c r="A1093" s="2">
        <f>IFERROR(__xludf.DUMMYFUNCTION("""COMPUTED_VALUE"""),45939.66666666667)</f>
        <v>45939.66667</v>
      </c>
      <c r="B1093" s="1">
        <f>IFERROR(__xludf.DUMMYFUNCTION("""COMPUTED_VALUE"""),244.47)</f>
        <v>244.47</v>
      </c>
      <c r="C1093" s="1">
        <f>IFERROR(__xludf.DUMMYFUNCTION("""COMPUTED_VALUE"""),244.76)</f>
        <v>244.76</v>
      </c>
      <c r="D1093" s="1">
        <f>IFERROR(__xludf.DUMMYFUNCTION("""COMPUTED_VALUE"""),239.15)</f>
        <v>239.15</v>
      </c>
      <c r="E1093" s="1">
        <f>IFERROR(__xludf.DUMMYFUNCTION("""COMPUTED_VALUE"""),241.53)</f>
        <v>241.53</v>
      </c>
      <c r="F1093" s="1">
        <f>IFERROR(__xludf.DUMMYFUNCTION("""COMPUTED_VALUE"""),2.7892086E7)</f>
        <v>27892086</v>
      </c>
    </row>
    <row r="1094">
      <c r="A1094" s="2">
        <f>IFERROR(__xludf.DUMMYFUNCTION("""COMPUTED_VALUE"""),45940.66666666667)</f>
        <v>45940.66667</v>
      </c>
      <c r="B1094" s="1">
        <f>IFERROR(__xludf.DUMMYFUNCTION("""COMPUTED_VALUE"""),241.43)</f>
        <v>241.43</v>
      </c>
      <c r="C1094" s="1">
        <f>IFERROR(__xludf.DUMMYFUNCTION("""COMPUTED_VALUE"""),244.09)</f>
        <v>244.09</v>
      </c>
      <c r="D1094" s="1">
        <f>IFERROR(__xludf.DUMMYFUNCTION("""COMPUTED_VALUE"""),235.84)</f>
        <v>235.84</v>
      </c>
      <c r="E1094" s="1">
        <f>IFERROR(__xludf.DUMMYFUNCTION("""COMPUTED_VALUE"""),236.57)</f>
        <v>236.57</v>
      </c>
      <c r="F1094" s="1">
        <f>IFERROR(__xludf.DUMMYFUNCTION("""COMPUTED_VALUE"""),3.3180323E7)</f>
        <v>33180323</v>
      </c>
    </row>
    <row r="1095">
      <c r="A1095" s="2">
        <f>IFERROR(__xludf.DUMMYFUNCTION("""COMPUTED_VALUE"""),45943.66666666667)</f>
        <v>45943.66667</v>
      </c>
      <c r="B1095" s="1">
        <f>IFERROR(__xludf.DUMMYFUNCTION("""COMPUTED_VALUE"""),240.21)</f>
        <v>240.21</v>
      </c>
      <c r="C1095" s="1">
        <f>IFERROR(__xludf.DUMMYFUNCTION("""COMPUTED_VALUE"""),244.5)</f>
        <v>244.5</v>
      </c>
      <c r="D1095" s="1">
        <f>IFERROR(__xludf.DUMMYFUNCTION("""COMPUTED_VALUE"""),239.71)</f>
        <v>239.71</v>
      </c>
      <c r="E1095" s="1">
        <f>IFERROR(__xludf.DUMMYFUNCTION("""COMPUTED_VALUE"""),244.15)</f>
        <v>244.15</v>
      </c>
      <c r="F1095" s="1">
        <f>IFERROR(__xludf.DUMMYFUNCTION("""COMPUTED_VALUE"""),2.4995028E7)</f>
        <v>24995028</v>
      </c>
    </row>
    <row r="1096">
      <c r="A1096" s="2">
        <f>IFERROR(__xludf.DUMMYFUNCTION("""COMPUTED_VALUE"""),45944.66666666667)</f>
        <v>45944.66667</v>
      </c>
      <c r="B1096" s="1">
        <f>IFERROR(__xludf.DUMMYFUNCTION("""COMPUTED_VALUE"""),241.23)</f>
        <v>241.23</v>
      </c>
      <c r="C1096" s="1">
        <f>IFERROR(__xludf.DUMMYFUNCTION("""COMPUTED_VALUE"""),247.12)</f>
        <v>247.12</v>
      </c>
      <c r="D1096" s="1">
        <f>IFERROR(__xludf.DUMMYFUNCTION("""COMPUTED_VALUE"""),240.51)</f>
        <v>240.51</v>
      </c>
      <c r="E1096" s="1">
        <f>IFERROR(__xludf.DUMMYFUNCTION("""COMPUTED_VALUE"""),245.45)</f>
        <v>245.45</v>
      </c>
      <c r="F1096" s="1">
        <f>IFERROR(__xludf.DUMMYFUNCTION("""COMPUTED_VALUE"""),2.2111572E7)</f>
        <v>22111572</v>
      </c>
    </row>
    <row r="1097">
      <c r="A1097" s="2">
        <f>IFERROR(__xludf.DUMMYFUNCTION("""COMPUTED_VALUE"""),45945.66666666667)</f>
        <v>45945.66667</v>
      </c>
      <c r="B1097" s="1">
        <f>IFERROR(__xludf.DUMMYFUNCTION("""COMPUTED_VALUE"""),247.25)</f>
        <v>247.25</v>
      </c>
      <c r="C1097" s="1">
        <f>IFERROR(__xludf.DUMMYFUNCTION("""COMPUTED_VALUE"""),252.11)</f>
        <v>252.11</v>
      </c>
      <c r="D1097" s="1">
        <f>IFERROR(__xludf.DUMMYFUNCTION("""COMPUTED_VALUE"""),245.99)</f>
        <v>245.99</v>
      </c>
      <c r="E1097" s="1">
        <f>IFERROR(__xludf.DUMMYFUNCTION("""COMPUTED_VALUE"""),251.03)</f>
        <v>251.03</v>
      </c>
      <c r="F1097" s="1">
        <f>IFERROR(__xludf.DUMMYFUNCTION("""COMPUTED_VALUE"""),2.700769E7)</f>
        <v>27007690</v>
      </c>
    </row>
    <row r="1098">
      <c r="A1098" s="2">
        <f>IFERROR(__xludf.DUMMYFUNCTION("""COMPUTED_VALUE"""),45946.66666666667)</f>
        <v>45946.66667</v>
      </c>
      <c r="B1098" s="1">
        <f>IFERROR(__xludf.DUMMYFUNCTION("""COMPUTED_VALUE"""),251.77)</f>
        <v>251.77</v>
      </c>
      <c r="C1098" s="1">
        <f>IFERROR(__xludf.DUMMYFUNCTION("""COMPUTED_VALUE"""),256.96)</f>
        <v>256.96</v>
      </c>
      <c r="D1098" s="1">
        <f>IFERROR(__xludf.DUMMYFUNCTION("""COMPUTED_VALUE"""),250.1)</f>
        <v>250.1</v>
      </c>
      <c r="E1098" s="1">
        <f>IFERROR(__xludf.DUMMYFUNCTION("""COMPUTED_VALUE"""),251.46)</f>
        <v>251.46</v>
      </c>
      <c r="F1098" s="1">
        <f>IFERROR(__xludf.DUMMYFUNCTION("""COMPUTED_VALUE"""),2.7997159E7)</f>
        <v>27997159</v>
      </c>
    </row>
    <row r="1099">
      <c r="A1099" s="2">
        <f>IFERROR(__xludf.DUMMYFUNCTION("""COMPUTED_VALUE"""),45947.66666666667)</f>
        <v>45947.66667</v>
      </c>
      <c r="B1099" s="1">
        <f>IFERROR(__xludf.DUMMYFUNCTION("""COMPUTED_VALUE"""),250.76)</f>
        <v>250.76</v>
      </c>
      <c r="C1099" s="1">
        <f>IFERROR(__xludf.DUMMYFUNCTION("""COMPUTED_VALUE"""),254.22)</f>
        <v>254.22</v>
      </c>
      <c r="D1099" s="1">
        <f>IFERROR(__xludf.DUMMYFUNCTION("""COMPUTED_VALUE"""),247.81)</f>
        <v>247.81</v>
      </c>
      <c r="E1099" s="1">
        <f>IFERROR(__xludf.DUMMYFUNCTION("""COMPUTED_VALUE"""),253.3)</f>
        <v>253.3</v>
      </c>
      <c r="F1099" s="1">
        <f>IFERROR(__xludf.DUMMYFUNCTION("""COMPUTED_VALUE"""),2.9671629E7)</f>
        <v>29671629</v>
      </c>
    </row>
    <row r="1100">
      <c r="A1100" s="2">
        <f>IFERROR(__xludf.DUMMYFUNCTION("""COMPUTED_VALUE"""),45950.66666666667)</f>
        <v>45950.66667</v>
      </c>
      <c r="B1100" s="1">
        <f>IFERROR(__xludf.DUMMYFUNCTION("""COMPUTED_VALUE"""),254.69)</f>
        <v>254.69</v>
      </c>
      <c r="C1100" s="1">
        <f>IFERROR(__xludf.DUMMYFUNCTION("""COMPUTED_VALUE"""),257.33)</f>
        <v>257.33</v>
      </c>
      <c r="D1100" s="1">
        <f>IFERROR(__xludf.DUMMYFUNCTION("""COMPUTED_VALUE"""),254.23)</f>
        <v>254.23</v>
      </c>
      <c r="E1100" s="1">
        <f>IFERROR(__xludf.DUMMYFUNCTION("""COMPUTED_VALUE"""),256.55)</f>
        <v>256.55</v>
      </c>
      <c r="F1100" s="1">
        <f>IFERROR(__xludf.DUMMYFUNCTION("""COMPUTED_VALUE"""),2.2350155E7)</f>
        <v>22350155</v>
      </c>
    </row>
    <row r="1101">
      <c r="A1101" s="2">
        <f>IFERROR(__xludf.DUMMYFUNCTION("""COMPUTED_VALUE"""),45951.66666666667)</f>
        <v>45951.66667</v>
      </c>
      <c r="B1101" s="1">
        <f>IFERROR(__xludf.DUMMYFUNCTION("""COMPUTED_VALUE"""),254.74)</f>
        <v>254.74</v>
      </c>
      <c r="C1101" s="1">
        <f>IFERROR(__xludf.DUMMYFUNCTION("""COMPUTED_VALUE"""),254.88)</f>
        <v>254.88</v>
      </c>
      <c r="D1101" s="1">
        <f>IFERROR(__xludf.DUMMYFUNCTION("""COMPUTED_VALUE"""),244.15)</f>
        <v>244.15</v>
      </c>
      <c r="E1101" s="1">
        <f>IFERROR(__xludf.DUMMYFUNCTION("""COMPUTED_VALUE"""),250.46)</f>
        <v>250.46</v>
      </c>
      <c r="F1101" s="1">
        <f>IFERROR(__xludf.DUMMYFUNCTION("""COMPUTED_VALUE"""),4.7312098E7)</f>
        <v>47312098</v>
      </c>
    </row>
    <row r="1102">
      <c r="A1102" s="2">
        <f>IFERROR(__xludf.DUMMYFUNCTION("""COMPUTED_VALUE"""),45952.66666666667)</f>
        <v>45952.66667</v>
      </c>
      <c r="B1102" s="1">
        <f>IFERROR(__xludf.DUMMYFUNCTION("""COMPUTED_VALUE"""),254.37)</f>
        <v>254.37</v>
      </c>
      <c r="C1102" s="1">
        <f>IFERROR(__xludf.DUMMYFUNCTION("""COMPUTED_VALUE"""),256.36)</f>
        <v>256.36</v>
      </c>
      <c r="D1102" s="1">
        <f>IFERROR(__xludf.DUMMYFUNCTION("""COMPUTED_VALUE"""),249.29)</f>
        <v>249.29</v>
      </c>
      <c r="E1102" s="1">
        <f>IFERROR(__xludf.DUMMYFUNCTION("""COMPUTED_VALUE"""),251.69)</f>
        <v>251.69</v>
      </c>
      <c r="F1102" s="1">
        <f>IFERROR(__xludf.DUMMYFUNCTION("""COMPUTED_VALUE"""),3.502937E7)</f>
        <v>35029370</v>
      </c>
    </row>
    <row r="1103">
      <c r="A1103" s="2">
        <f>IFERROR(__xludf.DUMMYFUNCTION("""COMPUTED_VALUE"""),45953.66666666667)</f>
        <v>45953.66667</v>
      </c>
      <c r="B1103" s="1">
        <f>IFERROR(__xludf.DUMMYFUNCTION("""COMPUTED_VALUE"""),252.98)</f>
        <v>252.98</v>
      </c>
      <c r="C1103" s="1">
        <f>IFERROR(__xludf.DUMMYFUNCTION("""COMPUTED_VALUE"""),255.04)</f>
        <v>255.04</v>
      </c>
      <c r="D1103" s="1">
        <f>IFERROR(__xludf.DUMMYFUNCTION("""COMPUTED_VALUE"""),251.85)</f>
        <v>251.85</v>
      </c>
      <c r="E1103" s="1">
        <f>IFERROR(__xludf.DUMMYFUNCTION("""COMPUTED_VALUE"""),253.08)</f>
        <v>253.08</v>
      </c>
      <c r="F1103" s="1">
        <f>IFERROR(__xludf.DUMMYFUNCTION("""COMPUTED_VALUE"""),1.9901425E7)</f>
        <v>19901425</v>
      </c>
    </row>
    <row r="1104">
      <c r="A1104" s="2">
        <f>IFERROR(__xludf.DUMMYFUNCTION("""COMPUTED_VALUE"""),45954.66666666667)</f>
        <v>45954.66667</v>
      </c>
      <c r="B1104" s="1">
        <f>IFERROR(__xludf.DUMMYFUNCTION("""COMPUTED_VALUE"""),256.58)</f>
        <v>256.58</v>
      </c>
      <c r="C1104" s="1">
        <f>IFERROR(__xludf.DUMMYFUNCTION("""COMPUTED_VALUE"""),261.68)</f>
        <v>261.68</v>
      </c>
      <c r="D1104" s="1">
        <f>IFERROR(__xludf.DUMMYFUNCTION("""COMPUTED_VALUE"""),255.32)</f>
        <v>255.32</v>
      </c>
      <c r="E1104" s="1">
        <f>IFERROR(__xludf.DUMMYFUNCTION("""COMPUTED_VALUE"""),259.92)</f>
        <v>259.92</v>
      </c>
      <c r="F1104" s="1">
        <f>IFERROR(__xludf.DUMMYFUNCTION("""COMPUTED_VALUE"""),2.8655126E7)</f>
        <v>28655126</v>
      </c>
    </row>
    <row r="1105">
      <c r="A1105" s="2">
        <f>IFERROR(__xludf.DUMMYFUNCTION("""COMPUTED_VALUE"""),45957.66666666667)</f>
        <v>45957.66667</v>
      </c>
      <c r="B1105" s="1">
        <f>IFERROR(__xludf.DUMMYFUNCTION("""COMPUTED_VALUE"""),264.82)</f>
        <v>264.82</v>
      </c>
      <c r="C1105" s="1">
        <f>IFERROR(__xludf.DUMMYFUNCTION("""COMPUTED_VALUE"""),270.14)</f>
        <v>270.14</v>
      </c>
      <c r="D1105" s="1">
        <f>IFERROR(__xludf.DUMMYFUNCTION("""COMPUTED_VALUE"""),264.28)</f>
        <v>264.28</v>
      </c>
      <c r="E1105" s="1">
        <f>IFERROR(__xludf.DUMMYFUNCTION("""COMPUTED_VALUE"""),269.27)</f>
        <v>269.27</v>
      </c>
      <c r="F1105" s="1">
        <f>IFERROR(__xludf.DUMMYFUNCTION("""COMPUTED_VALUE"""),3.5235231E7)</f>
        <v>35235231</v>
      </c>
    </row>
    <row r="1106">
      <c r="A1106" s="2">
        <f>IFERROR(__xludf.DUMMYFUNCTION("""COMPUTED_VALUE"""),45958.66666666667)</f>
        <v>45958.66667</v>
      </c>
      <c r="B1106" s="1">
        <f>IFERROR(__xludf.DUMMYFUNCTION("""COMPUTED_VALUE"""),269.69)</f>
        <v>269.69</v>
      </c>
      <c r="C1106" s="1">
        <f>IFERROR(__xludf.DUMMYFUNCTION("""COMPUTED_VALUE"""),270.73)</f>
        <v>270.73</v>
      </c>
      <c r="D1106" s="1">
        <f>IFERROR(__xludf.DUMMYFUNCTION("""COMPUTED_VALUE"""),266.5)</f>
        <v>266.5</v>
      </c>
      <c r="E1106" s="1">
        <f>IFERROR(__xludf.DUMMYFUNCTION("""COMPUTED_VALUE"""),267.47)</f>
        <v>267.47</v>
      </c>
      <c r="F1106" s="1">
        <f>IFERROR(__xludf.DUMMYFUNCTION("""COMPUTED_VALUE"""),2.9738564E7)</f>
        <v>29738564</v>
      </c>
    </row>
    <row r="1107">
      <c r="A1107" s="2">
        <f>IFERROR(__xludf.DUMMYFUNCTION("""COMPUTED_VALUE"""),45959.66666666667)</f>
        <v>45959.66667</v>
      </c>
      <c r="B1107" s="1">
        <f>IFERROR(__xludf.DUMMYFUNCTION("""COMPUTED_VALUE"""),267.75)</f>
        <v>267.75</v>
      </c>
      <c r="C1107" s="1">
        <f>IFERROR(__xludf.DUMMYFUNCTION("""COMPUTED_VALUE"""),275.34)</f>
        <v>275.34</v>
      </c>
      <c r="D1107" s="1">
        <f>IFERROR(__xludf.DUMMYFUNCTION("""COMPUTED_VALUE"""),267.67)</f>
        <v>267.67</v>
      </c>
      <c r="E1107" s="1">
        <f>IFERROR(__xludf.DUMMYFUNCTION("""COMPUTED_VALUE"""),274.57)</f>
        <v>274.57</v>
      </c>
      <c r="F1107" s="1">
        <f>IFERROR(__xludf.DUMMYFUNCTION("""COMPUTED_VALUE"""),4.3580277E7)</f>
        <v>43580277</v>
      </c>
    </row>
    <row r="1108">
      <c r="A1108" s="2">
        <f>IFERROR(__xludf.DUMMYFUNCTION("""COMPUTED_VALUE"""),45960.66666666667)</f>
        <v>45960.66667</v>
      </c>
      <c r="B1108" s="1">
        <f>IFERROR(__xludf.DUMMYFUNCTION("""COMPUTED_VALUE"""),291.59)</f>
        <v>291.59</v>
      </c>
      <c r="C1108" s="1">
        <f>IFERROR(__xludf.DUMMYFUNCTION("""COMPUTED_VALUE"""),291.59)</f>
        <v>291.59</v>
      </c>
      <c r="D1108" s="1">
        <f>IFERROR(__xludf.DUMMYFUNCTION("""COMPUTED_VALUE"""),280.06)</f>
        <v>280.06</v>
      </c>
      <c r="E1108" s="1">
        <f>IFERROR(__xludf.DUMMYFUNCTION("""COMPUTED_VALUE"""),281.48)</f>
        <v>281.48</v>
      </c>
      <c r="F1108" s="1">
        <f>IFERROR(__xludf.DUMMYFUNCTION("""COMPUTED_VALUE"""),7.487599E7)</f>
        <v>74875990</v>
      </c>
    </row>
    <row r="1109">
      <c r="A1109" s="2">
        <f>IFERROR(__xludf.DUMMYFUNCTION("""COMPUTED_VALUE"""),45961.66666666667)</f>
        <v>45961.66667</v>
      </c>
      <c r="B1109" s="1">
        <f>IFERROR(__xludf.DUMMYFUNCTION("""COMPUTED_VALUE"""),283.21)</f>
        <v>283.21</v>
      </c>
      <c r="C1109" s="1">
        <f>IFERROR(__xludf.DUMMYFUNCTION("""COMPUTED_VALUE"""),286.0)</f>
        <v>286</v>
      </c>
      <c r="D1109" s="1">
        <f>IFERROR(__xludf.DUMMYFUNCTION("""COMPUTED_VALUE"""),277.03)</f>
        <v>277.03</v>
      </c>
      <c r="E1109" s="1">
        <f>IFERROR(__xludf.DUMMYFUNCTION("""COMPUTED_VALUE"""),281.19)</f>
        <v>281.19</v>
      </c>
      <c r="F1109" s="1">
        <f>IFERROR(__xludf.DUMMYFUNCTION("""COMPUTED_VALUE"""),3.9267945E7)</f>
        <v>39267945</v>
      </c>
    </row>
    <row r="1110">
      <c r="A1110" s="2">
        <f>IFERROR(__xludf.DUMMYFUNCTION("""COMPUTED_VALUE"""),45964.66666666667)</f>
        <v>45964.66667</v>
      </c>
      <c r="B1110" s="1">
        <f>IFERROR(__xludf.DUMMYFUNCTION("""COMPUTED_VALUE"""),282.18)</f>
        <v>282.18</v>
      </c>
      <c r="C1110" s="1">
        <f>IFERROR(__xludf.DUMMYFUNCTION("""COMPUTED_VALUE"""),285.53)</f>
        <v>285.53</v>
      </c>
      <c r="D1110" s="1">
        <f>IFERROR(__xludf.DUMMYFUNCTION("""COMPUTED_VALUE"""),279.8)</f>
        <v>279.8</v>
      </c>
      <c r="E1110" s="1">
        <f>IFERROR(__xludf.DUMMYFUNCTION("""COMPUTED_VALUE"""),283.72)</f>
        <v>283.72</v>
      </c>
      <c r="F1110" s="1">
        <f>IFERROR(__xludf.DUMMYFUNCTION("""COMPUTED_VALUE"""),2.9785996E7)</f>
        <v>29785996</v>
      </c>
    </row>
    <row r="1111">
      <c r="A1111" s="2">
        <f>IFERROR(__xludf.DUMMYFUNCTION("""COMPUTED_VALUE"""),45965.66666666667)</f>
        <v>45965.66667</v>
      </c>
      <c r="B1111" s="1">
        <f>IFERROR(__xludf.DUMMYFUNCTION("""COMPUTED_VALUE"""),276.75)</f>
        <v>276.75</v>
      </c>
      <c r="C1111" s="1">
        <f>IFERROR(__xludf.DUMMYFUNCTION("""COMPUTED_VALUE"""),281.27)</f>
        <v>281.27</v>
      </c>
      <c r="D1111" s="1">
        <f>IFERROR(__xludf.DUMMYFUNCTION("""COMPUTED_VALUE"""),276.26)</f>
        <v>276.26</v>
      </c>
      <c r="E1111" s="1">
        <f>IFERROR(__xludf.DUMMYFUNCTION("""COMPUTED_VALUE"""),277.54)</f>
        <v>277.54</v>
      </c>
      <c r="F1111" s="1">
        <f>IFERROR(__xludf.DUMMYFUNCTION("""COMPUTED_VALUE"""),3.0078369E7)</f>
        <v>30078369</v>
      </c>
    </row>
    <row r="1112">
      <c r="A1112" s="2">
        <f>IFERROR(__xludf.DUMMYFUNCTION("""COMPUTED_VALUE"""),45966.66666666667)</f>
        <v>45966.66667</v>
      </c>
      <c r="B1112" s="1">
        <f>IFERROR(__xludf.DUMMYFUNCTION("""COMPUTED_VALUE"""),278.87)</f>
        <v>278.87</v>
      </c>
      <c r="C1112" s="1">
        <f>IFERROR(__xludf.DUMMYFUNCTION("""COMPUTED_VALUE"""),286.42)</f>
        <v>286.42</v>
      </c>
      <c r="D1112" s="1">
        <f>IFERROR(__xludf.DUMMYFUNCTION("""COMPUTED_VALUE"""),277.34)</f>
        <v>277.34</v>
      </c>
      <c r="E1112" s="1">
        <f>IFERROR(__xludf.DUMMYFUNCTION("""COMPUTED_VALUE"""),284.31)</f>
        <v>284.31</v>
      </c>
      <c r="F1112" s="1">
        <f>IFERROR(__xludf.DUMMYFUNCTION("""COMPUTED_VALUE"""),3.1010302E7)</f>
        <v>31010302</v>
      </c>
    </row>
    <row r="1113">
      <c r="A1113" s="2">
        <f>IFERROR(__xludf.DUMMYFUNCTION("""COMPUTED_VALUE"""),45967.66666666667)</f>
        <v>45967.66667</v>
      </c>
      <c r="B1113" s="1">
        <f>IFERROR(__xludf.DUMMYFUNCTION("""COMPUTED_VALUE"""),285.33)</f>
        <v>285.33</v>
      </c>
      <c r="C1113" s="1">
        <f>IFERROR(__xludf.DUMMYFUNCTION("""COMPUTED_VALUE"""),288.35)</f>
        <v>288.35</v>
      </c>
      <c r="D1113" s="1">
        <f>IFERROR(__xludf.DUMMYFUNCTION("""COMPUTED_VALUE"""),281.14)</f>
        <v>281.14</v>
      </c>
      <c r="E1113" s="1">
        <f>IFERROR(__xludf.DUMMYFUNCTION("""COMPUTED_VALUE"""),284.75)</f>
        <v>284.75</v>
      </c>
      <c r="F1113" s="1">
        <f>IFERROR(__xludf.DUMMYFUNCTION("""COMPUTED_VALUE"""),3.7173648E7)</f>
        <v>37173648</v>
      </c>
    </row>
    <row r="1114">
      <c r="A1114" s="2">
        <f>IFERROR(__xludf.DUMMYFUNCTION("""COMPUTED_VALUE"""),45968.66666666667)</f>
        <v>45968.66667</v>
      </c>
      <c r="B1114" s="1">
        <f>IFERROR(__xludf.DUMMYFUNCTION("""COMPUTED_VALUE"""),283.21)</f>
        <v>283.21</v>
      </c>
      <c r="C1114" s="1">
        <f>IFERROR(__xludf.DUMMYFUNCTION("""COMPUTED_VALUE"""),283.78)</f>
        <v>283.78</v>
      </c>
      <c r="D1114" s="1">
        <f>IFERROR(__xludf.DUMMYFUNCTION("""COMPUTED_VALUE"""),275.19)</f>
        <v>275.19</v>
      </c>
      <c r="E1114" s="1">
        <f>IFERROR(__xludf.DUMMYFUNCTION("""COMPUTED_VALUE"""),278.83)</f>
        <v>278.83</v>
      </c>
      <c r="F1114" s="1">
        <f>IFERROR(__xludf.DUMMYFUNCTION("""COMPUTED_VALUE"""),3.4479588E7)</f>
        <v>34479588</v>
      </c>
    </row>
    <row r="1115">
      <c r="A1115" s="2">
        <f>IFERROR(__xludf.DUMMYFUNCTION("""COMPUTED_VALUE"""),45971.66666666667)</f>
        <v>45971.66667</v>
      </c>
      <c r="B1115" s="1">
        <f>IFERROR(__xludf.DUMMYFUNCTION("""COMPUTED_VALUE"""),284.42)</f>
        <v>284.42</v>
      </c>
      <c r="C1115" s="1">
        <f>IFERROR(__xludf.DUMMYFUNCTION("""COMPUTED_VALUE"""),290.8)</f>
        <v>290.8</v>
      </c>
      <c r="D1115" s="1">
        <f>IFERROR(__xludf.DUMMYFUNCTION("""COMPUTED_VALUE"""),282.86)</f>
        <v>282.86</v>
      </c>
      <c r="E1115" s="1">
        <f>IFERROR(__xludf.DUMMYFUNCTION("""COMPUTED_VALUE"""),290.1)</f>
        <v>290.1</v>
      </c>
      <c r="F1115" s="1">
        <f>IFERROR(__xludf.DUMMYFUNCTION("""COMPUTED_VALUE"""),2.9557309E7)</f>
        <v>29557309</v>
      </c>
    </row>
    <row r="1116">
      <c r="A1116" s="2">
        <f>IFERROR(__xludf.DUMMYFUNCTION("""COMPUTED_VALUE"""),45972.66666666667)</f>
        <v>45972.66667</v>
      </c>
      <c r="B1116" s="1">
        <f>IFERROR(__xludf.DUMMYFUNCTION("""COMPUTED_VALUE"""),287.75)</f>
        <v>287.75</v>
      </c>
      <c r="C1116" s="1">
        <f>IFERROR(__xludf.DUMMYFUNCTION("""COMPUTED_VALUE"""),291.92)</f>
        <v>291.92</v>
      </c>
      <c r="D1116" s="1">
        <f>IFERROR(__xludf.DUMMYFUNCTION("""COMPUTED_VALUE"""),287.32)</f>
        <v>287.32</v>
      </c>
      <c r="E1116" s="1">
        <f>IFERROR(__xludf.DUMMYFUNCTION("""COMPUTED_VALUE"""),291.31)</f>
        <v>291.31</v>
      </c>
      <c r="F1116" s="1">
        <f>IFERROR(__xludf.DUMMYFUNCTION("""COMPUTED_VALUE"""),1.9842136E7)</f>
        <v>19842136</v>
      </c>
    </row>
    <row r="1117">
      <c r="A1117" s="2">
        <f>IFERROR(__xludf.DUMMYFUNCTION("""COMPUTED_VALUE"""),45973.66666666667)</f>
        <v>45973.66667</v>
      </c>
      <c r="B1117" s="1">
        <f>IFERROR(__xludf.DUMMYFUNCTION("""COMPUTED_VALUE"""),291.68)</f>
        <v>291.68</v>
      </c>
      <c r="C1117" s="1">
        <f>IFERROR(__xludf.DUMMYFUNCTION("""COMPUTED_VALUE"""),292.01)</f>
        <v>292.01</v>
      </c>
      <c r="D1117" s="1">
        <f>IFERROR(__xludf.DUMMYFUNCTION("""COMPUTED_VALUE"""),283.69)</f>
        <v>283.69</v>
      </c>
      <c r="E1117" s="1">
        <f>IFERROR(__xludf.DUMMYFUNCTION("""COMPUTED_VALUE"""),286.71)</f>
        <v>286.71</v>
      </c>
      <c r="F1117" s="1">
        <f>IFERROR(__xludf.DUMMYFUNCTION("""COMPUTED_VALUE"""),2.4829923E7)</f>
        <v>24829923</v>
      </c>
    </row>
    <row r="1118">
      <c r="A1118" s="2">
        <f>IFERROR(__xludf.DUMMYFUNCTION("""COMPUTED_VALUE"""),45974.66666666667)</f>
        <v>45974.66667</v>
      </c>
      <c r="B1118" s="1">
        <f>IFERROR(__xludf.DUMMYFUNCTION("""COMPUTED_VALUE"""),282.34)</f>
        <v>282.34</v>
      </c>
      <c r="C1118" s="1">
        <f>IFERROR(__xludf.DUMMYFUNCTION("""COMPUTED_VALUE"""),282.84)</f>
        <v>282.84</v>
      </c>
      <c r="D1118" s="1">
        <f>IFERROR(__xludf.DUMMYFUNCTION("""COMPUTED_VALUE"""),277.24)</f>
        <v>277.24</v>
      </c>
      <c r="E1118" s="1">
        <f>IFERROR(__xludf.DUMMYFUNCTION("""COMPUTED_VALUE"""),278.57)</f>
        <v>278.57</v>
      </c>
      <c r="F1118" s="1">
        <f>IFERROR(__xludf.DUMMYFUNCTION("""COMPUTED_VALUE"""),2.949404E7)</f>
        <v>29494040</v>
      </c>
    </row>
    <row r="1119">
      <c r="A1119" s="2">
        <f>IFERROR(__xludf.DUMMYFUNCTION("""COMPUTED_VALUE"""),45975.66666666667)</f>
        <v>45975.66667</v>
      </c>
      <c r="B1119" s="1">
        <f>IFERROR(__xludf.DUMMYFUNCTION("""COMPUTED_VALUE"""),271.4)</f>
        <v>271.4</v>
      </c>
      <c r="C1119" s="1">
        <f>IFERROR(__xludf.DUMMYFUNCTION("""COMPUTED_VALUE"""),278.56)</f>
        <v>278.56</v>
      </c>
      <c r="D1119" s="1">
        <f>IFERROR(__xludf.DUMMYFUNCTION("""COMPUTED_VALUE"""),270.7)</f>
        <v>270.7</v>
      </c>
      <c r="E1119" s="1">
        <f>IFERROR(__xludf.DUMMYFUNCTION("""COMPUTED_VALUE"""),276.41)</f>
        <v>276.41</v>
      </c>
      <c r="F1119" s="1">
        <f>IFERROR(__xludf.DUMMYFUNCTION("""COMPUTED_VALUE"""),3.1647227E7)</f>
        <v>31647227</v>
      </c>
    </row>
    <row r="1120">
      <c r="A1120" s="2">
        <f>IFERROR(__xludf.DUMMYFUNCTION("""COMPUTED_VALUE"""),45978.66666666667)</f>
        <v>45978.66667</v>
      </c>
      <c r="B1120" s="1">
        <f>IFERROR(__xludf.DUMMYFUNCTION("""COMPUTED_VALUE"""),285.77)</f>
        <v>285.77</v>
      </c>
      <c r="C1120" s="1">
        <f>IFERROR(__xludf.DUMMYFUNCTION("""COMPUTED_VALUE"""),293.95)</f>
        <v>293.95</v>
      </c>
      <c r="D1120" s="1">
        <f>IFERROR(__xludf.DUMMYFUNCTION("""COMPUTED_VALUE"""),283.57)</f>
        <v>283.57</v>
      </c>
      <c r="E1120" s="1">
        <f>IFERROR(__xludf.DUMMYFUNCTION("""COMPUTED_VALUE"""),285.02)</f>
        <v>285.02</v>
      </c>
      <c r="F1120" s="1">
        <f>IFERROR(__xludf.DUMMYFUNCTION("""COMPUTED_VALUE"""),5.2670192E7)</f>
        <v>52670192</v>
      </c>
    </row>
    <row r="1121">
      <c r="A1121" s="2">
        <f>IFERROR(__xludf.DUMMYFUNCTION("""COMPUTED_VALUE"""),45979.66666666667)</f>
        <v>45979.66667</v>
      </c>
      <c r="B1121" s="1">
        <f>IFERROR(__xludf.DUMMYFUNCTION("""COMPUTED_VALUE"""),287.92)</f>
        <v>287.92</v>
      </c>
      <c r="C1121" s="1">
        <f>IFERROR(__xludf.DUMMYFUNCTION("""COMPUTED_VALUE"""),288.8)</f>
        <v>288.8</v>
      </c>
      <c r="D1121" s="1">
        <f>IFERROR(__xludf.DUMMYFUNCTION("""COMPUTED_VALUE"""),278.2)</f>
        <v>278.2</v>
      </c>
      <c r="E1121" s="1">
        <f>IFERROR(__xludf.DUMMYFUNCTION("""COMPUTED_VALUE"""),284.28)</f>
        <v>284.28</v>
      </c>
      <c r="F1121" s="1">
        <f>IFERROR(__xludf.DUMMYFUNCTION("""COMPUTED_VALUE"""),4.9158743E7)</f>
        <v>49158743</v>
      </c>
    </row>
    <row r="1122">
      <c r="A1122" s="2">
        <f>IFERROR(__xludf.DUMMYFUNCTION("""COMPUTED_VALUE"""),45980.66666666667)</f>
        <v>45980.66667</v>
      </c>
      <c r="B1122" s="1">
        <f>IFERROR(__xludf.DUMMYFUNCTION("""COMPUTED_VALUE"""),287.16)</f>
        <v>287.16</v>
      </c>
      <c r="C1122" s="1">
        <f>IFERROR(__xludf.DUMMYFUNCTION("""COMPUTED_VALUE"""),303.81)</f>
        <v>303.81</v>
      </c>
      <c r="D1122" s="1">
        <f>IFERROR(__xludf.DUMMYFUNCTION("""COMPUTED_VALUE"""),286.63)</f>
        <v>286.63</v>
      </c>
      <c r="E1122" s="1">
        <f>IFERROR(__xludf.DUMMYFUNCTION("""COMPUTED_VALUE"""),292.81)</f>
        <v>292.81</v>
      </c>
      <c r="F1122" s="1">
        <f>IFERROR(__xludf.DUMMYFUNCTION("""COMPUTED_VALUE"""),6.8198944E7)</f>
        <v>68198944</v>
      </c>
    </row>
    <row r="1123">
      <c r="A1123" s="2">
        <f>IFERROR(__xludf.DUMMYFUNCTION("""COMPUTED_VALUE"""),45981.66666666667)</f>
        <v>45981.66667</v>
      </c>
      <c r="B1123" s="1">
        <f>IFERROR(__xludf.DUMMYFUNCTION("""COMPUTED_VALUE"""),304.54)</f>
        <v>304.54</v>
      </c>
      <c r="C1123" s="1">
        <f>IFERROR(__xludf.DUMMYFUNCTION("""COMPUTED_VALUE"""),306.42)</f>
        <v>306.42</v>
      </c>
      <c r="D1123" s="1">
        <f>IFERROR(__xludf.DUMMYFUNCTION("""COMPUTED_VALUE"""),288.67)</f>
        <v>288.67</v>
      </c>
      <c r="E1123" s="1">
        <f>IFERROR(__xludf.DUMMYFUNCTION("""COMPUTED_VALUE"""),289.45)</f>
        <v>289.45</v>
      </c>
      <c r="F1123" s="1">
        <f>IFERROR(__xludf.DUMMYFUNCTION("""COMPUTED_VALUE"""),6.2025218E7)</f>
        <v>62025218</v>
      </c>
    </row>
    <row r="1124">
      <c r="A1124" s="2">
        <f>IFERROR(__xludf.DUMMYFUNCTION("""COMPUTED_VALUE"""),45982.66666666667)</f>
        <v>45982.66667</v>
      </c>
      <c r="B1124" s="1">
        <f>IFERROR(__xludf.DUMMYFUNCTION("""COMPUTED_VALUE"""),296.42)</f>
        <v>296.42</v>
      </c>
      <c r="C1124" s="1">
        <f>IFERROR(__xludf.DUMMYFUNCTION("""COMPUTED_VALUE"""),303.92)</f>
        <v>303.92</v>
      </c>
      <c r="D1124" s="1">
        <f>IFERROR(__xludf.DUMMYFUNCTION("""COMPUTED_VALUE"""),293.85)</f>
        <v>293.85</v>
      </c>
      <c r="E1124" s="1">
        <f>IFERROR(__xludf.DUMMYFUNCTION("""COMPUTED_VALUE"""),299.66)</f>
        <v>299.66</v>
      </c>
      <c r="F1124" s="1">
        <f>IFERROR(__xludf.DUMMYFUNCTION("""COMPUTED_VALUE"""),7.4137697E7)</f>
        <v>74137697</v>
      </c>
    </row>
    <row r="1125">
      <c r="A1125" s="2">
        <f>IFERROR(__xludf.DUMMYFUNCTION("""COMPUTED_VALUE"""),45985.66666666667)</f>
        <v>45985.66667</v>
      </c>
      <c r="B1125" s="1">
        <f>IFERROR(__xludf.DUMMYFUNCTION("""COMPUTED_VALUE"""),311.13)</f>
        <v>311.13</v>
      </c>
      <c r="C1125" s="1">
        <f>IFERROR(__xludf.DUMMYFUNCTION("""COMPUTED_VALUE"""),319.48)</f>
        <v>319.48</v>
      </c>
      <c r="D1125" s="1">
        <f>IFERROR(__xludf.DUMMYFUNCTION("""COMPUTED_VALUE"""),309.6)</f>
        <v>309.6</v>
      </c>
      <c r="E1125" s="1">
        <f>IFERROR(__xludf.DUMMYFUNCTION("""COMPUTED_VALUE"""),318.58)</f>
        <v>318.58</v>
      </c>
      <c r="F1125" s="1">
        <f>IFERROR(__xludf.DUMMYFUNCTION("""COMPUTED_VALUE"""),8.5165123E7)</f>
        <v>85165123</v>
      </c>
    </row>
    <row r="1126">
      <c r="A1126" s="2">
        <f>IFERROR(__xludf.DUMMYFUNCTION("""COMPUTED_VALUE"""),45986.66666666667)</f>
        <v>45986.66667</v>
      </c>
      <c r="B1126" s="1">
        <f>IFERROR(__xludf.DUMMYFUNCTION("""COMPUTED_VALUE"""),326.21)</f>
        <v>326.21</v>
      </c>
      <c r="C1126" s="1">
        <f>IFERROR(__xludf.DUMMYFUNCTION("""COMPUTED_VALUE"""),328.83)</f>
        <v>328.83</v>
      </c>
      <c r="D1126" s="1">
        <f>IFERROR(__xludf.DUMMYFUNCTION("""COMPUTED_VALUE"""),317.65)</f>
        <v>317.65</v>
      </c>
      <c r="E1126" s="1">
        <f>IFERROR(__xludf.DUMMYFUNCTION("""COMPUTED_VALUE"""),323.44)</f>
        <v>323.44</v>
      </c>
      <c r="F1126" s="1">
        <f>IFERROR(__xludf.DUMMYFUNCTION("""COMPUTED_VALUE"""),8.8632074E7)</f>
        <v>88632074</v>
      </c>
    </row>
    <row r="1127">
      <c r="A1127" s="2">
        <f>IFERROR(__xludf.DUMMYFUNCTION("""COMPUTED_VALUE"""),45987.66666666667)</f>
        <v>45987.66667</v>
      </c>
      <c r="B1127" s="1">
        <f>IFERROR(__xludf.DUMMYFUNCTION("""COMPUTED_VALUE"""),320.68)</f>
        <v>320.68</v>
      </c>
      <c r="C1127" s="1">
        <f>IFERROR(__xludf.DUMMYFUNCTION("""COMPUTED_VALUE"""),324.5)</f>
        <v>324.5</v>
      </c>
      <c r="D1127" s="1">
        <f>IFERROR(__xludf.DUMMYFUNCTION("""COMPUTED_VALUE"""),316.79)</f>
        <v>316.79</v>
      </c>
      <c r="E1127" s="1">
        <f>IFERROR(__xludf.DUMMYFUNCTION("""COMPUTED_VALUE"""),319.95)</f>
        <v>319.95</v>
      </c>
      <c r="F1127" s="1">
        <f>IFERROR(__xludf.DUMMYFUNCTION("""COMPUTED_VALUE"""),5.1373361E7)</f>
        <v>51373361</v>
      </c>
    </row>
    <row r="1128">
      <c r="A1128" s="2">
        <f>IFERROR(__xludf.DUMMYFUNCTION("""COMPUTED_VALUE"""),45989.54513888889)</f>
        <v>45989.54514</v>
      </c>
      <c r="B1128" s="1">
        <f>IFERROR(__xludf.DUMMYFUNCTION("""COMPUTED_VALUE"""),323.37)</f>
        <v>323.37</v>
      </c>
      <c r="C1128" s="1">
        <f>IFERROR(__xludf.DUMMYFUNCTION("""COMPUTED_VALUE"""),326.85)</f>
        <v>326.85</v>
      </c>
      <c r="D1128" s="1">
        <f>IFERROR(__xludf.DUMMYFUNCTION("""COMPUTED_VALUE"""),316.79)</f>
        <v>316.79</v>
      </c>
      <c r="E1128" s="1">
        <f>IFERROR(__xludf.DUMMYFUNCTION("""COMPUTED_VALUE"""),320.18)</f>
        <v>320.18</v>
      </c>
      <c r="F1128" s="1">
        <f>IFERROR(__xludf.DUMMYFUNCTION("""COMPUTED_VALUE"""),2.6018568E7)</f>
        <v>26018568</v>
      </c>
    </row>
    <row r="1129">
      <c r="A1129" s="2">
        <f>IFERROR(__xludf.DUMMYFUNCTION("""COMPUTED_VALUE"""),45992.66666666667)</f>
        <v>45992.66667</v>
      </c>
      <c r="B1129" s="1">
        <f>IFERROR(__xludf.DUMMYFUNCTION("""COMPUTED_VALUE"""),317.7)</f>
        <v>317.7</v>
      </c>
      <c r="C1129" s="1">
        <f>IFERROR(__xludf.DUMMYFUNCTION("""COMPUTED_VALUE"""),319.85)</f>
        <v>319.85</v>
      </c>
      <c r="D1129" s="1">
        <f>IFERROR(__xludf.DUMMYFUNCTION("""COMPUTED_VALUE"""),313.89)</f>
        <v>313.89</v>
      </c>
      <c r="E1129" s="1">
        <f>IFERROR(__xludf.DUMMYFUNCTION("""COMPUTED_VALUE"""),314.89)</f>
        <v>314.89</v>
      </c>
      <c r="F1129" s="1">
        <f>IFERROR(__xludf.DUMMYFUNCTION("""COMPUTED_VALUE"""),4.1182956E7)</f>
        <v>41182956</v>
      </c>
    </row>
    <row r="1130">
      <c r="A1130" s="2">
        <f>IFERROR(__xludf.DUMMYFUNCTION("""COMPUTED_VALUE"""),45993.66666666667)</f>
        <v>45993.66667</v>
      </c>
      <c r="B1130" s="1">
        <f>IFERROR(__xludf.DUMMYFUNCTION("""COMPUTED_VALUE"""),316.74)</f>
        <v>316.74</v>
      </c>
      <c r="C1130" s="1">
        <f>IFERROR(__xludf.DUMMYFUNCTION("""COMPUTED_VALUE"""),318.38)</f>
        <v>318.38</v>
      </c>
      <c r="D1130" s="1">
        <f>IFERROR(__xludf.DUMMYFUNCTION("""COMPUTED_VALUE"""),313.91)</f>
        <v>313.91</v>
      </c>
      <c r="E1130" s="1">
        <f>IFERROR(__xludf.DUMMYFUNCTION("""COMPUTED_VALUE"""),315.81)</f>
        <v>315.81</v>
      </c>
      <c r="F1130" s="1">
        <f>IFERROR(__xludf.DUMMYFUNCTION("""COMPUTED_VALUE"""),3.5854744E7)</f>
        <v>35854744</v>
      </c>
    </row>
    <row r="1131">
      <c r="A1131" s="2">
        <f>IFERROR(__xludf.DUMMYFUNCTION("""COMPUTED_VALUE"""),45994.66666666667)</f>
        <v>45994.66667</v>
      </c>
      <c r="B1131" s="1">
        <f>IFERROR(__xludf.DUMMYFUNCTION("""COMPUTED_VALUE"""),315.89)</f>
        <v>315.89</v>
      </c>
      <c r="C1131" s="1">
        <f>IFERROR(__xludf.DUMMYFUNCTION("""COMPUTED_VALUE"""),321.58)</f>
        <v>321.58</v>
      </c>
      <c r="D1131" s="1">
        <f>IFERROR(__xludf.DUMMYFUNCTION("""COMPUTED_VALUE"""),314.1)</f>
        <v>314.1</v>
      </c>
      <c r="E1131" s="1">
        <f>IFERROR(__xludf.DUMMYFUNCTION("""COMPUTED_VALUE"""),319.63)</f>
        <v>319.63</v>
      </c>
      <c r="F1131" s="1">
        <f>IFERROR(__xludf.DUMMYFUNCTION("""COMPUTED_VALUE"""),4.1838317E7)</f>
        <v>41838317</v>
      </c>
    </row>
    <row r="1132">
      <c r="A1132" s="2">
        <f>IFERROR(__xludf.DUMMYFUNCTION("""COMPUTED_VALUE"""),45995.66666666667)</f>
        <v>45995.66667</v>
      </c>
      <c r="B1132" s="1">
        <f>IFERROR(__xludf.DUMMYFUNCTION("""COMPUTED_VALUE"""),322.23)</f>
        <v>322.23</v>
      </c>
      <c r="C1132" s="1">
        <f>IFERROR(__xludf.DUMMYFUNCTION("""COMPUTED_VALUE"""),322.36)</f>
        <v>322.36</v>
      </c>
      <c r="D1132" s="1">
        <f>IFERROR(__xludf.DUMMYFUNCTION("""COMPUTED_VALUE"""),314.7)</f>
        <v>314.7</v>
      </c>
      <c r="E1132" s="1">
        <f>IFERROR(__xludf.DUMMYFUNCTION("""COMPUTED_VALUE"""),317.62)</f>
        <v>317.62</v>
      </c>
      <c r="F1132" s="1">
        <f>IFERROR(__xludf.DUMMYFUNCTION("""COMPUTED_VALUE"""),3.1240924E7)</f>
        <v>31240924</v>
      </c>
    </row>
    <row r="1133">
      <c r="A1133" s="2">
        <f>IFERROR(__xludf.DUMMYFUNCTION("""COMPUTED_VALUE"""),45996.66666666667)</f>
        <v>45996.66667</v>
      </c>
      <c r="B1133" s="1">
        <f>IFERROR(__xludf.DUMMYFUNCTION("""COMPUTED_VALUE"""),319.49)</f>
        <v>319.49</v>
      </c>
      <c r="C1133" s="1">
        <f>IFERROR(__xludf.DUMMYFUNCTION("""COMPUTED_VALUE"""),323.16)</f>
        <v>323.16</v>
      </c>
      <c r="D1133" s="1">
        <f>IFERROR(__xludf.DUMMYFUNCTION("""COMPUTED_VALUE"""),319.17)</f>
        <v>319.17</v>
      </c>
      <c r="E1133" s="1">
        <f>IFERROR(__xludf.DUMMYFUNCTION("""COMPUTED_VALUE"""),321.27)</f>
        <v>321.27</v>
      </c>
      <c r="F1133" s="1">
        <f>IFERROR(__xludf.DUMMYFUNCTION("""COMPUTED_VALUE"""),2.8851705E7)</f>
        <v>28851705</v>
      </c>
    </row>
    <row r="1134">
      <c r="A1134" s="2">
        <f>IFERROR(__xludf.DUMMYFUNCTION("""COMPUTED_VALUE"""),45999.66666666667)</f>
        <v>45999.66667</v>
      </c>
      <c r="B1134" s="1">
        <f>IFERROR(__xludf.DUMMYFUNCTION("""COMPUTED_VALUE"""),320.05)</f>
        <v>320.05</v>
      </c>
      <c r="C1134" s="1">
        <f>IFERROR(__xludf.DUMMYFUNCTION("""COMPUTED_VALUE"""),320.44)</f>
        <v>320.44</v>
      </c>
      <c r="D1134" s="1">
        <f>IFERROR(__xludf.DUMMYFUNCTION("""COMPUTED_VALUE"""),311.22)</f>
        <v>311.22</v>
      </c>
      <c r="E1134" s="1">
        <f>IFERROR(__xludf.DUMMYFUNCTION("""COMPUTED_VALUE"""),313.72)</f>
        <v>313.72</v>
      </c>
      <c r="F1134" s="1">
        <f>IFERROR(__xludf.DUMMYFUNCTION("""COMPUTED_VALUE"""),3.3909433E7)</f>
        <v>33909433</v>
      </c>
    </row>
    <row r="1135">
      <c r="A1135" s="2">
        <f>IFERROR(__xludf.DUMMYFUNCTION("""COMPUTED_VALUE"""),46000.66666666667)</f>
        <v>46000.66667</v>
      </c>
      <c r="B1135" s="1">
        <f>IFERROR(__xludf.DUMMYFUNCTION("""COMPUTED_VALUE"""),312.37)</f>
        <v>312.37</v>
      </c>
      <c r="C1135" s="1">
        <f>IFERROR(__xludf.DUMMYFUNCTION("""COMPUTED_VALUE"""),317.99)</f>
        <v>317.99</v>
      </c>
      <c r="D1135" s="1">
        <f>IFERROR(__xludf.DUMMYFUNCTION("""COMPUTED_VALUE"""),311.9)</f>
        <v>311.9</v>
      </c>
      <c r="E1135" s="1">
        <f>IFERROR(__xludf.DUMMYFUNCTION("""COMPUTED_VALUE"""),317.08)</f>
        <v>317.08</v>
      </c>
      <c r="F1135" s="1">
        <f>IFERROR(__xludf.DUMMYFUNCTION("""COMPUTED_VALUE"""),3.0194027E7)</f>
        <v>30194027</v>
      </c>
    </row>
    <row r="1136">
      <c r="A1136" s="2">
        <f>IFERROR(__xludf.DUMMYFUNCTION("""COMPUTED_VALUE"""),46001.66666666667)</f>
        <v>46001.66667</v>
      </c>
      <c r="B1136" s="1">
        <f>IFERROR(__xludf.DUMMYFUNCTION("""COMPUTED_VALUE"""),315.83)</f>
        <v>315.83</v>
      </c>
      <c r="C1136" s="1">
        <f>IFERROR(__xludf.DUMMYFUNCTION("""COMPUTED_VALUE"""),321.31)</f>
        <v>321.31</v>
      </c>
      <c r="D1136" s="1">
        <f>IFERROR(__xludf.DUMMYFUNCTION("""COMPUTED_VALUE"""),314.68)</f>
        <v>314.68</v>
      </c>
      <c r="E1136" s="1">
        <f>IFERROR(__xludf.DUMMYFUNCTION("""COMPUTED_VALUE"""),320.21)</f>
        <v>320.21</v>
      </c>
      <c r="F1136" s="1">
        <f>IFERROR(__xludf.DUMMYFUNCTION("""COMPUTED_VALUE"""),3.3428923E7)</f>
        <v>33428923</v>
      </c>
    </row>
    <row r="1137">
      <c r="A1137" s="2">
        <f>IFERROR(__xludf.DUMMYFUNCTION("""COMPUTED_VALUE"""),46002.66666666667)</f>
        <v>46002.66667</v>
      </c>
      <c r="B1137" s="1">
        <f>IFERROR(__xludf.DUMMYFUNCTION("""COMPUTED_VALUE"""),320.08)</f>
        <v>320.08</v>
      </c>
      <c r="C1137" s="1">
        <f>IFERROR(__xludf.DUMMYFUNCTION("""COMPUTED_VALUE"""),321.12)</f>
        <v>321.12</v>
      </c>
      <c r="D1137" s="1">
        <f>IFERROR(__xludf.DUMMYFUNCTION("""COMPUTED_VALUE"""),308.6)</f>
        <v>308.6</v>
      </c>
      <c r="E1137" s="1">
        <f>IFERROR(__xludf.DUMMYFUNCTION("""COMPUTED_VALUE"""),312.43)</f>
        <v>312.43</v>
      </c>
      <c r="F1137" s="1">
        <f>IFERROR(__xludf.DUMMYFUNCTION("""COMPUTED_VALUE"""),4.2353697E7)</f>
        <v>42353697</v>
      </c>
    </row>
    <row r="1138">
      <c r="A1138" s="2">
        <f>IFERROR(__xludf.DUMMYFUNCTION("""COMPUTED_VALUE"""),46003.66666666667)</f>
        <v>46003.66667</v>
      </c>
      <c r="B1138" s="1">
        <f>IFERROR(__xludf.DUMMYFUNCTION("""COMPUTED_VALUE"""),313.7)</f>
        <v>313.7</v>
      </c>
      <c r="C1138" s="1">
        <f>IFERROR(__xludf.DUMMYFUNCTION("""COMPUTED_VALUE"""),314.87)</f>
        <v>314.87</v>
      </c>
      <c r="D1138" s="1">
        <f>IFERROR(__xludf.DUMMYFUNCTION("""COMPUTED_VALUE"""),305.56)</f>
        <v>305.56</v>
      </c>
      <c r="E1138" s="1">
        <f>IFERROR(__xludf.DUMMYFUNCTION("""COMPUTED_VALUE"""),309.29)</f>
        <v>309.29</v>
      </c>
      <c r="F1138" s="1">
        <f>IFERROR(__xludf.DUMMYFUNCTION("""COMPUTED_VALUE"""),3.594017E7)</f>
        <v>35940170</v>
      </c>
    </row>
    <row r="1139">
      <c r="A1139" s="2">
        <f>IFERROR(__xludf.DUMMYFUNCTION("""COMPUTED_VALUE"""),46006.66666666667)</f>
        <v>46006.66667</v>
      </c>
      <c r="B1139" s="1">
        <f>IFERROR(__xludf.DUMMYFUNCTION("""COMPUTED_VALUE"""),311.32)</f>
        <v>311.32</v>
      </c>
      <c r="C1139" s="1">
        <f>IFERROR(__xludf.DUMMYFUNCTION("""COMPUTED_VALUE"""),311.42)</f>
        <v>311.42</v>
      </c>
      <c r="D1139" s="1">
        <f>IFERROR(__xludf.DUMMYFUNCTION("""COMPUTED_VALUE"""),304.88)</f>
        <v>304.88</v>
      </c>
      <c r="E1139" s="1">
        <f>IFERROR(__xludf.DUMMYFUNCTION("""COMPUTED_VALUE"""),308.22)</f>
        <v>308.22</v>
      </c>
      <c r="F1139" s="1">
        <f>IFERROR(__xludf.DUMMYFUNCTION("""COMPUTED_VALUE"""),2.9151889E7)</f>
        <v>29151889</v>
      </c>
    </row>
    <row r="1140">
      <c r="A1140" s="2">
        <f>IFERROR(__xludf.DUMMYFUNCTION("""COMPUTED_VALUE"""),46007.66666666667)</f>
        <v>46007.66667</v>
      </c>
      <c r="B1140" s="1">
        <f>IFERROR(__xludf.DUMMYFUNCTION("""COMPUTED_VALUE"""),304.95)</f>
        <v>304.95</v>
      </c>
      <c r="C1140" s="1">
        <f>IFERROR(__xludf.DUMMYFUNCTION("""COMPUTED_VALUE"""),310.77)</f>
        <v>310.77</v>
      </c>
      <c r="D1140" s="1">
        <f>IFERROR(__xludf.DUMMYFUNCTION("""COMPUTED_VALUE"""),302.59)</f>
        <v>302.59</v>
      </c>
      <c r="E1140" s="1">
        <f>IFERROR(__xludf.DUMMYFUNCTION("""COMPUTED_VALUE"""),306.57)</f>
        <v>306.57</v>
      </c>
      <c r="F1140" s="1">
        <f>IFERROR(__xludf.DUMMYFUNCTION("""COMPUTED_VALUE"""),3.058502E7)</f>
        <v>30585020</v>
      </c>
    </row>
    <row r="1141">
      <c r="A1141" s="2">
        <f>IFERROR(__xludf.DUMMYFUNCTION("""COMPUTED_VALUE"""),46008.66666666667)</f>
        <v>46008.66667</v>
      </c>
      <c r="B1141" s="1">
        <f>IFERROR(__xludf.DUMMYFUNCTION("""COMPUTED_VALUE"""),308.01)</f>
        <v>308.01</v>
      </c>
      <c r="C1141" s="1">
        <f>IFERROR(__xludf.DUMMYFUNCTION("""COMPUTED_VALUE"""),308.09)</f>
        <v>308.09</v>
      </c>
      <c r="D1141" s="1">
        <f>IFERROR(__xludf.DUMMYFUNCTION("""COMPUTED_VALUE"""),296.12)</f>
        <v>296.12</v>
      </c>
      <c r="E1141" s="1">
        <f>IFERROR(__xludf.DUMMYFUNCTION("""COMPUTED_VALUE"""),296.72)</f>
        <v>296.72</v>
      </c>
      <c r="F1141" s="1">
        <f>IFERROR(__xludf.DUMMYFUNCTION("""COMPUTED_VALUE"""),4.3930358E7)</f>
        <v>43930358</v>
      </c>
    </row>
    <row r="1142">
      <c r="A1142" s="2">
        <f>IFERROR(__xludf.DUMMYFUNCTION("""COMPUTED_VALUE"""),46009.66666666667)</f>
        <v>46009.66667</v>
      </c>
      <c r="B1142" s="1">
        <f>IFERROR(__xludf.DUMMYFUNCTION("""COMPUTED_VALUE"""),301.72)</f>
        <v>301.72</v>
      </c>
      <c r="C1142" s="1">
        <f>IFERROR(__xludf.DUMMYFUNCTION("""COMPUTED_VALUE"""),303.96)</f>
        <v>303.96</v>
      </c>
      <c r="D1142" s="1">
        <f>IFERROR(__xludf.DUMMYFUNCTION("""COMPUTED_VALUE"""),299.23)</f>
        <v>299.23</v>
      </c>
      <c r="E1142" s="1">
        <f>IFERROR(__xludf.DUMMYFUNCTION("""COMPUTED_VALUE"""),302.46)</f>
        <v>302.46</v>
      </c>
      <c r="F1142" s="1">
        <f>IFERROR(__xludf.DUMMYFUNCTION("""COMPUTED_VALUE"""),3.3518048E7)</f>
        <v>33518048</v>
      </c>
    </row>
    <row r="1143">
      <c r="A1143" s="2">
        <f>IFERROR(__xludf.DUMMYFUNCTION("""COMPUTED_VALUE"""),46010.66666666667)</f>
        <v>46010.66667</v>
      </c>
      <c r="B1143" s="1">
        <f>IFERROR(__xludf.DUMMYFUNCTION("""COMPUTED_VALUE"""),301.73)</f>
        <v>301.73</v>
      </c>
      <c r="C1143" s="1">
        <f>IFERROR(__xludf.DUMMYFUNCTION("""COMPUTED_VALUE"""),307.25)</f>
        <v>307.25</v>
      </c>
      <c r="D1143" s="1">
        <f>IFERROR(__xludf.DUMMYFUNCTION("""COMPUTED_VALUE"""),300.97)</f>
        <v>300.97</v>
      </c>
      <c r="E1143" s="1">
        <f>IFERROR(__xludf.DUMMYFUNCTION("""COMPUTED_VALUE"""),307.16)</f>
        <v>307.16</v>
      </c>
      <c r="F1143" s="1">
        <f>IFERROR(__xludf.DUMMYFUNCTION("""COMPUTED_VALUE"""),5.9943239E7)</f>
        <v>59943239</v>
      </c>
    </row>
    <row r="1144">
      <c r="A1144" s="2">
        <f>IFERROR(__xludf.DUMMYFUNCTION("""COMPUTED_VALUE"""),46013.66666666667)</f>
        <v>46013.66667</v>
      </c>
      <c r="B1144" s="1">
        <f>IFERROR(__xludf.DUMMYFUNCTION("""COMPUTED_VALUE"""),309.88)</f>
        <v>309.88</v>
      </c>
      <c r="C1144" s="1">
        <f>IFERROR(__xludf.DUMMYFUNCTION("""COMPUTED_VALUE"""),310.13)</f>
        <v>310.13</v>
      </c>
      <c r="D1144" s="1">
        <f>IFERROR(__xludf.DUMMYFUNCTION("""COMPUTED_VALUE"""),305.3)</f>
        <v>305.3</v>
      </c>
      <c r="E1144" s="1">
        <f>IFERROR(__xludf.DUMMYFUNCTION("""COMPUTED_VALUE"""),309.78)</f>
        <v>309.78</v>
      </c>
      <c r="F1144" s="1">
        <f>IFERROR(__xludf.DUMMYFUNCTION("""COMPUTED_VALUE"""),2.6429937E7)</f>
        <v>26429937</v>
      </c>
    </row>
    <row r="1145">
      <c r="A1145" s="2">
        <f>IFERROR(__xludf.DUMMYFUNCTION("""COMPUTED_VALUE"""),46014.66666666667)</f>
        <v>46014.66667</v>
      </c>
      <c r="B1145" s="1">
        <f>IFERROR(__xludf.DUMMYFUNCTION("""COMPUTED_VALUE"""),309.63)</f>
        <v>309.63</v>
      </c>
      <c r="C1145" s="1">
        <f>IFERROR(__xludf.DUMMYFUNCTION("""COMPUTED_VALUE"""),314.94)</f>
        <v>314.94</v>
      </c>
      <c r="D1145" s="1">
        <f>IFERROR(__xludf.DUMMYFUNCTION("""COMPUTED_VALUE"""),309.32)</f>
        <v>309.32</v>
      </c>
      <c r="E1145" s="1">
        <f>IFERROR(__xludf.DUMMYFUNCTION("""COMPUTED_VALUE"""),314.35)</f>
        <v>314.35</v>
      </c>
      <c r="F1145" s="1">
        <f>IFERROR(__xludf.DUMMYFUNCTION("""COMPUTED_VALUE"""),2.547867E7)</f>
        <v>25478670</v>
      </c>
    </row>
    <row r="1146">
      <c r="A1146" s="2">
        <f>IFERROR(__xludf.DUMMYFUNCTION("""COMPUTED_VALUE"""),46015.54513888889)</f>
        <v>46015.54514</v>
      </c>
      <c r="B1146" s="1">
        <f>IFERROR(__xludf.DUMMYFUNCTION("""COMPUTED_VALUE"""),314.77)</f>
        <v>314.77</v>
      </c>
      <c r="C1146" s="1">
        <f>IFERROR(__xludf.DUMMYFUNCTION("""COMPUTED_VALUE"""),315.08)</f>
        <v>315.08</v>
      </c>
      <c r="D1146" s="1">
        <f>IFERROR(__xludf.DUMMYFUNCTION("""COMPUTED_VALUE"""),311.92)</f>
        <v>311.92</v>
      </c>
      <c r="E1146" s="1">
        <f>IFERROR(__xludf.DUMMYFUNCTION("""COMPUTED_VALUE"""),314.09)</f>
        <v>314.09</v>
      </c>
      <c r="F1146" s="1">
        <f>IFERROR(__xludf.DUMMYFUNCTION("""COMPUTED_VALUE"""),1.0097361E7)</f>
        <v>10097361</v>
      </c>
    </row>
    <row r="1147">
      <c r="A1147" s="2">
        <f>IFERROR(__xludf.DUMMYFUNCTION("""COMPUTED_VALUE"""),46017.66666666667)</f>
        <v>46017.66667</v>
      </c>
      <c r="B1147" s="1">
        <f>IFERROR(__xludf.DUMMYFUNCTION("""COMPUTED_VALUE"""),314.48)</f>
        <v>314.48</v>
      </c>
      <c r="C1147" s="1">
        <f>IFERROR(__xludf.DUMMYFUNCTION("""COMPUTED_VALUE"""),315.08)</f>
        <v>315.08</v>
      </c>
      <c r="D1147" s="1">
        <f>IFERROR(__xludf.DUMMYFUNCTION("""COMPUTED_VALUE"""),312.27)</f>
        <v>312.27</v>
      </c>
      <c r="E1147" s="1">
        <f>IFERROR(__xludf.DUMMYFUNCTION("""COMPUTED_VALUE"""),313.51)</f>
        <v>313.51</v>
      </c>
      <c r="F1147" s="1">
        <f>IFERROR(__xludf.DUMMYFUNCTION("""COMPUTED_VALUE"""),1.0899017E7)</f>
        <v>10899017</v>
      </c>
    </row>
    <row r="1148">
      <c r="A1148" s="2">
        <f>IFERROR(__xludf.DUMMYFUNCTION("""COMPUTED_VALUE"""),46020.66666666667)</f>
        <v>46020.66667</v>
      </c>
      <c r="B1148" s="1">
        <f>IFERROR(__xludf.DUMMYFUNCTION("""COMPUTED_VALUE"""),311.37)</f>
        <v>311.37</v>
      </c>
      <c r="C1148" s="1">
        <f>IFERROR(__xludf.DUMMYFUNCTION("""COMPUTED_VALUE"""),314.02)</f>
        <v>314.02</v>
      </c>
      <c r="D1148" s="1">
        <f>IFERROR(__xludf.DUMMYFUNCTION("""COMPUTED_VALUE"""),310.62)</f>
        <v>310.62</v>
      </c>
      <c r="E1148" s="1">
        <f>IFERROR(__xludf.DUMMYFUNCTION("""COMPUTED_VALUE"""),313.56)</f>
        <v>313.56</v>
      </c>
      <c r="F1148" s="1">
        <f>IFERROR(__xludf.DUMMYFUNCTION("""COMPUTED_VALUE"""),1.9621777E7)</f>
        <v>19621777</v>
      </c>
    </row>
    <row r="1149">
      <c r="A1149" s="2">
        <f>IFERROR(__xludf.DUMMYFUNCTION("""COMPUTED_VALUE"""),46021.66666666667)</f>
        <v>46021.66667</v>
      </c>
      <c r="B1149" s="1">
        <f>IFERROR(__xludf.DUMMYFUNCTION("""COMPUTED_VALUE"""),312.5)</f>
        <v>312.5</v>
      </c>
      <c r="C1149" s="1">
        <f>IFERROR(__xludf.DUMMYFUNCTION("""COMPUTED_VALUE"""),316.95)</f>
        <v>316.95</v>
      </c>
      <c r="D1149" s="1">
        <f>IFERROR(__xludf.DUMMYFUNCTION("""COMPUTED_VALUE"""),312.46)</f>
        <v>312.46</v>
      </c>
      <c r="E1149" s="1">
        <f>IFERROR(__xludf.DUMMYFUNCTION("""COMPUTED_VALUE"""),313.85)</f>
        <v>313.85</v>
      </c>
      <c r="F1149" s="1">
        <f>IFERROR(__xludf.DUMMYFUNCTION("""COMPUTED_VALUE"""),1.7380888E7)</f>
        <v>17380888</v>
      </c>
    </row>
    <row r="1150">
      <c r="A1150" s="2">
        <f>IFERROR(__xludf.DUMMYFUNCTION("""COMPUTED_VALUE"""),46022.66666666667)</f>
        <v>46022.66667</v>
      </c>
      <c r="B1150" s="1">
        <f>IFERROR(__xludf.DUMMYFUNCTION("""COMPUTED_VALUE"""),312.85)</f>
        <v>312.85</v>
      </c>
      <c r="C1150" s="1">
        <f>IFERROR(__xludf.DUMMYFUNCTION("""COMPUTED_VALUE"""),314.58)</f>
        <v>314.58</v>
      </c>
      <c r="D1150" s="1">
        <f>IFERROR(__xludf.DUMMYFUNCTION("""COMPUTED_VALUE"""),311.44)</f>
        <v>311.44</v>
      </c>
      <c r="E1150" s="1">
        <f>IFERROR(__xludf.DUMMYFUNCTION("""COMPUTED_VALUE"""),313.0)</f>
        <v>313</v>
      </c>
      <c r="F1150" s="1">
        <f>IFERROR(__xludf.DUMMYFUNCTION("""COMPUTED_VALUE"""),1.6377689E7)</f>
        <v>16377689</v>
      </c>
    </row>
    <row r="1151">
      <c r="A1151" s="2">
        <f>IFERROR(__xludf.DUMMYFUNCTION("""COMPUTED_VALUE"""),46024.66666666667)</f>
        <v>46024.66667</v>
      </c>
      <c r="B1151" s="1">
        <f>IFERROR(__xludf.DUMMYFUNCTION("""COMPUTED_VALUE"""),316.9)</f>
        <v>316.9</v>
      </c>
      <c r="C1151" s="1">
        <f>IFERROR(__xludf.DUMMYFUNCTION("""COMPUTED_VALUE"""),322.5)</f>
        <v>322.5</v>
      </c>
      <c r="D1151" s="1">
        <f>IFERROR(__xludf.DUMMYFUNCTION("""COMPUTED_VALUE"""),310.33)</f>
        <v>310.33</v>
      </c>
      <c r="E1151" s="1">
        <f>IFERROR(__xludf.DUMMYFUNCTION("""COMPUTED_VALUE"""),315.15)</f>
        <v>315.15</v>
      </c>
      <c r="F1151" s="1">
        <f>IFERROR(__xludf.DUMMYFUNCTION("""COMPUTED_VALUE"""),3.2009385E7)</f>
        <v>32009385</v>
      </c>
    </row>
    <row r="1152">
      <c r="A1152" s="2">
        <f>IFERROR(__xludf.DUMMYFUNCTION("""COMPUTED_VALUE"""),46027.66666666667)</f>
        <v>46027.66667</v>
      </c>
      <c r="B1152" s="1">
        <f>IFERROR(__xludf.DUMMYFUNCTION("""COMPUTED_VALUE"""),317.65)</f>
        <v>317.65</v>
      </c>
      <c r="C1152" s="1">
        <f>IFERROR(__xludf.DUMMYFUNCTION("""COMPUTED_VALUE"""),319.02)</f>
        <v>319.02</v>
      </c>
      <c r="D1152" s="1">
        <f>IFERROR(__xludf.DUMMYFUNCTION("""COMPUTED_VALUE"""),314.63)</f>
        <v>314.63</v>
      </c>
      <c r="E1152" s="1">
        <f>IFERROR(__xludf.DUMMYFUNCTION("""COMPUTED_VALUE"""),316.54)</f>
        <v>316.54</v>
      </c>
      <c r="F1152" s="1">
        <f>IFERROR(__xludf.DUMMYFUNCTION("""COMPUTED_VALUE"""),3.0195597E7)</f>
        <v>30195597</v>
      </c>
    </row>
    <row r="1153">
      <c r="A1153" s="2">
        <f>IFERROR(__xludf.DUMMYFUNCTION("""COMPUTED_VALUE"""),46028.66666666667)</f>
        <v>46028.66667</v>
      </c>
      <c r="B1153" s="1">
        <f>IFERROR(__xludf.DUMMYFUNCTION("""COMPUTED_VALUE"""),316.4)</f>
        <v>316.4</v>
      </c>
      <c r="C1153" s="1">
        <f>IFERROR(__xludf.DUMMYFUNCTION("""COMPUTED_VALUE"""),320.94)</f>
        <v>320.94</v>
      </c>
      <c r="D1153" s="1">
        <f>IFERROR(__xludf.DUMMYFUNCTION("""COMPUTED_VALUE"""),311.78)</f>
        <v>311.78</v>
      </c>
      <c r="E1153" s="1">
        <f>IFERROR(__xludf.DUMMYFUNCTION("""COMPUTED_VALUE"""),314.34)</f>
        <v>314.34</v>
      </c>
      <c r="F1153" s="1">
        <f>IFERROR(__xludf.DUMMYFUNCTION("""COMPUTED_VALUE"""),3.1212101E7)</f>
        <v>31212101</v>
      </c>
    </row>
    <row r="1154">
      <c r="A1154" s="2">
        <f>IFERROR(__xludf.DUMMYFUNCTION("""COMPUTED_VALUE"""),46029.66666666667)</f>
        <v>46029.66667</v>
      </c>
      <c r="B1154" s="1">
        <f>IFERROR(__xludf.DUMMYFUNCTION("""COMPUTED_VALUE"""),314.36)</f>
        <v>314.36</v>
      </c>
      <c r="C1154" s="1">
        <f>IFERROR(__xludf.DUMMYFUNCTION("""COMPUTED_VALUE"""),326.15)</f>
        <v>326.15</v>
      </c>
      <c r="D1154" s="1">
        <f>IFERROR(__xludf.DUMMYFUNCTION("""COMPUTED_VALUE"""),314.19)</f>
        <v>314.19</v>
      </c>
      <c r="E1154" s="1">
        <f>IFERROR(__xludf.DUMMYFUNCTION("""COMPUTED_VALUE"""),321.98)</f>
        <v>321.98</v>
      </c>
      <c r="F1154" s="1">
        <f>IFERROR(__xludf.DUMMYFUNCTION("""COMPUTED_VALUE"""),3.5104425E7)</f>
        <v>35104425</v>
      </c>
    </row>
    <row r="1155">
      <c r="A1155" s="2">
        <f>IFERROR(__xludf.DUMMYFUNCTION("""COMPUTED_VALUE"""),46030.66666666667)</f>
        <v>46030.66667</v>
      </c>
      <c r="B1155" s="1">
        <f>IFERROR(__xludf.DUMMYFUNCTION("""COMPUTED_VALUE"""),328.97)</f>
        <v>328.97</v>
      </c>
      <c r="C1155" s="1">
        <f>IFERROR(__xludf.DUMMYFUNCTION("""COMPUTED_VALUE"""),330.32)</f>
        <v>330.32</v>
      </c>
      <c r="D1155" s="1">
        <f>IFERROR(__xludf.DUMMYFUNCTION("""COMPUTED_VALUE"""),321.5)</f>
        <v>321.5</v>
      </c>
      <c r="E1155" s="1">
        <f>IFERROR(__xludf.DUMMYFUNCTION("""COMPUTED_VALUE"""),325.44)</f>
        <v>325.44</v>
      </c>
      <c r="F1155" s="1">
        <f>IFERROR(__xludf.DUMMYFUNCTION("""COMPUTED_VALUE"""),3.1896101E7)</f>
        <v>31896101</v>
      </c>
    </row>
    <row r="1156">
      <c r="A1156" s="2">
        <f>IFERROR(__xludf.DUMMYFUNCTION("""COMPUTED_VALUE"""),46031.66666666667)</f>
        <v>46031.66667</v>
      </c>
      <c r="B1156" s="1">
        <f>IFERROR(__xludf.DUMMYFUNCTION("""COMPUTED_VALUE"""),327.09)</f>
        <v>327.09</v>
      </c>
      <c r="C1156" s="1">
        <f>IFERROR(__xludf.DUMMYFUNCTION("""COMPUTED_VALUE"""),330.83)</f>
        <v>330.83</v>
      </c>
      <c r="D1156" s="1">
        <f>IFERROR(__xludf.DUMMYFUNCTION("""COMPUTED_VALUE"""),325.8)</f>
        <v>325.8</v>
      </c>
      <c r="E1156" s="1">
        <f>IFERROR(__xludf.DUMMYFUNCTION("""COMPUTED_VALUE"""),328.57)</f>
        <v>328.57</v>
      </c>
      <c r="F1156" s="1">
        <f>IFERROR(__xludf.DUMMYFUNCTION("""COMPUTED_VALUE"""),2.6214166E7)</f>
        <v>26214166</v>
      </c>
    </row>
    <row r="1157">
      <c r="A1157" s="2">
        <f>IFERROR(__xludf.DUMMYFUNCTION("""COMPUTED_VALUE"""),46034.66666666667)</f>
        <v>46034.66667</v>
      </c>
      <c r="B1157" s="1">
        <f>IFERROR(__xludf.DUMMYFUNCTION("""COMPUTED_VALUE"""),325.8)</f>
        <v>325.8</v>
      </c>
      <c r="C1157" s="1">
        <f>IFERROR(__xludf.DUMMYFUNCTION("""COMPUTED_VALUE"""),334.04)</f>
        <v>334.04</v>
      </c>
      <c r="D1157" s="1">
        <f>IFERROR(__xludf.DUMMYFUNCTION("""COMPUTED_VALUE"""),325.0)</f>
        <v>325</v>
      </c>
      <c r="E1157" s="1">
        <f>IFERROR(__xludf.DUMMYFUNCTION("""COMPUTED_VALUE"""),331.86)</f>
        <v>331.86</v>
      </c>
      <c r="F1157" s="1">
        <f>IFERROR(__xludf.DUMMYFUNCTION("""COMPUTED_VALUE"""),3.3923928E7)</f>
        <v>33923928</v>
      </c>
    </row>
    <row r="1158">
      <c r="A1158" s="2">
        <f>IFERROR(__xludf.DUMMYFUNCTION("""COMPUTED_VALUE"""),46035.66666666667)</f>
        <v>46035.66667</v>
      </c>
      <c r="B1158" s="1">
        <f>IFERROR(__xludf.DUMMYFUNCTION("""COMPUTED_VALUE"""),334.95)</f>
        <v>334.95</v>
      </c>
      <c r="C1158" s="1">
        <f>IFERROR(__xludf.DUMMYFUNCTION("""COMPUTED_VALUE"""),340.49)</f>
        <v>340.49</v>
      </c>
      <c r="D1158" s="1">
        <f>IFERROR(__xludf.DUMMYFUNCTION("""COMPUTED_VALUE"""),333.62)</f>
        <v>333.62</v>
      </c>
      <c r="E1158" s="1">
        <f>IFERROR(__xludf.DUMMYFUNCTION("""COMPUTED_VALUE"""),335.97)</f>
        <v>335.97</v>
      </c>
      <c r="F1158" s="1">
        <f>IFERROR(__xludf.DUMMYFUNCTION("""COMPUTED_VALUE"""),3.3517607E7)</f>
        <v>33517607</v>
      </c>
    </row>
    <row r="1159">
      <c r="A1159" s="2">
        <f>IFERROR(__xludf.DUMMYFUNCTION("""COMPUTED_VALUE"""),46036.66666666667)</f>
        <v>46036.66667</v>
      </c>
      <c r="B1159" s="1">
        <f>IFERROR(__xludf.DUMMYFUNCTION("""COMPUTED_VALUE"""),335.06)</f>
        <v>335.06</v>
      </c>
      <c r="C1159" s="1">
        <f>IFERROR(__xludf.DUMMYFUNCTION("""COMPUTED_VALUE"""),336.52)</f>
        <v>336.52</v>
      </c>
      <c r="D1159" s="1">
        <f>IFERROR(__xludf.DUMMYFUNCTION("""COMPUTED_VALUE"""),330.48)</f>
        <v>330.48</v>
      </c>
      <c r="E1159" s="1">
        <f>IFERROR(__xludf.DUMMYFUNCTION("""COMPUTED_VALUE"""),335.84)</f>
        <v>335.84</v>
      </c>
      <c r="F1159" s="1">
        <f>IFERROR(__xludf.DUMMYFUNCTION("""COMPUTED_VALUE"""),2.8525571E7)</f>
        <v>28525571</v>
      </c>
    </row>
    <row r="1160">
      <c r="A1160" s="2">
        <f>IFERROR(__xludf.DUMMYFUNCTION("""COMPUTED_VALUE"""),46037.66666666667)</f>
        <v>46037.66667</v>
      </c>
      <c r="B1160" s="1">
        <f>IFERROR(__xludf.DUMMYFUNCTION("""COMPUTED_VALUE"""),337.65)</f>
        <v>337.65</v>
      </c>
      <c r="C1160" s="1">
        <f>IFERROR(__xludf.DUMMYFUNCTION("""COMPUTED_VALUE"""),337.69)</f>
        <v>337.69</v>
      </c>
      <c r="D1160" s="1">
        <f>IFERROR(__xludf.DUMMYFUNCTION("""COMPUTED_VALUE"""),330.74)</f>
        <v>330.74</v>
      </c>
      <c r="E1160" s="1">
        <f>IFERROR(__xludf.DUMMYFUNCTION("""COMPUTED_VALUE"""),332.78)</f>
        <v>332.78</v>
      </c>
      <c r="F1160" s="1">
        <f>IFERROR(__xludf.DUMMYFUNCTION("""COMPUTED_VALUE"""),2.8442406E7)</f>
        <v>28442406</v>
      </c>
    </row>
    <row r="1161">
      <c r="A1161" s="2">
        <f>IFERROR(__xludf.DUMMYFUNCTION("""COMPUTED_VALUE"""),46038.66666666667)</f>
        <v>46038.66667</v>
      </c>
      <c r="B1161" s="1">
        <f>IFERROR(__xludf.DUMMYFUNCTION("""COMPUTED_VALUE"""),334.41)</f>
        <v>334.41</v>
      </c>
      <c r="C1161" s="1">
        <f>IFERROR(__xludf.DUMMYFUNCTION("""COMPUTED_VALUE"""),334.65)</f>
        <v>334.65</v>
      </c>
      <c r="D1161" s="1">
        <f>IFERROR(__xludf.DUMMYFUNCTION("""COMPUTED_VALUE"""),327.7)</f>
        <v>327.7</v>
      </c>
      <c r="E1161" s="1">
        <f>IFERROR(__xludf.DUMMYFUNCTION("""COMPUTED_VALUE"""),330.0)</f>
        <v>330</v>
      </c>
      <c r="F1161" s="1">
        <f>IFERROR(__xludf.DUMMYFUNCTION("""COMPUTED_VALUE"""),4.0341637E7)</f>
        <v>40341637</v>
      </c>
    </row>
    <row r="1162">
      <c r="A1162" s="2">
        <f>IFERROR(__xludf.DUMMYFUNCTION("""COMPUTED_VALUE"""),46042.66666666667)</f>
        <v>46042.66667</v>
      </c>
      <c r="B1162" s="1">
        <f>IFERROR(__xludf.DUMMYFUNCTION("""COMPUTED_VALUE"""),320.87)</f>
        <v>320.87</v>
      </c>
      <c r="C1162" s="1">
        <f>IFERROR(__xludf.DUMMYFUNCTION("""COMPUTED_VALUE"""),327.73)</f>
        <v>327.73</v>
      </c>
      <c r="D1162" s="1">
        <f>IFERROR(__xludf.DUMMYFUNCTION("""COMPUTED_VALUE"""),320.43)</f>
        <v>320.43</v>
      </c>
      <c r="E1162" s="1">
        <f>IFERROR(__xludf.DUMMYFUNCTION("""COMPUTED_VALUE"""),322.0)</f>
        <v>322</v>
      </c>
      <c r="F1162" s="1">
        <f>IFERROR(__xludf.DUMMYFUNCTION("""COMPUTED_VALUE"""),3.5361045E7)</f>
        <v>35361045</v>
      </c>
    </row>
    <row r="1163">
      <c r="A1163" s="2">
        <f>IFERROR(__xludf.DUMMYFUNCTION("""COMPUTED_VALUE"""),46043.66666666667)</f>
        <v>46043.66667</v>
      </c>
      <c r="B1163" s="1">
        <f>IFERROR(__xludf.DUMMYFUNCTION("""COMPUTED_VALUE"""),320.92)</f>
        <v>320.92</v>
      </c>
      <c r="C1163" s="1">
        <f>IFERROR(__xludf.DUMMYFUNCTION("""COMPUTED_VALUE"""),332.48)</f>
        <v>332.48</v>
      </c>
      <c r="D1163" s="1">
        <f>IFERROR(__xludf.DUMMYFUNCTION("""COMPUTED_VALUE"""),319.35)</f>
        <v>319.35</v>
      </c>
      <c r="E1163" s="1">
        <f>IFERROR(__xludf.DUMMYFUNCTION("""COMPUTED_VALUE"""),328.38)</f>
        <v>328.38</v>
      </c>
      <c r="F1163" s="1">
        <f>IFERROR(__xludf.DUMMYFUNCTION("""COMPUTED_VALUE"""),3.5386603E7)</f>
        <v>35386603</v>
      </c>
    </row>
    <row r="1164">
      <c r="A1164" s="2">
        <f>IFERROR(__xludf.DUMMYFUNCTION("""COMPUTED_VALUE"""),46044.66666666667)</f>
        <v>46044.66667</v>
      </c>
      <c r="B1164" s="1">
        <f>IFERROR(__xludf.DUMMYFUNCTION("""COMPUTED_VALUE"""),334.45)</f>
        <v>334.45</v>
      </c>
      <c r="C1164" s="1">
        <f>IFERROR(__xludf.DUMMYFUNCTION("""COMPUTED_VALUE"""),335.15)</f>
        <v>335.15</v>
      </c>
      <c r="D1164" s="1">
        <f>IFERROR(__xludf.DUMMYFUNCTION("""COMPUTED_VALUE"""),328.75)</f>
        <v>328.75</v>
      </c>
      <c r="E1164" s="1">
        <f>IFERROR(__xludf.DUMMYFUNCTION("""COMPUTED_VALUE"""),330.54)</f>
        <v>330.54</v>
      </c>
      <c r="F1164" s="1">
        <f>IFERROR(__xludf.DUMMYFUNCTION("""COMPUTED_VALUE"""),2.625364E7)</f>
        <v>26253640</v>
      </c>
    </row>
    <row r="1165">
      <c r="A1165" s="2">
        <f>IFERROR(__xludf.DUMMYFUNCTION("""COMPUTED_VALUE"""),46045.66666666667)</f>
        <v>46045.66667</v>
      </c>
      <c r="B1165" s="1">
        <f>IFERROR(__xludf.DUMMYFUNCTION("""COMPUTED_VALUE"""),332.49)</f>
        <v>332.49</v>
      </c>
      <c r="C1165" s="1">
        <f>IFERROR(__xludf.DUMMYFUNCTION("""COMPUTED_VALUE"""),333.69)</f>
        <v>333.69</v>
      </c>
      <c r="D1165" s="1">
        <f>IFERROR(__xludf.DUMMYFUNCTION("""COMPUTED_VALUE"""),327.45)</f>
        <v>327.45</v>
      </c>
      <c r="E1165" s="1">
        <f>IFERROR(__xludf.DUMMYFUNCTION("""COMPUTED_VALUE"""),327.93)</f>
        <v>327.93</v>
      </c>
      <c r="F1165" s="1">
        <f>IFERROR(__xludf.DUMMYFUNCTION("""COMPUTED_VALUE"""),2.7279974E7)</f>
        <v>27279974</v>
      </c>
    </row>
    <row r="1166">
      <c r="A1166" s="2">
        <f>IFERROR(__xludf.DUMMYFUNCTION("""COMPUTED_VALUE"""),46048.66666666667)</f>
        <v>46048.66667</v>
      </c>
      <c r="B1166" s="1">
        <f>IFERROR(__xludf.DUMMYFUNCTION("""COMPUTED_VALUE"""),327.81)</f>
        <v>327.81</v>
      </c>
      <c r="C1166" s="1">
        <f>IFERROR(__xludf.DUMMYFUNCTION("""COMPUTED_VALUE"""),335.84)</f>
        <v>335.84</v>
      </c>
      <c r="D1166" s="1">
        <f>IFERROR(__xludf.DUMMYFUNCTION("""COMPUTED_VALUE"""),327.0)</f>
        <v>327</v>
      </c>
      <c r="E1166" s="1">
        <f>IFERROR(__xludf.DUMMYFUNCTION("""COMPUTED_VALUE"""),333.26)</f>
        <v>333.26</v>
      </c>
      <c r="F1166" s="1">
        <f>IFERROR(__xludf.DUMMYFUNCTION("""COMPUTED_VALUE"""),2.604212E7)</f>
        <v>26042120</v>
      </c>
    </row>
    <row r="1167">
      <c r="A1167" s="2">
        <f>IFERROR(__xludf.DUMMYFUNCTION("""COMPUTED_VALUE"""),46049.66666666667)</f>
        <v>46049.66667</v>
      </c>
      <c r="B1167" s="1">
        <f>IFERROR(__xludf.DUMMYFUNCTION("""COMPUTED_VALUE"""),335.37)</f>
        <v>335.37</v>
      </c>
      <c r="C1167" s="1">
        <f>IFERROR(__xludf.DUMMYFUNCTION("""COMPUTED_VALUE"""),337.91)</f>
        <v>337.91</v>
      </c>
      <c r="D1167" s="1">
        <f>IFERROR(__xludf.DUMMYFUNCTION("""COMPUTED_VALUE"""),333.48)</f>
        <v>333.48</v>
      </c>
      <c r="E1167" s="1">
        <f>IFERROR(__xludf.DUMMYFUNCTION("""COMPUTED_VALUE"""),334.55)</f>
        <v>334.55</v>
      </c>
      <c r="F1167" s="1">
        <f>IFERROR(__xludf.DUMMYFUNCTION("""COMPUTED_VALUE"""),2.1636164E7)</f>
        <v>21636164</v>
      </c>
    </row>
    <row r="1168">
      <c r="A1168" s="2">
        <f>IFERROR(__xludf.DUMMYFUNCTION("""COMPUTED_VALUE"""),46050.66666666667)</f>
        <v>46050.66667</v>
      </c>
      <c r="B1168" s="1">
        <f>IFERROR(__xludf.DUMMYFUNCTION("""COMPUTED_VALUE"""),336.06)</f>
        <v>336.06</v>
      </c>
      <c r="C1168" s="1">
        <f>IFERROR(__xludf.DUMMYFUNCTION("""COMPUTED_VALUE"""),337.54)</f>
        <v>337.54</v>
      </c>
      <c r="D1168" s="1">
        <f>IFERROR(__xludf.DUMMYFUNCTION("""COMPUTED_VALUE"""),331.94)</f>
        <v>331.94</v>
      </c>
      <c r="E1168" s="1">
        <f>IFERROR(__xludf.DUMMYFUNCTION("""COMPUTED_VALUE"""),336.01)</f>
        <v>336.01</v>
      </c>
      <c r="F1168" s="1">
        <f>IFERROR(__xludf.DUMMYFUNCTION("""COMPUTED_VALUE"""),2.7434434E7)</f>
        <v>27434434</v>
      </c>
    </row>
    <row r="1169">
      <c r="A1169" s="2">
        <f>IFERROR(__xludf.DUMMYFUNCTION("""COMPUTED_VALUE"""),46051.66666666667)</f>
        <v>46051.66667</v>
      </c>
      <c r="B1169" s="1">
        <f>IFERROR(__xludf.DUMMYFUNCTION("""COMPUTED_VALUE"""),340.3)</f>
        <v>340.3</v>
      </c>
      <c r="C1169" s="1">
        <f>IFERROR(__xludf.DUMMYFUNCTION("""COMPUTED_VALUE"""),342.29)</f>
        <v>342.29</v>
      </c>
      <c r="D1169" s="1">
        <f>IFERROR(__xludf.DUMMYFUNCTION("""COMPUTED_VALUE"""),326.54)</f>
        <v>326.54</v>
      </c>
      <c r="E1169" s="1">
        <f>IFERROR(__xludf.DUMMYFUNCTION("""COMPUTED_VALUE"""),338.25)</f>
        <v>338.25</v>
      </c>
      <c r="F1169" s="1">
        <f>IFERROR(__xludf.DUMMYFUNCTION("""COMPUTED_VALUE"""),3.9785612E7)</f>
        <v>39785612</v>
      </c>
    </row>
    <row r="1170">
      <c r="A1170" s="2">
        <f>IFERROR(__xludf.DUMMYFUNCTION("""COMPUTED_VALUE"""),46052.66666666667)</f>
        <v>46052.66667</v>
      </c>
      <c r="B1170" s="1">
        <f>IFERROR(__xludf.DUMMYFUNCTION("""COMPUTED_VALUE"""),340.0)</f>
        <v>340</v>
      </c>
      <c r="C1170" s="1">
        <f>IFERROR(__xludf.DUMMYFUNCTION("""COMPUTED_VALUE"""),340.0)</f>
        <v>340</v>
      </c>
      <c r="D1170" s="1">
        <f>IFERROR(__xludf.DUMMYFUNCTION("""COMPUTED_VALUE"""),332.29)</f>
        <v>332.29</v>
      </c>
      <c r="E1170" s="1">
        <f>IFERROR(__xludf.DUMMYFUNCTION("""COMPUTED_VALUE"""),338.0)</f>
        <v>338</v>
      </c>
      <c r="F1170" s="1">
        <f>IFERROR(__xludf.DUMMYFUNCTION("""COMPUTED_VALUE"""),3.1023954E7)</f>
        <v>31023954</v>
      </c>
    </row>
    <row r="1171">
      <c r="A1171" s="2">
        <f>IFERROR(__xludf.DUMMYFUNCTION("""COMPUTED_VALUE"""),46055.66666666667)</f>
        <v>46055.66667</v>
      </c>
      <c r="B1171" s="1">
        <f>IFERROR(__xludf.DUMMYFUNCTION("""COMPUTED_VALUE"""),336.22)</f>
        <v>336.22</v>
      </c>
      <c r="C1171" s="1">
        <f>IFERROR(__xludf.DUMMYFUNCTION("""COMPUTED_VALUE"""),344.83)</f>
        <v>344.83</v>
      </c>
      <c r="D1171" s="1">
        <f>IFERROR(__xludf.DUMMYFUNCTION("""COMPUTED_VALUE"""),335.63)</f>
        <v>335.63</v>
      </c>
      <c r="E1171" s="1">
        <f>IFERROR(__xludf.DUMMYFUNCTION("""COMPUTED_VALUE"""),343.69)</f>
        <v>343.69</v>
      </c>
      <c r="F1171" s="1">
        <f>IFERROR(__xludf.DUMMYFUNCTION("""COMPUTED_VALUE"""),3.2006052E7)</f>
        <v>32006052</v>
      </c>
    </row>
    <row r="1172">
      <c r="A1172" s="2">
        <f>IFERROR(__xludf.DUMMYFUNCTION("""COMPUTED_VALUE"""),46056.66666666667)</f>
        <v>46056.66667</v>
      </c>
      <c r="B1172" s="1">
        <f>IFERROR(__xludf.DUMMYFUNCTION("""COMPUTED_VALUE"""),347.34)</f>
        <v>347.34</v>
      </c>
      <c r="C1172" s="1">
        <f>IFERROR(__xludf.DUMMYFUNCTION("""COMPUTED_VALUE"""),349.0)</f>
        <v>349</v>
      </c>
      <c r="D1172" s="1">
        <f>IFERROR(__xludf.DUMMYFUNCTION("""COMPUTED_VALUE"""),337.47)</f>
        <v>337.47</v>
      </c>
      <c r="E1172" s="1">
        <f>IFERROR(__xludf.DUMMYFUNCTION("""COMPUTED_VALUE"""),339.71)</f>
        <v>339.71</v>
      </c>
      <c r="F1172" s="1">
        <f>IFERROR(__xludf.DUMMYFUNCTION("""COMPUTED_VALUE"""),3.6506709E7)</f>
        <v>36506709</v>
      </c>
    </row>
    <row r="1173">
      <c r="A1173" s="2">
        <f>IFERROR(__xludf.DUMMYFUNCTION("""COMPUTED_VALUE"""),46057.66666666667)</f>
        <v>46057.66667</v>
      </c>
      <c r="B1173" s="1">
        <f>IFERROR(__xludf.DUMMYFUNCTION("""COMPUTED_VALUE"""),342.96)</f>
        <v>342.96</v>
      </c>
      <c r="C1173" s="1">
        <f>IFERROR(__xludf.DUMMYFUNCTION("""COMPUTED_VALUE"""),343.31)</f>
        <v>343.31</v>
      </c>
      <c r="D1173" s="1">
        <f>IFERROR(__xludf.DUMMYFUNCTION("""COMPUTED_VALUE"""),328.52)</f>
        <v>328.52</v>
      </c>
      <c r="E1173" s="1">
        <f>IFERROR(__xludf.DUMMYFUNCTION("""COMPUTED_VALUE"""),333.04)</f>
        <v>333.04</v>
      </c>
      <c r="F1173" s="1">
        <f>IFERROR(__xludf.DUMMYFUNCTION("""COMPUTED_VALUE"""),7.0618398E7)</f>
        <v>70618398</v>
      </c>
    </row>
    <row r="1174">
      <c r="A1174" s="2">
        <f>IFERROR(__xludf.DUMMYFUNCTION("""COMPUTED_VALUE"""),46058.66666666667)</f>
        <v>46058.66667</v>
      </c>
      <c r="B1174" s="1">
        <f>IFERROR(__xludf.DUMMYFUNCTION("""COMPUTED_VALUE"""),312.22)</f>
        <v>312.22</v>
      </c>
      <c r="C1174" s="1">
        <f>IFERROR(__xludf.DUMMYFUNCTION("""COMPUTED_VALUE"""),332.69)</f>
        <v>332.69</v>
      </c>
      <c r="D1174" s="1">
        <f>IFERROR(__xludf.DUMMYFUNCTION("""COMPUTED_VALUE"""),306.46)</f>
        <v>306.46</v>
      </c>
      <c r="E1174" s="1">
        <f>IFERROR(__xludf.DUMMYFUNCTION("""COMPUTED_VALUE"""),331.25)</f>
        <v>331.25</v>
      </c>
      <c r="F1174" s="1">
        <f>IFERROR(__xludf.DUMMYFUNCTION("""COMPUTED_VALUE"""),8.8205849E7)</f>
        <v>88205849</v>
      </c>
    </row>
    <row r="1175">
      <c r="A1175" s="2">
        <f>IFERROR(__xludf.DUMMYFUNCTION("""COMPUTED_VALUE"""),46059.66666666667)</f>
        <v>46059.66667</v>
      </c>
      <c r="B1175" s="1">
        <f>IFERROR(__xludf.DUMMYFUNCTION("""COMPUTED_VALUE"""),327.18)</f>
        <v>327.18</v>
      </c>
      <c r="C1175" s="1">
        <f>IFERROR(__xludf.DUMMYFUNCTION("""COMPUTED_VALUE"""),330.38)</f>
        <v>330.38</v>
      </c>
      <c r="D1175" s="1">
        <f>IFERROR(__xludf.DUMMYFUNCTION("""COMPUTED_VALUE"""),319.92)</f>
        <v>319.92</v>
      </c>
      <c r="E1175" s="1">
        <f>IFERROR(__xludf.DUMMYFUNCTION("""COMPUTED_VALUE"""),322.86)</f>
        <v>322.86</v>
      </c>
      <c r="F1175" s="1">
        <f>IFERROR(__xludf.DUMMYFUNCTION("""COMPUTED_VALUE"""),5.6380484E7)</f>
        <v>56380484</v>
      </c>
    </row>
    <row r="1176">
      <c r="A1176" s="2">
        <f>IFERROR(__xludf.DUMMYFUNCTION("""COMPUTED_VALUE"""),46062.66666666667)</f>
        <v>46062.66667</v>
      </c>
      <c r="B1176" s="1">
        <f>IFERROR(__xludf.DUMMYFUNCTION("""COMPUTED_VALUE"""),320.93)</f>
        <v>320.93</v>
      </c>
      <c r="C1176" s="1">
        <f>IFERROR(__xludf.DUMMYFUNCTION("""COMPUTED_VALUE"""),327.7)</f>
        <v>327.7</v>
      </c>
      <c r="D1176" s="1">
        <f>IFERROR(__xludf.DUMMYFUNCTION("""COMPUTED_VALUE"""),317.26)</f>
        <v>317.26</v>
      </c>
      <c r="E1176" s="1">
        <f>IFERROR(__xludf.DUMMYFUNCTION("""COMPUTED_VALUE"""),324.32)</f>
        <v>324.32</v>
      </c>
      <c r="F1176" s="1">
        <f>IFERROR(__xludf.DUMMYFUNCTION("""COMPUTED_VALUE"""),3.9640055E7)</f>
        <v>39640055</v>
      </c>
    </row>
    <row r="1177">
      <c r="A1177" s="2">
        <f>IFERROR(__xludf.DUMMYFUNCTION("""COMPUTED_VALUE"""),46063.66666666667)</f>
        <v>46063.66667</v>
      </c>
      <c r="B1177" s="1">
        <f>IFERROR(__xludf.DUMMYFUNCTION("""COMPUTED_VALUE"""),320.97)</f>
        <v>320.97</v>
      </c>
      <c r="C1177" s="1">
        <f>IFERROR(__xludf.DUMMYFUNCTION("""COMPUTED_VALUE"""),321.67)</f>
        <v>321.67</v>
      </c>
      <c r="D1177" s="1">
        <f>IFERROR(__xludf.DUMMYFUNCTION("""COMPUTED_VALUE"""),314.61)</f>
        <v>314.61</v>
      </c>
      <c r="E1177" s="1">
        <f>IFERROR(__xludf.DUMMYFUNCTION("""COMPUTED_VALUE"""),318.58)</f>
        <v>318.58</v>
      </c>
      <c r="F1177" s="1">
        <f>IFERROR(__xludf.DUMMYFUNCTION("""COMPUTED_VALUE"""),3.9170012E7)</f>
        <v>39170012</v>
      </c>
    </row>
    <row r="1178">
      <c r="A1178" s="2">
        <f>IFERROR(__xludf.DUMMYFUNCTION("""COMPUTED_VALUE"""),46064.66666666667)</f>
        <v>46064.66667</v>
      </c>
      <c r="B1178" s="1">
        <f>IFERROR(__xludf.DUMMYFUNCTION("""COMPUTED_VALUE"""),318.97)</f>
        <v>318.97</v>
      </c>
      <c r="C1178" s="1">
        <f>IFERROR(__xludf.DUMMYFUNCTION("""COMPUTED_VALUE"""),321.06)</f>
        <v>321.06</v>
      </c>
      <c r="D1178" s="1">
        <f>IFERROR(__xludf.DUMMYFUNCTION("""COMPUTED_VALUE"""),309.66)</f>
        <v>309.66</v>
      </c>
      <c r="E1178" s="1">
        <f>IFERROR(__xludf.DUMMYFUNCTION("""COMPUTED_VALUE"""),310.96)</f>
        <v>310.96</v>
      </c>
      <c r="F1178" s="1">
        <f>IFERROR(__xludf.DUMMYFUNCTION("""COMPUTED_VALUE"""),4.5406405E7)</f>
        <v>45406405</v>
      </c>
    </row>
    <row r="1179">
      <c r="A1179" s="2">
        <f>IFERROR(__xludf.DUMMYFUNCTION("""COMPUTED_VALUE"""),46065.66666666667)</f>
        <v>46065.66667</v>
      </c>
      <c r="B1179" s="1">
        <f>IFERROR(__xludf.DUMMYFUNCTION("""COMPUTED_VALUE"""),312.09)</f>
        <v>312.09</v>
      </c>
      <c r="C1179" s="1">
        <f>IFERROR(__xludf.DUMMYFUNCTION("""COMPUTED_VALUE"""),316.24)</f>
        <v>316.24</v>
      </c>
      <c r="D1179" s="1">
        <f>IFERROR(__xludf.DUMMYFUNCTION("""COMPUTED_VALUE"""),307.2)</f>
        <v>307.2</v>
      </c>
      <c r="E1179" s="1">
        <f>IFERROR(__xludf.DUMMYFUNCTION("""COMPUTED_VALUE"""),309.0)</f>
        <v>309</v>
      </c>
      <c r="F1179" s="1">
        <f>IFERROR(__xludf.DUMMYFUNCTION("""COMPUTED_VALUE"""),4.7761288E7)</f>
        <v>47761288</v>
      </c>
    </row>
    <row r="1180">
      <c r="A1180" s="2">
        <f>IFERROR(__xludf.DUMMYFUNCTION("""COMPUTED_VALUE"""),46066.66666666667)</f>
        <v>46066.66667</v>
      </c>
      <c r="B1180" s="1">
        <f>IFERROR(__xludf.DUMMYFUNCTION("""COMPUTED_VALUE"""),307.73)</f>
        <v>307.73</v>
      </c>
      <c r="C1180" s="1">
        <f>IFERROR(__xludf.DUMMYFUNCTION("""COMPUTED_VALUE"""),308.63)</f>
        <v>308.63</v>
      </c>
      <c r="D1180" s="1">
        <f>IFERROR(__xludf.DUMMYFUNCTION("""COMPUTED_VALUE"""),303.71)</f>
        <v>303.71</v>
      </c>
      <c r="E1180" s="1">
        <f>IFERROR(__xludf.DUMMYFUNCTION("""COMPUTED_VALUE"""),305.72)</f>
        <v>305.72</v>
      </c>
      <c r="F1180" s="1">
        <f>IFERROR(__xludf.DUMMYFUNCTION("""COMPUTED_VALUE"""),3.8499701E7)</f>
        <v>38499701</v>
      </c>
    </row>
    <row r="1181">
      <c r="A1181" s="2">
        <f>IFERROR(__xludf.DUMMYFUNCTION("""COMPUTED_VALUE"""),46070.66666666667)</f>
        <v>46070.66667</v>
      </c>
      <c r="B1181" s="1">
        <f>IFERROR(__xludf.DUMMYFUNCTION("""COMPUTED_VALUE"""),300.04)</f>
        <v>300.04</v>
      </c>
      <c r="C1181" s="1">
        <f>IFERROR(__xludf.DUMMYFUNCTION("""COMPUTED_VALUE"""),304.44)</f>
        <v>304.44</v>
      </c>
      <c r="D1181" s="1">
        <f>IFERROR(__xludf.DUMMYFUNCTION("""COMPUTED_VALUE"""),296.25)</f>
        <v>296.25</v>
      </c>
      <c r="E1181" s="1">
        <f>IFERROR(__xludf.DUMMYFUNCTION("""COMPUTED_VALUE"""),302.02)</f>
        <v>302.02</v>
      </c>
      <c r="F1181" s="1">
        <f>IFERROR(__xludf.DUMMYFUNCTION("""COMPUTED_VALUE"""),3.9247556E7)</f>
        <v>39247556</v>
      </c>
    </row>
    <row r="1182">
      <c r="A1182" s="2">
        <f>IFERROR(__xludf.DUMMYFUNCTION("""COMPUTED_VALUE"""),46071.66666666667)</f>
        <v>46071.66667</v>
      </c>
      <c r="B1182" s="1">
        <f>IFERROR(__xludf.DUMMYFUNCTION("""COMPUTED_VALUE"""),302.09)</f>
        <v>302.09</v>
      </c>
      <c r="C1182" s="1">
        <f>IFERROR(__xludf.DUMMYFUNCTION("""COMPUTED_VALUE"""),305.38)</f>
        <v>305.38</v>
      </c>
      <c r="D1182" s="1">
        <f>IFERROR(__xludf.DUMMYFUNCTION("""COMPUTED_VALUE"""),301.25)</f>
        <v>301.25</v>
      </c>
      <c r="E1182" s="1">
        <f>IFERROR(__xludf.DUMMYFUNCTION("""COMPUTED_VALUE"""),303.33)</f>
        <v>303.33</v>
      </c>
      <c r="F1182" s="1">
        <f>IFERROR(__xludf.DUMMYFUNCTION("""COMPUTED_VALUE"""),2.8482075E7)</f>
        <v>28482075</v>
      </c>
    </row>
    <row r="1183">
      <c r="A1183" s="2">
        <f>IFERROR(__xludf.DUMMYFUNCTION("""COMPUTED_VALUE"""),46072.66666666667)</f>
        <v>46072.66667</v>
      </c>
      <c r="B1183" s="1">
        <f>IFERROR(__xludf.DUMMYFUNCTION("""COMPUTED_VALUE"""),301.82)</f>
        <v>301.82</v>
      </c>
      <c r="C1183" s="1">
        <f>IFERROR(__xludf.DUMMYFUNCTION("""COMPUTED_VALUE"""),305.47)</f>
        <v>305.47</v>
      </c>
      <c r="D1183" s="1">
        <f>IFERROR(__xludf.DUMMYFUNCTION("""COMPUTED_VALUE"""),300.04)</f>
        <v>300.04</v>
      </c>
      <c r="E1183" s="1">
        <f>IFERROR(__xludf.DUMMYFUNCTION("""COMPUTED_VALUE"""),302.85)</f>
        <v>302.85</v>
      </c>
      <c r="F1183" s="1">
        <f>IFERROR(__xludf.DUMMYFUNCTION("""COMPUTED_VALUE"""),2.5834395E7)</f>
        <v>25834395</v>
      </c>
    </row>
    <row r="1184">
      <c r="A1184" s="2">
        <f>IFERROR(__xludf.DUMMYFUNCTION("""COMPUTED_VALUE"""),46073.66666666667)</f>
        <v>46073.66667</v>
      </c>
      <c r="B1184" s="1">
        <f>IFERROR(__xludf.DUMMYFUNCTION("""COMPUTED_VALUE"""),304.32)</f>
        <v>304.32</v>
      </c>
      <c r="C1184" s="1">
        <f>IFERROR(__xludf.DUMMYFUNCTION("""COMPUTED_VALUE"""),316.5)</f>
        <v>316.5</v>
      </c>
      <c r="D1184" s="1">
        <f>IFERROR(__xludf.DUMMYFUNCTION("""COMPUTED_VALUE"""),303.9)</f>
        <v>303.9</v>
      </c>
      <c r="E1184" s="1">
        <f>IFERROR(__xludf.DUMMYFUNCTION("""COMPUTED_VALUE"""),314.98)</f>
        <v>314.98</v>
      </c>
      <c r="F1184" s="1">
        <f>IFERROR(__xludf.DUMMYFUNCTION("""COMPUTED_VALUE"""),5.321082E7)</f>
        <v>53210820</v>
      </c>
    </row>
    <row r="1185">
      <c r="A1185" s="2">
        <f>IFERROR(__xludf.DUMMYFUNCTION("""COMPUTED_VALUE"""),46076.66666666667)</f>
        <v>46076.66667</v>
      </c>
      <c r="B1185" s="1">
        <f>IFERROR(__xludf.DUMMYFUNCTION("""COMPUTED_VALUE"""),319.05)</f>
        <v>319.05</v>
      </c>
      <c r="C1185" s="1">
        <f>IFERROR(__xludf.DUMMYFUNCTION("""COMPUTED_VALUE"""),319.52)</f>
        <v>319.52</v>
      </c>
      <c r="D1185" s="1">
        <f>IFERROR(__xludf.DUMMYFUNCTION("""COMPUTED_VALUE"""),309.87)</f>
        <v>309.87</v>
      </c>
      <c r="E1185" s="1">
        <f>IFERROR(__xludf.DUMMYFUNCTION("""COMPUTED_VALUE"""),311.49)</f>
        <v>311.49</v>
      </c>
      <c r="F1185" s="1">
        <f>IFERROR(__xludf.DUMMYFUNCTION("""COMPUTED_VALUE"""),3.1320794E7)</f>
        <v>31320794</v>
      </c>
    </row>
    <row r="1186">
      <c r="A1186" s="2">
        <f>IFERROR(__xludf.DUMMYFUNCTION("""COMPUTED_VALUE"""),46077.66666666667)</f>
        <v>46077.66667</v>
      </c>
      <c r="B1186" s="1">
        <f>IFERROR(__xludf.DUMMYFUNCTION("""COMPUTED_VALUE"""),310.52)</f>
        <v>310.52</v>
      </c>
      <c r="C1186" s="1">
        <f>IFERROR(__xludf.DUMMYFUNCTION("""COMPUTED_VALUE"""),312.27)</f>
        <v>312.27</v>
      </c>
      <c r="D1186" s="1">
        <f>IFERROR(__xludf.DUMMYFUNCTION("""COMPUTED_VALUE"""),305.93)</f>
        <v>305.93</v>
      </c>
      <c r="E1186" s="1">
        <f>IFERROR(__xludf.DUMMYFUNCTION("""COMPUTED_VALUE"""),310.9)</f>
        <v>310.9</v>
      </c>
      <c r="F1186" s="1">
        <f>IFERROR(__xludf.DUMMYFUNCTION("""COMPUTED_VALUE"""),2.5454402E7)</f>
        <v>25454402</v>
      </c>
    </row>
    <row r="1187">
      <c r="A1187" s="2">
        <f>IFERROR(__xludf.DUMMYFUNCTION("""COMPUTED_VALUE"""),46078.66666666667)</f>
        <v>46078.66667</v>
      </c>
      <c r="B1187" s="1">
        <f>IFERROR(__xludf.DUMMYFUNCTION("""COMPUTED_VALUE"""),312.06)</f>
        <v>312.06</v>
      </c>
      <c r="C1187" s="1">
        <f>IFERROR(__xludf.DUMMYFUNCTION("""COMPUTED_VALUE"""),313.64)</f>
        <v>313.64</v>
      </c>
      <c r="D1187" s="1">
        <f>IFERROR(__xludf.DUMMYFUNCTION("""COMPUTED_VALUE"""),309.44)</f>
        <v>309.44</v>
      </c>
      <c r="E1187" s="1">
        <f>IFERROR(__xludf.DUMMYFUNCTION("""COMPUTED_VALUE"""),312.9)</f>
        <v>312.9</v>
      </c>
      <c r="F1187" s="1">
        <f>IFERROR(__xludf.DUMMYFUNCTION("""COMPUTED_VALUE"""),2.8996801E7)</f>
        <v>28996801</v>
      </c>
    </row>
    <row r="1188">
      <c r="A1188" s="2">
        <f>IFERROR(__xludf.DUMMYFUNCTION("""COMPUTED_VALUE"""),46079.66666666667)</f>
        <v>46079.66667</v>
      </c>
      <c r="B1188" s="1">
        <f>IFERROR(__xludf.DUMMYFUNCTION("""COMPUTED_VALUE"""),312.64)</f>
        <v>312.64</v>
      </c>
      <c r="C1188" s="1">
        <f>IFERROR(__xludf.DUMMYFUNCTION("""COMPUTED_VALUE"""),313.14)</f>
        <v>313.14</v>
      </c>
      <c r="D1188" s="1">
        <f>IFERROR(__xludf.DUMMYFUNCTION("""COMPUTED_VALUE"""),302.35)</f>
        <v>302.35</v>
      </c>
      <c r="E1188" s="1">
        <f>IFERROR(__xludf.DUMMYFUNCTION("""COMPUTED_VALUE"""),307.38)</f>
        <v>307.38</v>
      </c>
      <c r="F1188" s="1">
        <f>IFERROR(__xludf.DUMMYFUNCTION("""COMPUTED_VALUE"""),3.5575976E7)</f>
        <v>35575976</v>
      </c>
    </row>
    <row r="1189">
      <c r="A1189" s="2">
        <f>IFERROR(__xludf.DUMMYFUNCTION("""COMPUTED_VALUE"""),46080.66666666667)</f>
        <v>46080.66667</v>
      </c>
      <c r="B1189" s="1">
        <f>IFERROR(__xludf.DUMMYFUNCTION("""COMPUTED_VALUE"""),304.14)</f>
        <v>304.14</v>
      </c>
      <c r="C1189" s="1">
        <f>IFERROR(__xludf.DUMMYFUNCTION("""COMPUTED_VALUE"""),312.37)</f>
        <v>312.37</v>
      </c>
      <c r="D1189" s="1">
        <f>IFERROR(__xludf.DUMMYFUNCTION("""COMPUTED_VALUE"""),303.8)</f>
        <v>303.8</v>
      </c>
      <c r="E1189" s="1">
        <f>IFERROR(__xludf.DUMMYFUNCTION("""COMPUTED_VALUE"""),311.76)</f>
        <v>311.76</v>
      </c>
      <c r="F1189" s="1">
        <f>IFERROR(__xludf.DUMMYFUNCTION("""COMPUTED_VALUE"""),4.412352E7)</f>
        <v>44123520</v>
      </c>
    </row>
    <row r="1190">
      <c r="A1190" s="2">
        <f>IFERROR(__xludf.DUMMYFUNCTION("""COMPUTED_VALUE"""),46083.66666666667)</f>
        <v>46083.66667</v>
      </c>
      <c r="B1190" s="1">
        <f>IFERROR(__xludf.DUMMYFUNCTION("""COMPUTED_VALUE"""),303.23)</f>
        <v>303.23</v>
      </c>
      <c r="C1190" s="1">
        <f>IFERROR(__xludf.DUMMYFUNCTION("""COMPUTED_VALUE"""),308.49)</f>
        <v>308.49</v>
      </c>
      <c r="D1190" s="1">
        <f>IFERROR(__xludf.DUMMYFUNCTION("""COMPUTED_VALUE"""),301.3)</f>
        <v>301.3</v>
      </c>
      <c r="E1190" s="1">
        <f>IFERROR(__xludf.DUMMYFUNCTION("""COMPUTED_VALUE"""),306.52)</f>
        <v>306.52</v>
      </c>
      <c r="F1190" s="1">
        <f>IFERROR(__xludf.DUMMYFUNCTION("""COMPUTED_VALUE"""),3.4329298E7)</f>
        <v>34329298</v>
      </c>
    </row>
    <row r="1191">
      <c r="A1191" s="2">
        <f>IFERROR(__xludf.DUMMYFUNCTION("""COMPUTED_VALUE"""),46084.66666666667)</f>
        <v>46084.66667</v>
      </c>
      <c r="B1191" s="1">
        <f>IFERROR(__xludf.DUMMYFUNCTION("""COMPUTED_VALUE"""),298.59)</f>
        <v>298.59</v>
      </c>
      <c r="C1191" s="1">
        <f>IFERROR(__xludf.DUMMYFUNCTION("""COMPUTED_VALUE"""),303.94)</f>
        <v>303.94</v>
      </c>
      <c r="D1191" s="1">
        <f>IFERROR(__xludf.DUMMYFUNCTION("""COMPUTED_VALUE"""),296.71)</f>
        <v>296.71</v>
      </c>
      <c r="E1191" s="1">
        <f>IFERROR(__xludf.DUMMYFUNCTION("""COMPUTED_VALUE"""),303.58)</f>
        <v>303.58</v>
      </c>
      <c r="F1191" s="1">
        <f>IFERROR(__xludf.DUMMYFUNCTION("""COMPUTED_VALUE"""),3.4766488E7)</f>
        <v>34766488</v>
      </c>
    </row>
    <row r="1192">
      <c r="A1192" s="2">
        <f>IFERROR(__xludf.DUMMYFUNCTION("""COMPUTED_VALUE"""),46085.66666666667)</f>
        <v>46085.66667</v>
      </c>
      <c r="B1192" s="1">
        <f>IFERROR(__xludf.DUMMYFUNCTION("""COMPUTED_VALUE"""),302.89)</f>
        <v>302.89</v>
      </c>
      <c r="C1192" s="1">
        <f>IFERROR(__xludf.DUMMYFUNCTION("""COMPUTED_VALUE"""),305.47)</f>
        <v>305.47</v>
      </c>
      <c r="D1192" s="1">
        <f>IFERROR(__xludf.DUMMYFUNCTION("""COMPUTED_VALUE"""),300.75)</f>
        <v>300.75</v>
      </c>
      <c r="E1192" s="1">
        <f>IFERROR(__xludf.DUMMYFUNCTION("""COMPUTED_VALUE"""),303.13)</f>
        <v>303.13</v>
      </c>
      <c r="F1192" s="1">
        <f>IFERROR(__xludf.DUMMYFUNCTION("""COMPUTED_VALUE"""),2.9155372E7)</f>
        <v>29155372</v>
      </c>
    </row>
    <row r="1193">
      <c r="A1193" s="2">
        <f>IFERROR(__xludf.DUMMYFUNCTION("""COMPUTED_VALUE"""),46086.66666666667)</f>
        <v>46086.66667</v>
      </c>
      <c r="B1193" s="1">
        <f>IFERROR(__xludf.DUMMYFUNCTION("""COMPUTED_VALUE"""),303.04)</f>
        <v>303.04</v>
      </c>
      <c r="C1193" s="1">
        <f>IFERROR(__xludf.DUMMYFUNCTION("""COMPUTED_VALUE"""),303.3)</f>
        <v>303.3</v>
      </c>
      <c r="D1193" s="1">
        <f>IFERROR(__xludf.DUMMYFUNCTION("""COMPUTED_VALUE"""),297.99)</f>
        <v>297.99</v>
      </c>
      <c r="E1193" s="1">
        <f>IFERROR(__xludf.DUMMYFUNCTION("""COMPUTED_VALUE"""),300.88)</f>
        <v>300.88</v>
      </c>
      <c r="F1193" s="1">
        <f>IFERROR(__xludf.DUMMYFUNCTION("""COMPUTED_VALUE"""),3.5548061E7)</f>
        <v>35548061</v>
      </c>
    </row>
    <row r="1194">
      <c r="A1194" s="2">
        <f>IFERROR(__xludf.DUMMYFUNCTION("""COMPUTED_VALUE"""),46087.66666666667)</f>
        <v>46087.66667</v>
      </c>
      <c r="B1194" s="1">
        <f>IFERROR(__xludf.DUMMYFUNCTION("""COMPUTED_VALUE"""),296.09)</f>
        <v>296.09</v>
      </c>
      <c r="C1194" s="1">
        <f>IFERROR(__xludf.DUMMYFUNCTION("""COMPUTED_VALUE"""),300.53)</f>
        <v>300.53</v>
      </c>
      <c r="D1194" s="1">
        <f>IFERROR(__xludf.DUMMYFUNCTION("""COMPUTED_VALUE"""),295.18)</f>
        <v>295.18</v>
      </c>
      <c r="E1194" s="1">
        <f>IFERROR(__xludf.DUMMYFUNCTION("""COMPUTED_VALUE"""),298.52)</f>
        <v>298.52</v>
      </c>
      <c r="F1194" s="1">
        <f>IFERROR(__xludf.DUMMYFUNCTION("""COMPUTED_VALUE"""),2.5159293E7)</f>
        <v>25159293</v>
      </c>
    </row>
    <row r="1195">
      <c r="A1195" s="2">
        <f>IFERROR(__xludf.DUMMYFUNCTION("""COMPUTED_VALUE"""),46090.66666666667)</f>
        <v>46090.66667</v>
      </c>
      <c r="B1195" s="1">
        <f>IFERROR(__xludf.DUMMYFUNCTION("""COMPUTED_VALUE"""),294.36)</f>
        <v>294.36</v>
      </c>
      <c r="C1195" s="1">
        <f>IFERROR(__xludf.DUMMYFUNCTION("""COMPUTED_VALUE"""),306.8)</f>
        <v>306.8</v>
      </c>
      <c r="D1195" s="1">
        <f>IFERROR(__xludf.DUMMYFUNCTION("""COMPUTED_VALUE"""),294.08)</f>
        <v>294.08</v>
      </c>
      <c r="E1195" s="1">
        <f>IFERROR(__xludf.DUMMYFUNCTION("""COMPUTED_VALUE"""),306.36)</f>
        <v>306.36</v>
      </c>
      <c r="F1195" s="1">
        <f>IFERROR(__xludf.DUMMYFUNCTION("""COMPUTED_VALUE"""),2.9061718E7)</f>
        <v>29061718</v>
      </c>
    </row>
    <row r="1196">
      <c r="A1196" s="2">
        <f>IFERROR(__xludf.DUMMYFUNCTION("""COMPUTED_VALUE"""),46091.66666666667)</f>
        <v>46091.66667</v>
      </c>
      <c r="B1196" s="1">
        <f>IFERROR(__xludf.DUMMYFUNCTION("""COMPUTED_VALUE"""),306.17)</f>
        <v>306.17</v>
      </c>
      <c r="C1196" s="1">
        <f>IFERROR(__xludf.DUMMYFUNCTION("""COMPUTED_VALUE"""),309.51)</f>
        <v>309.51</v>
      </c>
      <c r="D1196" s="1">
        <f>IFERROR(__xludf.DUMMYFUNCTION("""COMPUTED_VALUE"""),305.57)</f>
        <v>305.57</v>
      </c>
      <c r="E1196" s="1">
        <f>IFERROR(__xludf.DUMMYFUNCTION("""COMPUTED_VALUE"""),307.04)</f>
        <v>307.04</v>
      </c>
      <c r="F1196" s="1">
        <f>IFERROR(__xludf.DUMMYFUNCTION("""COMPUTED_VALUE"""),2.3156761E7)</f>
        <v>23156761</v>
      </c>
    </row>
    <row r="1197">
      <c r="A1197" s="2">
        <f>IFERROR(__xludf.DUMMYFUNCTION("""COMPUTED_VALUE"""),46092.66666666667)</f>
        <v>46092.66667</v>
      </c>
      <c r="B1197" s="1">
        <f>IFERROR(__xludf.DUMMYFUNCTION("""COMPUTED_VALUE"""),306.75)</f>
        <v>306.75</v>
      </c>
      <c r="C1197" s="1">
        <f>IFERROR(__xludf.DUMMYFUNCTION("""COMPUTED_VALUE"""),311.42)</f>
        <v>311.42</v>
      </c>
      <c r="D1197" s="1">
        <f>IFERROR(__xludf.DUMMYFUNCTION("""COMPUTED_VALUE"""),305.92)</f>
        <v>305.92</v>
      </c>
      <c r="E1197" s="1">
        <f>IFERROR(__xludf.DUMMYFUNCTION("""COMPUTED_VALUE"""),308.7)</f>
        <v>308.7</v>
      </c>
      <c r="F1197" s="1">
        <f>IFERROR(__xludf.DUMMYFUNCTION("""COMPUTED_VALUE"""),2.4125714E7)</f>
        <v>24125714</v>
      </c>
    </row>
    <row r="1198">
      <c r="A1198" s="2">
        <f>IFERROR(__xludf.DUMMYFUNCTION("""COMPUTED_VALUE"""),46093.66666666667)</f>
        <v>46093.66667</v>
      </c>
      <c r="B1198" s="1">
        <f>IFERROR(__xludf.DUMMYFUNCTION("""COMPUTED_VALUE"""),306.82)</f>
        <v>306.82</v>
      </c>
      <c r="C1198" s="1">
        <f>IFERROR(__xludf.DUMMYFUNCTION("""COMPUTED_VALUE"""),308.94)</f>
        <v>308.94</v>
      </c>
      <c r="D1198" s="1">
        <f>IFERROR(__xludf.DUMMYFUNCTION("""COMPUTED_VALUE"""),301.03)</f>
        <v>301.03</v>
      </c>
      <c r="E1198" s="1">
        <f>IFERROR(__xludf.DUMMYFUNCTION("""COMPUTED_VALUE"""),303.55)</f>
        <v>303.55</v>
      </c>
      <c r="F1198" s="1">
        <f>IFERROR(__xludf.DUMMYFUNCTION("""COMPUTED_VALUE"""),2.4928348E7)</f>
        <v>24928348</v>
      </c>
    </row>
    <row r="1199">
      <c r="A1199" s="2">
        <f>IFERROR(__xludf.DUMMYFUNCTION("""COMPUTED_VALUE"""),46094.66666666667)</f>
        <v>46094.66667</v>
      </c>
      <c r="B1199" s="1">
        <f>IFERROR(__xludf.DUMMYFUNCTION("""COMPUTED_VALUE"""),307.01)</f>
        <v>307.01</v>
      </c>
      <c r="C1199" s="1">
        <f>IFERROR(__xludf.DUMMYFUNCTION("""COMPUTED_VALUE"""),307.69)</f>
        <v>307.69</v>
      </c>
      <c r="D1199" s="1">
        <f>IFERROR(__xludf.DUMMYFUNCTION("""COMPUTED_VALUE"""),300.44)</f>
        <v>300.44</v>
      </c>
      <c r="E1199" s="1">
        <f>IFERROR(__xludf.DUMMYFUNCTION("""COMPUTED_VALUE"""),302.28)</f>
        <v>302.28</v>
      </c>
      <c r="F1199" s="1">
        <f>IFERROR(__xludf.DUMMYFUNCTION("""COMPUTED_VALUE"""),2.3693092E7)</f>
        <v>23693092</v>
      </c>
    </row>
    <row r="1200">
      <c r="A1200" s="2">
        <f>IFERROR(__xludf.DUMMYFUNCTION("""COMPUTED_VALUE"""),46097.66666666667)</f>
        <v>46097.66667</v>
      </c>
      <c r="B1200" s="1">
        <f>IFERROR(__xludf.DUMMYFUNCTION("""COMPUTED_VALUE"""),304.35)</f>
        <v>304.35</v>
      </c>
      <c r="C1200" s="1">
        <f>IFERROR(__xludf.DUMMYFUNCTION("""COMPUTED_VALUE"""),306.49)</f>
        <v>306.49</v>
      </c>
      <c r="D1200" s="1">
        <f>IFERROR(__xludf.DUMMYFUNCTION("""COMPUTED_VALUE"""),303.02)</f>
        <v>303.02</v>
      </c>
      <c r="E1200" s="1">
        <f>IFERROR(__xludf.DUMMYFUNCTION("""COMPUTED_VALUE"""),305.56)</f>
        <v>305.56</v>
      </c>
      <c r="F1200" s="1">
        <f>IFERROR(__xludf.DUMMYFUNCTION("""COMPUTED_VALUE"""),2.351971E7)</f>
        <v>23519710</v>
      </c>
    </row>
    <row r="1201">
      <c r="A1201" s="2">
        <f>IFERROR(__xludf.DUMMYFUNCTION("""COMPUTED_VALUE"""),46098.66666666667)</f>
        <v>46098.66667</v>
      </c>
      <c r="B1201" s="1">
        <f>IFERROR(__xludf.DUMMYFUNCTION("""COMPUTED_VALUE"""),305.86)</f>
        <v>305.86</v>
      </c>
      <c r="C1201" s="1">
        <f>IFERROR(__xludf.DUMMYFUNCTION("""COMPUTED_VALUE"""),311.42)</f>
        <v>311.42</v>
      </c>
      <c r="D1201" s="1">
        <f>IFERROR(__xludf.DUMMYFUNCTION("""COMPUTED_VALUE"""),305.5)</f>
        <v>305.5</v>
      </c>
      <c r="E1201" s="1">
        <f>IFERROR(__xludf.DUMMYFUNCTION("""COMPUTED_VALUE"""),310.92)</f>
        <v>310.92</v>
      </c>
      <c r="F1201" s="1">
        <f>IFERROR(__xludf.DUMMYFUNCTION("""COMPUTED_VALUE"""),2.1955171E7)</f>
        <v>21955171</v>
      </c>
    </row>
    <row r="1202">
      <c r="A1202" s="2">
        <f>IFERROR(__xludf.DUMMYFUNCTION("""COMPUTED_VALUE"""),46099.66666666667)</f>
        <v>46099.66667</v>
      </c>
      <c r="B1202" s="1">
        <f>IFERROR(__xludf.DUMMYFUNCTION("""COMPUTED_VALUE"""),309.27)</f>
        <v>309.27</v>
      </c>
      <c r="C1202" s="1">
        <f>IFERROR(__xludf.DUMMYFUNCTION("""COMPUTED_VALUE"""),312.47)</f>
        <v>312.47</v>
      </c>
      <c r="D1202" s="1">
        <f>IFERROR(__xludf.DUMMYFUNCTION("""COMPUTED_VALUE"""),306.93)</f>
        <v>306.93</v>
      </c>
      <c r="E1202" s="1">
        <f>IFERROR(__xludf.DUMMYFUNCTION("""COMPUTED_VALUE"""),307.69)</f>
        <v>307.69</v>
      </c>
      <c r="F1202" s="1">
        <f>IFERROR(__xludf.DUMMYFUNCTION("""COMPUTED_VALUE"""),2.0009816E7)</f>
        <v>20009816</v>
      </c>
    </row>
    <row r="1203">
      <c r="A1203" s="2">
        <f>IFERROR(__xludf.DUMMYFUNCTION("""COMPUTED_VALUE"""),46100.66666666667)</f>
        <v>46100.66667</v>
      </c>
      <c r="B1203" s="1">
        <f>IFERROR(__xludf.DUMMYFUNCTION("""COMPUTED_VALUE"""),304.01)</f>
        <v>304.01</v>
      </c>
      <c r="C1203" s="1">
        <f>IFERROR(__xludf.DUMMYFUNCTION("""COMPUTED_VALUE"""),308.06)</f>
        <v>308.06</v>
      </c>
      <c r="D1203" s="1">
        <f>IFERROR(__xludf.DUMMYFUNCTION("""COMPUTED_VALUE"""),302.35)</f>
        <v>302.35</v>
      </c>
      <c r="E1203" s="1">
        <f>IFERROR(__xludf.DUMMYFUNCTION("""COMPUTED_VALUE"""),307.13)</f>
        <v>307.13</v>
      </c>
      <c r="F1203" s="1">
        <f>IFERROR(__xludf.DUMMYFUNCTION("""COMPUTED_VALUE"""),2.5075831E7)</f>
        <v>25075831</v>
      </c>
    </row>
    <row r="1204">
      <c r="A1204" s="2">
        <f>IFERROR(__xludf.DUMMYFUNCTION("""COMPUTED_VALUE"""),46101.66666666667)</f>
        <v>46101.66667</v>
      </c>
      <c r="B1204" s="1">
        <f>IFERROR(__xludf.DUMMYFUNCTION("""COMPUTED_VALUE"""),305.46)</f>
        <v>305.46</v>
      </c>
      <c r="C1204" s="1">
        <f>IFERROR(__xludf.DUMMYFUNCTION("""COMPUTED_VALUE"""),306.0)</f>
        <v>306</v>
      </c>
      <c r="D1204" s="1">
        <f>IFERROR(__xludf.DUMMYFUNCTION("""COMPUTED_VALUE"""),298.27)</f>
        <v>298.27</v>
      </c>
      <c r="E1204" s="1">
        <f>IFERROR(__xludf.DUMMYFUNCTION("""COMPUTED_VALUE"""),301.0)</f>
        <v>301</v>
      </c>
      <c r="F1204" s="1">
        <f>IFERROR(__xludf.DUMMYFUNCTION("""COMPUTED_VALUE"""),4.436408E7)</f>
        <v>44364080</v>
      </c>
    </row>
    <row r="1205">
      <c r="A1205" s="2">
        <f>IFERROR(__xludf.DUMMYFUNCTION("""COMPUTED_VALUE"""),46104.66666666667)</f>
        <v>46104.66667</v>
      </c>
      <c r="B1205" s="1">
        <f>IFERROR(__xludf.DUMMYFUNCTION("""COMPUTED_VALUE"""),302.11)</f>
        <v>302.11</v>
      </c>
      <c r="C1205" s="1">
        <f>IFERROR(__xludf.DUMMYFUNCTION("""COMPUTED_VALUE"""),305.98)</f>
        <v>305.98</v>
      </c>
      <c r="D1205" s="1">
        <f>IFERROR(__xludf.DUMMYFUNCTION("""COMPUTED_VALUE"""),300.93)</f>
        <v>300.93</v>
      </c>
      <c r="E1205" s="1">
        <f>IFERROR(__xludf.DUMMYFUNCTION("""COMPUTED_VALUE"""),302.06)</f>
        <v>302.06</v>
      </c>
      <c r="F1205" s="1">
        <f>IFERROR(__xludf.DUMMYFUNCTION("""COMPUTED_VALUE"""),2.9326946E7)</f>
        <v>29326946</v>
      </c>
    </row>
    <row r="1206">
      <c r="A1206" s="2">
        <f>IFERROR(__xludf.DUMMYFUNCTION("""COMPUTED_VALUE"""),46105.66666666667)</f>
        <v>46105.66667</v>
      </c>
      <c r="B1206" s="1">
        <f>IFERROR(__xludf.DUMMYFUNCTION("""COMPUTED_VALUE"""),299.2)</f>
        <v>299.2</v>
      </c>
      <c r="C1206" s="1">
        <f>IFERROR(__xludf.DUMMYFUNCTION("""COMPUTED_VALUE"""),299.92)</f>
        <v>299.92</v>
      </c>
      <c r="D1206" s="1">
        <f>IFERROR(__xludf.DUMMYFUNCTION("""COMPUTED_VALUE"""),290.33)</f>
        <v>290.33</v>
      </c>
      <c r="E1206" s="1">
        <f>IFERROR(__xludf.DUMMYFUNCTION("""COMPUTED_VALUE"""),290.44)</f>
        <v>290.44</v>
      </c>
      <c r="F1206" s="1">
        <f>IFERROR(__xludf.DUMMYFUNCTION("""COMPUTED_VALUE"""),3.6864278E7)</f>
        <v>36864278</v>
      </c>
    </row>
    <row r="1207">
      <c r="A1207" s="2">
        <f>IFERROR(__xludf.DUMMYFUNCTION("""COMPUTED_VALUE"""),46106.66666666667)</f>
        <v>46106.66667</v>
      </c>
      <c r="B1207" s="1">
        <f>IFERROR(__xludf.DUMMYFUNCTION("""COMPUTED_VALUE"""),293.44)</f>
        <v>293.44</v>
      </c>
      <c r="C1207" s="1">
        <f>IFERROR(__xludf.DUMMYFUNCTION("""COMPUTED_VALUE"""),296.0)</f>
        <v>296</v>
      </c>
      <c r="D1207" s="1">
        <f>IFERROR(__xludf.DUMMYFUNCTION("""COMPUTED_VALUE"""),289.24)</f>
        <v>289.24</v>
      </c>
      <c r="E1207" s="1">
        <f>IFERROR(__xludf.DUMMYFUNCTION("""COMPUTED_VALUE"""),290.93)</f>
        <v>290.93</v>
      </c>
      <c r="F1207" s="1">
        <f>IFERROR(__xludf.DUMMYFUNCTION("""COMPUTED_VALUE"""),2.946067E7)</f>
        <v>29460670</v>
      </c>
    </row>
    <row r="1208">
      <c r="A1208" s="2">
        <f>IFERROR(__xludf.DUMMYFUNCTION("""COMPUTED_VALUE"""),46107.66666666667)</f>
        <v>46107.66667</v>
      </c>
      <c r="B1208" s="1">
        <f>IFERROR(__xludf.DUMMYFUNCTION("""COMPUTED_VALUE"""),287.91)</f>
        <v>287.91</v>
      </c>
      <c r="C1208" s="1">
        <f>IFERROR(__xludf.DUMMYFUNCTION("""COMPUTED_VALUE"""),287.95)</f>
        <v>287.95</v>
      </c>
      <c r="D1208" s="1">
        <f>IFERROR(__xludf.DUMMYFUNCTION("""COMPUTED_VALUE"""),278.5)</f>
        <v>278.5</v>
      </c>
      <c r="E1208" s="1">
        <f>IFERROR(__xludf.DUMMYFUNCTION("""COMPUTED_VALUE"""),280.92)</f>
        <v>280.92</v>
      </c>
      <c r="F1208" s="1">
        <f>IFERROR(__xludf.DUMMYFUNCTION("""COMPUTED_VALUE"""),3.9080579E7)</f>
        <v>39080579</v>
      </c>
    </row>
    <row r="1209">
      <c r="A1209" s="2">
        <f>IFERROR(__xludf.DUMMYFUNCTION("""COMPUTED_VALUE"""),46108.66666666667)</f>
        <v>46108.66667</v>
      </c>
      <c r="B1209" s="1">
        <f>IFERROR(__xludf.DUMMYFUNCTION("""COMPUTED_VALUE"""),277.27)</f>
        <v>277.27</v>
      </c>
      <c r="C1209" s="1">
        <f>IFERROR(__xludf.DUMMYFUNCTION("""COMPUTED_VALUE"""),279.37)</f>
        <v>279.37</v>
      </c>
      <c r="D1209" s="1">
        <f>IFERROR(__xludf.DUMMYFUNCTION("""COMPUTED_VALUE"""),273.95)</f>
        <v>273.95</v>
      </c>
      <c r="E1209" s="1">
        <f>IFERROR(__xludf.DUMMYFUNCTION("""COMPUTED_VALUE"""),274.34)</f>
        <v>274.34</v>
      </c>
      <c r="F1209" s="1">
        <f>IFERROR(__xludf.DUMMYFUNCTION("""COMPUTED_VALUE"""),3.5890612E7)</f>
        <v>35890612</v>
      </c>
    </row>
    <row r="1210">
      <c r="A1210" s="2">
        <f>IFERROR(__xludf.DUMMYFUNCTION("""COMPUTED_VALUE"""),46111.66666666667)</f>
        <v>46111.66667</v>
      </c>
      <c r="B1210" s="1">
        <f>IFERROR(__xludf.DUMMYFUNCTION("""COMPUTED_VALUE"""),276.42)</f>
        <v>276.42</v>
      </c>
      <c r="C1210" s="1">
        <f>IFERROR(__xludf.DUMMYFUNCTION("""COMPUTED_VALUE"""),277.09)</f>
        <v>277.09</v>
      </c>
      <c r="D1210" s="1">
        <f>IFERROR(__xludf.DUMMYFUNCTION("""COMPUTED_VALUE"""),272.11)</f>
        <v>272.11</v>
      </c>
      <c r="E1210" s="1">
        <f>IFERROR(__xludf.DUMMYFUNCTION("""COMPUTED_VALUE"""),273.5)</f>
        <v>273.5</v>
      </c>
      <c r="F1210" s="1">
        <f>IFERROR(__xludf.DUMMYFUNCTION("""COMPUTED_VALUE"""),3.5141244E7)</f>
        <v>35141244</v>
      </c>
    </row>
    <row r="1211">
      <c r="A1211" s="2">
        <f>IFERROR(__xludf.DUMMYFUNCTION("""COMPUTED_VALUE"""),46112.66666666667)</f>
        <v>46112.66667</v>
      </c>
      <c r="B1211" s="1">
        <f>IFERROR(__xludf.DUMMYFUNCTION("""COMPUTED_VALUE"""),278.04)</f>
        <v>278.04</v>
      </c>
      <c r="C1211" s="1">
        <f>IFERROR(__xludf.DUMMYFUNCTION("""COMPUTED_VALUE"""),288.08)</f>
        <v>288.08</v>
      </c>
      <c r="D1211" s="1">
        <f>IFERROR(__xludf.DUMMYFUNCTION("""COMPUTED_VALUE"""),277.09)</f>
        <v>277.09</v>
      </c>
      <c r="E1211" s="1">
        <f>IFERROR(__xludf.DUMMYFUNCTION("""COMPUTED_VALUE"""),287.56)</f>
        <v>287.56</v>
      </c>
      <c r="F1211" s="1">
        <f>IFERROR(__xludf.DUMMYFUNCTION("""COMPUTED_VALUE"""),4.3875401E7)</f>
        <v>43875401</v>
      </c>
    </row>
    <row r="1212">
      <c r="A1212" s="2">
        <f>IFERROR(__xludf.DUMMYFUNCTION("""COMPUTED_VALUE"""),46113.66666666667)</f>
        <v>46113.66667</v>
      </c>
      <c r="B1212" s="1">
        <f>IFERROR(__xludf.DUMMYFUNCTION("""COMPUTED_VALUE"""),290.83)</f>
        <v>290.83</v>
      </c>
      <c r="C1212" s="1">
        <f>IFERROR(__xludf.DUMMYFUNCTION("""COMPUTED_VALUE"""),300.52)</f>
        <v>300.52</v>
      </c>
      <c r="D1212" s="1">
        <f>IFERROR(__xludf.DUMMYFUNCTION("""COMPUTED_VALUE"""),290.41)</f>
        <v>290.41</v>
      </c>
      <c r="E1212" s="1">
        <f>IFERROR(__xludf.DUMMYFUNCTION("""COMPUTED_VALUE"""),297.39)</f>
        <v>297.39</v>
      </c>
      <c r="F1212" s="1">
        <f>IFERROR(__xludf.DUMMYFUNCTION("""COMPUTED_VALUE"""),3.7684462E7)</f>
        <v>37684462</v>
      </c>
    </row>
    <row r="1213">
      <c r="A1213" s="2">
        <f>IFERROR(__xludf.DUMMYFUNCTION("""COMPUTED_VALUE"""),46114.66666666667)</f>
        <v>46114.66667</v>
      </c>
      <c r="B1213" s="1">
        <f>IFERROR(__xludf.DUMMYFUNCTION("""COMPUTED_VALUE"""),290.69)</f>
        <v>290.69</v>
      </c>
      <c r="C1213" s="1">
        <f>IFERROR(__xludf.DUMMYFUNCTION("""COMPUTED_VALUE"""),298.08)</f>
        <v>298.08</v>
      </c>
      <c r="D1213" s="1">
        <f>IFERROR(__xludf.DUMMYFUNCTION("""COMPUTED_VALUE"""),289.45)</f>
        <v>289.45</v>
      </c>
      <c r="E1213" s="1">
        <f>IFERROR(__xludf.DUMMYFUNCTION("""COMPUTED_VALUE"""),295.77)</f>
        <v>295.77</v>
      </c>
      <c r="F1213" s="1">
        <f>IFERROR(__xludf.DUMMYFUNCTION("""COMPUTED_VALUE"""),2.1666465E7)</f>
        <v>21666465</v>
      </c>
    </row>
    <row r="1214">
      <c r="A1214" s="2">
        <f>IFERROR(__xludf.DUMMYFUNCTION("""COMPUTED_VALUE"""),46118.66666666667)</f>
        <v>46118.66667</v>
      </c>
      <c r="B1214" s="1">
        <f>IFERROR(__xludf.DUMMYFUNCTION("""COMPUTED_VALUE"""),295.87)</f>
        <v>295.87</v>
      </c>
      <c r="C1214" s="1">
        <f>IFERROR(__xludf.DUMMYFUNCTION("""COMPUTED_VALUE"""),300.62)</f>
        <v>300.62</v>
      </c>
      <c r="D1214" s="1">
        <f>IFERROR(__xludf.DUMMYFUNCTION("""COMPUTED_VALUE"""),295.18)</f>
        <v>295.18</v>
      </c>
      <c r="E1214" s="1">
        <f>IFERROR(__xludf.DUMMYFUNCTION("""COMPUTED_VALUE"""),299.99)</f>
        <v>299.99</v>
      </c>
      <c r="F1214" s="1">
        <f>IFERROR(__xludf.DUMMYFUNCTION("""COMPUTED_VALUE"""),1.6945495E7)</f>
        <v>16945495</v>
      </c>
    </row>
    <row r="1215">
      <c r="A1215" s="2">
        <f>IFERROR(__xludf.DUMMYFUNCTION("""COMPUTED_VALUE"""),46119.66666666667)</f>
        <v>46119.66667</v>
      </c>
      <c r="B1215" s="1">
        <f>IFERROR(__xludf.DUMMYFUNCTION("""COMPUTED_VALUE"""),302.73)</f>
        <v>302.73</v>
      </c>
      <c r="C1215" s="1">
        <f>IFERROR(__xludf.DUMMYFUNCTION("""COMPUTED_VALUE"""),305.63)</f>
        <v>305.63</v>
      </c>
      <c r="D1215" s="1">
        <f>IFERROR(__xludf.DUMMYFUNCTION("""COMPUTED_VALUE"""),297.72)</f>
        <v>297.72</v>
      </c>
      <c r="E1215" s="1">
        <f>IFERROR(__xludf.DUMMYFUNCTION("""COMPUTED_VALUE"""),305.46)</f>
        <v>305.46</v>
      </c>
      <c r="F1215" s="1">
        <f>IFERROR(__xludf.DUMMYFUNCTION("""COMPUTED_VALUE"""),2.3205362E7)</f>
        <v>23205362</v>
      </c>
    </row>
    <row r="1216">
      <c r="A1216" s="2">
        <f>IFERROR(__xludf.DUMMYFUNCTION("""COMPUTED_VALUE"""),46120.66666666667)</f>
        <v>46120.66667</v>
      </c>
      <c r="B1216" s="1">
        <f>IFERROR(__xludf.DUMMYFUNCTION("""COMPUTED_VALUE"""),320.45)</f>
        <v>320.45</v>
      </c>
      <c r="C1216" s="1">
        <f>IFERROR(__xludf.DUMMYFUNCTION("""COMPUTED_VALUE"""),322.08)</f>
        <v>322.08</v>
      </c>
      <c r="D1216" s="1">
        <f>IFERROR(__xludf.DUMMYFUNCTION("""COMPUTED_VALUE"""),315.02)</f>
        <v>315.02</v>
      </c>
      <c r="E1216" s="1">
        <f>IFERROR(__xludf.DUMMYFUNCTION("""COMPUTED_VALUE"""),317.32)</f>
        <v>317.32</v>
      </c>
      <c r="F1216" s="1">
        <f>IFERROR(__xludf.DUMMYFUNCTION("""COMPUTED_VALUE"""),3.354714E7)</f>
        <v>33547140</v>
      </c>
    </row>
    <row r="1217">
      <c r="A1217" s="2">
        <f>IFERROR(__xludf.DUMMYFUNCTION("""COMPUTED_VALUE"""),46121.66666666667)</f>
        <v>46121.66667</v>
      </c>
      <c r="B1217" s="1">
        <f>IFERROR(__xludf.DUMMYFUNCTION("""COMPUTED_VALUE"""),315.9)</f>
        <v>315.9</v>
      </c>
      <c r="C1217" s="1">
        <f>IFERROR(__xludf.DUMMYFUNCTION("""COMPUTED_VALUE"""),319.54)</f>
        <v>319.54</v>
      </c>
      <c r="D1217" s="1">
        <f>IFERROR(__xludf.DUMMYFUNCTION("""COMPUTED_VALUE"""),311.06)</f>
        <v>311.06</v>
      </c>
      <c r="E1217" s="1">
        <f>IFERROR(__xludf.DUMMYFUNCTION("""COMPUTED_VALUE"""),318.49)</f>
        <v>318.49</v>
      </c>
      <c r="F1217" s="1">
        <f>IFERROR(__xludf.DUMMYFUNCTION("""COMPUTED_VALUE"""),2.3739173E7)</f>
        <v>23739173</v>
      </c>
    </row>
    <row r="1218">
      <c r="A1218" s="2">
        <f>IFERROR(__xludf.DUMMYFUNCTION("""COMPUTED_VALUE"""),46122.66666666667)</f>
        <v>46122.66667</v>
      </c>
      <c r="B1218" s="1">
        <f>IFERROR(__xludf.DUMMYFUNCTION("""COMPUTED_VALUE"""),320.02)</f>
        <v>320.02</v>
      </c>
      <c r="C1218" s="1">
        <f>IFERROR(__xludf.DUMMYFUNCTION("""COMPUTED_VALUE"""),321.83)</f>
        <v>321.83</v>
      </c>
      <c r="D1218" s="1">
        <f>IFERROR(__xludf.DUMMYFUNCTION("""COMPUTED_VALUE"""),316.32)</f>
        <v>316.32</v>
      </c>
      <c r="E1218" s="1">
        <f>IFERROR(__xludf.DUMMYFUNCTION("""COMPUTED_VALUE"""),317.24)</f>
        <v>317.24</v>
      </c>
      <c r="F1218" s="1">
        <f>IFERROR(__xludf.DUMMYFUNCTION("""COMPUTED_VALUE"""),1.915263E7)</f>
        <v>19152630</v>
      </c>
    </row>
    <row r="1219">
      <c r="A1219" s="2">
        <f>IFERROR(__xludf.DUMMYFUNCTION("""COMPUTED_VALUE"""),46125.66666666667)</f>
        <v>46125.66667</v>
      </c>
      <c r="B1219" s="1">
        <f>IFERROR(__xludf.DUMMYFUNCTION("""COMPUTED_VALUE"""),317.14)</f>
        <v>317.14</v>
      </c>
      <c r="C1219" s="1">
        <f>IFERROR(__xludf.DUMMYFUNCTION("""COMPUTED_VALUE"""),321.63)</f>
        <v>321.63</v>
      </c>
      <c r="D1219" s="1">
        <f>IFERROR(__xludf.DUMMYFUNCTION("""COMPUTED_VALUE"""),315.47)</f>
        <v>315.47</v>
      </c>
      <c r="E1219" s="1">
        <f>IFERROR(__xludf.DUMMYFUNCTION("""COMPUTED_VALUE"""),321.31)</f>
        <v>321.31</v>
      </c>
      <c r="F1219" s="1">
        <f>IFERROR(__xludf.DUMMYFUNCTION("""COMPUTED_VALUE"""),1.8866424E7)</f>
        <v>18866424</v>
      </c>
    </row>
    <row r="1220">
      <c r="A1220" s="2">
        <f>IFERROR(__xludf.DUMMYFUNCTION("""COMPUTED_VALUE"""),46126.66666666667)</f>
        <v>46126.66667</v>
      </c>
      <c r="B1220" s="1">
        <f>IFERROR(__xludf.DUMMYFUNCTION("""COMPUTED_VALUE"""),324.79)</f>
        <v>324.79</v>
      </c>
      <c r="C1220" s="1">
        <f>IFERROR(__xludf.DUMMYFUNCTION("""COMPUTED_VALUE"""),333.29)</f>
        <v>333.29</v>
      </c>
      <c r="D1220" s="1">
        <f>IFERROR(__xludf.DUMMYFUNCTION("""COMPUTED_VALUE"""),323.75)</f>
        <v>323.75</v>
      </c>
      <c r="E1220" s="1">
        <f>IFERROR(__xludf.DUMMYFUNCTION("""COMPUTED_VALUE"""),332.91)</f>
        <v>332.91</v>
      </c>
      <c r="F1220" s="1">
        <f>IFERROR(__xludf.DUMMYFUNCTION("""COMPUTED_VALUE"""),2.7721352E7)</f>
        <v>27721352</v>
      </c>
    </row>
    <row r="1221">
      <c r="A1221" s="2">
        <f>IFERROR(__xludf.DUMMYFUNCTION("""COMPUTED_VALUE"""),46127.66666666667)</f>
        <v>46127.66667</v>
      </c>
      <c r="B1221" s="1">
        <f>IFERROR(__xludf.DUMMYFUNCTION("""COMPUTED_VALUE"""),332.89)</f>
        <v>332.89</v>
      </c>
      <c r="C1221" s="1">
        <f>IFERROR(__xludf.DUMMYFUNCTION("""COMPUTED_VALUE"""),337.48)</f>
        <v>337.48</v>
      </c>
      <c r="D1221" s="1">
        <f>IFERROR(__xludf.DUMMYFUNCTION("""COMPUTED_VALUE"""),330.9)</f>
        <v>330.9</v>
      </c>
      <c r="E1221" s="1">
        <f>IFERROR(__xludf.DUMMYFUNCTION("""COMPUTED_VALUE"""),337.12)</f>
        <v>337.12</v>
      </c>
      <c r="F1221" s="1">
        <f>IFERROR(__xludf.DUMMYFUNCTION("""COMPUTED_VALUE"""),2.4918842E7)</f>
        <v>24918842</v>
      </c>
    </row>
    <row r="1222">
      <c r="A1222" s="2">
        <f>IFERROR(__xludf.DUMMYFUNCTION("""COMPUTED_VALUE"""),46128.66666666667)</f>
        <v>46128.66667</v>
      </c>
      <c r="B1222" s="1">
        <f>IFERROR(__xludf.DUMMYFUNCTION("""COMPUTED_VALUE"""),338.75)</f>
        <v>338.75</v>
      </c>
      <c r="C1222" s="1">
        <f>IFERROR(__xludf.DUMMYFUNCTION("""COMPUTED_VALUE"""),339.88)</f>
        <v>339.88</v>
      </c>
      <c r="D1222" s="1">
        <f>IFERROR(__xludf.DUMMYFUNCTION("""COMPUTED_VALUE"""),334.52)</f>
        <v>334.52</v>
      </c>
      <c r="E1222" s="1">
        <f>IFERROR(__xludf.DUMMYFUNCTION("""COMPUTED_VALUE"""),336.02)</f>
        <v>336.02</v>
      </c>
      <c r="F1222" s="1">
        <f>IFERROR(__xludf.DUMMYFUNCTION("""COMPUTED_VALUE"""),2.0541488E7)</f>
        <v>20541488</v>
      </c>
    </row>
    <row r="1223">
      <c r="A1223" s="2">
        <f>IFERROR(__xludf.DUMMYFUNCTION("""COMPUTED_VALUE"""),46129.66666666667)</f>
        <v>46129.66667</v>
      </c>
      <c r="B1223" s="1">
        <f>IFERROR(__xludf.DUMMYFUNCTION("""COMPUTED_VALUE"""),337.65)</f>
        <v>337.65</v>
      </c>
      <c r="C1223" s="1">
        <f>IFERROR(__xludf.DUMMYFUNCTION("""COMPUTED_VALUE"""),342.32)</f>
        <v>342.32</v>
      </c>
      <c r="D1223" s="1">
        <f>IFERROR(__xludf.DUMMYFUNCTION("""COMPUTED_VALUE"""),336.24)</f>
        <v>336.24</v>
      </c>
      <c r="E1223" s="1">
        <f>IFERROR(__xludf.DUMMYFUNCTION("""COMPUTED_VALUE"""),341.68)</f>
        <v>341.68</v>
      </c>
      <c r="F1223" s="1">
        <f>IFERROR(__xludf.DUMMYFUNCTION("""COMPUTED_VALUE"""),2.5581881E7)</f>
        <v>25581881</v>
      </c>
    </row>
    <row r="1224">
      <c r="A1224" s="2">
        <f>IFERROR(__xludf.DUMMYFUNCTION("""COMPUTED_VALUE"""),46132.66666666667)</f>
        <v>46132.66667</v>
      </c>
      <c r="B1224" s="1">
        <f>IFERROR(__xludf.DUMMYFUNCTION("""COMPUTED_VALUE"""),340.76)</f>
        <v>340.76</v>
      </c>
      <c r="C1224" s="1">
        <f>IFERROR(__xludf.DUMMYFUNCTION("""COMPUTED_VALUE"""),341.4)</f>
        <v>341.4</v>
      </c>
      <c r="D1224" s="1">
        <f>IFERROR(__xludf.DUMMYFUNCTION("""COMPUTED_VALUE"""),336.61)</f>
        <v>336.61</v>
      </c>
      <c r="E1224" s="1">
        <f>IFERROR(__xludf.DUMMYFUNCTION("""COMPUTED_VALUE"""),337.42)</f>
        <v>337.42</v>
      </c>
      <c r="F1224" s="1">
        <f>IFERROR(__xludf.DUMMYFUNCTION("""COMPUTED_VALUE"""),1.8784226E7)</f>
        <v>18784226</v>
      </c>
    </row>
    <row r="1225">
      <c r="A1225" s="2">
        <f>IFERROR(__xludf.DUMMYFUNCTION("""COMPUTED_VALUE"""),46133.66666666667)</f>
        <v>46133.66667</v>
      </c>
      <c r="B1225" s="1">
        <f>IFERROR(__xludf.DUMMYFUNCTION("""COMPUTED_VALUE"""),337.69)</f>
        <v>337.69</v>
      </c>
      <c r="C1225" s="1">
        <f>IFERROR(__xludf.DUMMYFUNCTION("""COMPUTED_VALUE"""),339.34)</f>
        <v>339.34</v>
      </c>
      <c r="D1225" s="1">
        <f>IFERROR(__xludf.DUMMYFUNCTION("""COMPUTED_VALUE"""),331.35)</f>
        <v>331.35</v>
      </c>
      <c r="E1225" s="1">
        <f>IFERROR(__xludf.DUMMYFUNCTION("""COMPUTED_VALUE"""),332.29)</f>
        <v>332.29</v>
      </c>
      <c r="F1225" s="1">
        <f>IFERROR(__xludf.DUMMYFUNCTION("""COMPUTED_VALUE"""),2.3123796E7)</f>
        <v>23123796</v>
      </c>
    </row>
    <row r="1226">
      <c r="A1226" s="2">
        <f>IFERROR(__xludf.DUMMYFUNCTION("""COMPUTED_VALUE"""),46134.66666666667)</f>
        <v>46134.66667</v>
      </c>
      <c r="B1226" s="1">
        <f>IFERROR(__xludf.DUMMYFUNCTION("""COMPUTED_VALUE"""),337.02)</f>
        <v>337.02</v>
      </c>
      <c r="C1226" s="1">
        <f>IFERROR(__xludf.DUMMYFUNCTION("""COMPUTED_VALUE"""),339.82)</f>
        <v>339.82</v>
      </c>
      <c r="D1226" s="1">
        <f>IFERROR(__xludf.DUMMYFUNCTION("""COMPUTED_VALUE"""),335.17)</f>
        <v>335.17</v>
      </c>
      <c r="E1226" s="1">
        <f>IFERROR(__xludf.DUMMYFUNCTION("""COMPUTED_VALUE"""),339.32)</f>
        <v>339.32</v>
      </c>
      <c r="F1226" s="1">
        <f>IFERROR(__xludf.DUMMYFUNCTION("""COMPUTED_VALUE"""),2.0293015E7)</f>
        <v>20293015</v>
      </c>
    </row>
    <row r="1227">
      <c r="A1227" s="2">
        <f>IFERROR(__xludf.DUMMYFUNCTION("""COMPUTED_VALUE"""),46135.66666666667)</f>
        <v>46135.66667</v>
      </c>
      <c r="B1227" s="1">
        <f>IFERROR(__xludf.DUMMYFUNCTION("""COMPUTED_VALUE"""),341.18)</f>
        <v>341.18</v>
      </c>
      <c r="C1227" s="1">
        <f>IFERROR(__xludf.DUMMYFUNCTION("""COMPUTED_VALUE"""),341.96)</f>
        <v>341.96</v>
      </c>
      <c r="D1227" s="1">
        <f>IFERROR(__xludf.DUMMYFUNCTION("""COMPUTED_VALUE"""),336.18)</f>
        <v>336.18</v>
      </c>
      <c r="E1227" s="1">
        <f>IFERROR(__xludf.DUMMYFUNCTION("""COMPUTED_VALUE"""),338.89)</f>
        <v>338.89</v>
      </c>
      <c r="F1227" s="1">
        <f>IFERROR(__xludf.DUMMYFUNCTION("""COMPUTED_VALUE"""),1.8650257E7)</f>
        <v>18650257</v>
      </c>
    </row>
    <row r="1228">
      <c r="A1228" s="2">
        <f>IFERROR(__xludf.DUMMYFUNCTION("""COMPUTED_VALUE"""),46136.66666666667)</f>
        <v>46136.66667</v>
      </c>
      <c r="B1228" s="1">
        <f>IFERROR(__xludf.DUMMYFUNCTION("""COMPUTED_VALUE"""),338.73)</f>
        <v>338.73</v>
      </c>
      <c r="C1228" s="1">
        <f>IFERROR(__xludf.DUMMYFUNCTION("""COMPUTED_VALUE"""),345.27)</f>
        <v>345.27</v>
      </c>
      <c r="D1228" s="1">
        <f>IFERROR(__xludf.DUMMYFUNCTION("""COMPUTED_VALUE"""),335.39)</f>
        <v>335.39</v>
      </c>
      <c r="E1228" s="1">
        <f>IFERROR(__xludf.DUMMYFUNCTION("""COMPUTED_VALUE"""),344.4)</f>
        <v>344.4</v>
      </c>
      <c r="F1228" s="1">
        <f>IFERROR(__xludf.DUMMYFUNCTION("""COMPUTED_VALUE"""),2.6426062E7)</f>
        <v>26426062</v>
      </c>
    </row>
    <row r="1229">
      <c r="A1229" s="2">
        <f>IFERROR(__xludf.DUMMYFUNCTION("""COMPUTED_VALUE"""),46139.66666666667)</f>
        <v>46139.66667</v>
      </c>
      <c r="B1229" s="1">
        <f>IFERROR(__xludf.DUMMYFUNCTION("""COMPUTED_VALUE"""),345.98)</f>
        <v>345.98</v>
      </c>
      <c r="C1229" s="1">
        <f>IFERROR(__xludf.DUMMYFUNCTION("""COMPUTED_VALUE"""),353.18)</f>
        <v>353.18</v>
      </c>
      <c r="D1229" s="1">
        <f>IFERROR(__xludf.DUMMYFUNCTION("""COMPUTED_VALUE"""),342.73)</f>
        <v>342.73</v>
      </c>
      <c r="E1229" s="1">
        <f>IFERROR(__xludf.DUMMYFUNCTION("""COMPUTED_VALUE"""),350.34)</f>
        <v>350.34</v>
      </c>
      <c r="F1229" s="1">
        <f>IFERROR(__xludf.DUMMYFUNCTION("""COMPUTED_VALUE"""),2.8576887E7)</f>
        <v>28576887</v>
      </c>
    </row>
    <row r="1230">
      <c r="A1230" s="2">
        <f>IFERROR(__xludf.DUMMYFUNCTION("""COMPUTED_VALUE"""),46140.66666666667)</f>
        <v>46140.66667</v>
      </c>
      <c r="B1230" s="1">
        <f>IFERROR(__xludf.DUMMYFUNCTION("""COMPUTED_VALUE"""),348.55)</f>
        <v>348.55</v>
      </c>
      <c r="C1230" s="1">
        <f>IFERROR(__xludf.DUMMYFUNCTION("""COMPUTED_VALUE"""),352.42)</f>
        <v>352.42</v>
      </c>
      <c r="D1230" s="1">
        <f>IFERROR(__xludf.DUMMYFUNCTION("""COMPUTED_VALUE"""),346.12)</f>
        <v>346.12</v>
      </c>
      <c r="E1230" s="1">
        <f>IFERROR(__xludf.DUMMYFUNCTION("""COMPUTED_VALUE"""),349.78)</f>
        <v>349.78</v>
      </c>
      <c r="F1230" s="1">
        <f>IFERROR(__xludf.DUMMYFUNCTION("""COMPUTED_VALUE"""),2.7824053E7)</f>
        <v>27824053</v>
      </c>
    </row>
    <row r="1231">
      <c r="A1231" s="2">
        <f>IFERROR(__xludf.DUMMYFUNCTION("""COMPUTED_VALUE"""),46141.66666666667)</f>
        <v>46141.66667</v>
      </c>
      <c r="B1231" s="1">
        <f>IFERROR(__xludf.DUMMYFUNCTION("""COMPUTED_VALUE"""),347.57)</f>
        <v>347.57</v>
      </c>
      <c r="C1231" s="1">
        <f>IFERROR(__xludf.DUMMYFUNCTION("""COMPUTED_VALUE"""),355.79)</f>
        <v>355.79</v>
      </c>
      <c r="D1231" s="1">
        <f>IFERROR(__xludf.DUMMYFUNCTION("""COMPUTED_VALUE"""),344.21)</f>
        <v>344.21</v>
      </c>
      <c r="E1231" s="1">
        <f>IFERROR(__xludf.DUMMYFUNCTION("""COMPUTED_VALUE"""),349.94)</f>
        <v>349.94</v>
      </c>
      <c r="F1231" s="1">
        <f>IFERROR(__xludf.DUMMYFUNCTION("""COMPUTED_VALUE"""),3.5376328E7)</f>
        <v>35376328</v>
      </c>
    </row>
    <row r="1232">
      <c r="A1232" s="2">
        <f>IFERROR(__xludf.DUMMYFUNCTION("""COMPUTED_VALUE"""),46142.66666666667)</f>
        <v>46142.66667</v>
      </c>
      <c r="B1232" s="1">
        <f>IFERROR(__xludf.DUMMYFUNCTION("""COMPUTED_VALUE"""),374.07)</f>
        <v>374.07</v>
      </c>
      <c r="C1232" s="1">
        <f>IFERROR(__xludf.DUMMYFUNCTION("""COMPUTED_VALUE"""),385.84)</f>
        <v>385.84</v>
      </c>
      <c r="D1232" s="1">
        <f>IFERROR(__xludf.DUMMYFUNCTION("""COMPUTED_VALUE"""),365.82)</f>
        <v>365.82</v>
      </c>
      <c r="E1232" s="1">
        <f>IFERROR(__xludf.DUMMYFUNCTION("""COMPUTED_VALUE"""),384.8)</f>
        <v>384.8</v>
      </c>
      <c r="F1232" s="1">
        <f>IFERROR(__xludf.DUMMYFUNCTION("""COMPUTED_VALUE"""),7.2039994E7)</f>
        <v>72039994</v>
      </c>
    </row>
    <row r="1233">
      <c r="A1233" s="2">
        <f>IFERROR(__xludf.DUMMYFUNCTION("""COMPUTED_VALUE"""),46143.66666666667)</f>
        <v>46143.66667</v>
      </c>
      <c r="B1233" s="1">
        <f>IFERROR(__xludf.DUMMYFUNCTION("""COMPUTED_VALUE"""),381.63)</f>
        <v>381.63</v>
      </c>
      <c r="C1233" s="1">
        <f>IFERROR(__xludf.DUMMYFUNCTION("""COMPUTED_VALUE"""),386.76)</f>
        <v>386.76</v>
      </c>
      <c r="D1233" s="1">
        <f>IFERROR(__xludf.DUMMYFUNCTION("""COMPUTED_VALUE"""),379.05)</f>
        <v>379.05</v>
      </c>
      <c r="E1233" s="1">
        <f>IFERROR(__xludf.DUMMYFUNCTION("""COMPUTED_VALUE"""),385.69)</f>
        <v>385.69</v>
      </c>
      <c r="F1233" s="1">
        <f>IFERROR(__xludf.DUMMYFUNCTION("""COMPUTED_VALUE"""),3.0105227E7)</f>
        <v>30105227</v>
      </c>
    </row>
    <row r="1234">
      <c r="A1234" s="2">
        <f>IFERROR(__xludf.DUMMYFUNCTION("""COMPUTED_VALUE"""),46146.66666666667)</f>
        <v>46146.66667</v>
      </c>
      <c r="B1234" s="1">
        <f>IFERROR(__xludf.DUMMYFUNCTION("""COMPUTED_VALUE"""),385.63)</f>
        <v>385.63</v>
      </c>
      <c r="C1234" s="1">
        <f>IFERROR(__xludf.DUMMYFUNCTION("""COMPUTED_VALUE"""),387.38)</f>
        <v>387.38</v>
      </c>
      <c r="D1234" s="1">
        <f>IFERROR(__xludf.DUMMYFUNCTION("""COMPUTED_VALUE"""),379.79)</f>
        <v>379.79</v>
      </c>
      <c r="E1234" s="1">
        <f>IFERROR(__xludf.DUMMYFUNCTION("""COMPUTED_VALUE"""),383.25)</f>
        <v>383.25</v>
      </c>
      <c r="F1234" s="1">
        <f>IFERROR(__xludf.DUMMYFUNCTION("""COMPUTED_VALUE"""),2.6298575E7)</f>
        <v>26298575</v>
      </c>
    </row>
    <row r="1235">
      <c r="A1235" s="2">
        <f>IFERROR(__xludf.DUMMYFUNCTION("""COMPUTED_VALUE"""),46147.66666666667)</f>
        <v>46147.66667</v>
      </c>
      <c r="B1235" s="1">
        <f>IFERROR(__xludf.DUMMYFUNCTION("""COMPUTED_VALUE"""),386.23)</f>
        <v>386.23</v>
      </c>
      <c r="C1235" s="1">
        <f>IFERROR(__xludf.DUMMYFUNCTION("""COMPUTED_VALUE"""),392.82)</f>
        <v>392.82</v>
      </c>
      <c r="D1235" s="1">
        <f>IFERROR(__xludf.DUMMYFUNCTION("""COMPUTED_VALUE"""),384.02)</f>
        <v>384.02</v>
      </c>
      <c r="E1235" s="1">
        <f>IFERROR(__xludf.DUMMYFUNCTION("""COMPUTED_VALUE"""),388.43)</f>
        <v>388.43</v>
      </c>
      <c r="F1235" s="1">
        <f>IFERROR(__xludf.DUMMYFUNCTION("""COMPUTED_VALUE"""),2.3878627E7)</f>
        <v>23878627</v>
      </c>
    </row>
    <row r="1236">
      <c r="A1236" s="2">
        <f>IFERROR(__xludf.DUMMYFUNCTION("""COMPUTED_VALUE"""),46148.66666666667)</f>
        <v>46148.66667</v>
      </c>
      <c r="B1236" s="1">
        <f>IFERROR(__xludf.DUMMYFUNCTION("""COMPUTED_VALUE"""),394.25)</f>
        <v>394.25</v>
      </c>
      <c r="C1236" s="1">
        <f>IFERROR(__xludf.DUMMYFUNCTION("""COMPUTED_VALUE"""),399.85)</f>
        <v>399.85</v>
      </c>
      <c r="D1236" s="1">
        <f>IFERROR(__xludf.DUMMYFUNCTION("""COMPUTED_VALUE"""),392.76)</f>
        <v>392.76</v>
      </c>
      <c r="E1236" s="1">
        <f>IFERROR(__xludf.DUMMYFUNCTION("""COMPUTED_VALUE"""),398.04)</f>
        <v>398.04</v>
      </c>
      <c r="F1236" s="1">
        <f>IFERROR(__xludf.DUMMYFUNCTION("""COMPUTED_VALUE"""),3.1308476E7)</f>
        <v>31308476</v>
      </c>
    </row>
    <row r="1237">
      <c r="A1237" s="2">
        <f>IFERROR(__xludf.DUMMYFUNCTION("""COMPUTED_VALUE"""),46149.66666666667)</f>
        <v>46149.66667</v>
      </c>
      <c r="B1237" s="1">
        <f>IFERROR(__xludf.DUMMYFUNCTION("""COMPUTED_VALUE"""),399.92)</f>
        <v>399.92</v>
      </c>
      <c r="C1237" s="1">
        <f>IFERROR(__xludf.DUMMYFUNCTION("""COMPUTED_VALUE"""),400.1)</f>
        <v>400.1</v>
      </c>
      <c r="D1237" s="1">
        <f>IFERROR(__xludf.DUMMYFUNCTION("""COMPUTED_VALUE"""),392.68)</f>
        <v>392.68</v>
      </c>
      <c r="E1237" s="1">
        <f>IFERROR(__xludf.DUMMYFUNCTION("""COMPUTED_VALUE"""),397.99)</f>
        <v>397.99</v>
      </c>
      <c r="F1237" s="1">
        <f>IFERROR(__xludf.DUMMYFUNCTION("""COMPUTED_VALUE"""),2.443349E7)</f>
        <v>24433490</v>
      </c>
    </row>
    <row r="1238">
      <c r="A1238" s="2">
        <f>IFERROR(__xludf.DUMMYFUNCTION("""COMPUTED_VALUE"""),46150.66666666667)</f>
        <v>46150.66667</v>
      </c>
      <c r="B1238" s="1">
        <f>IFERROR(__xludf.DUMMYFUNCTION("""COMPUTED_VALUE"""),397.0)</f>
        <v>397</v>
      </c>
      <c r="C1238" s="1">
        <f>IFERROR(__xludf.DUMMYFUNCTION("""COMPUTED_VALUE"""),402.0)</f>
        <v>402</v>
      </c>
      <c r="D1238" s="1">
        <f>IFERROR(__xludf.DUMMYFUNCTION("""COMPUTED_VALUE"""),396.36)</f>
        <v>396.36</v>
      </c>
      <c r="E1238" s="1">
        <f>IFERROR(__xludf.DUMMYFUNCTION("""COMPUTED_VALUE"""),400.8)</f>
        <v>400.8</v>
      </c>
      <c r="F1238" s="1">
        <f>IFERROR(__xludf.DUMMYFUNCTION("""COMPUTED_VALUE"""),2.146185E7)</f>
        <v>21461850</v>
      </c>
    </row>
    <row r="1239">
      <c r="A1239" s="2">
        <f>IFERROR(__xludf.DUMMYFUNCTION("""COMPUTED_VALUE"""),46153.66666666667)</f>
        <v>46153.66667</v>
      </c>
      <c r="B1239" s="1">
        <f>IFERROR(__xludf.DUMMYFUNCTION("""COMPUTED_VALUE"""),393.65)</f>
        <v>393.65</v>
      </c>
      <c r="C1239" s="1">
        <f>IFERROR(__xludf.DUMMYFUNCTION("""COMPUTED_VALUE"""),397.44)</f>
        <v>397.44</v>
      </c>
      <c r="D1239" s="1">
        <f>IFERROR(__xludf.DUMMYFUNCTION("""COMPUTED_VALUE"""),388.47)</f>
        <v>388.47</v>
      </c>
      <c r="E1239" s="1">
        <f>IFERROR(__xludf.DUMMYFUNCTION("""COMPUTED_VALUE"""),388.64)</f>
        <v>388.64</v>
      </c>
      <c r="F1239" s="1">
        <f>IFERROR(__xludf.DUMMYFUNCTION("""COMPUTED_VALUE"""),3.0753738E7)</f>
        <v>30753738</v>
      </c>
    </row>
    <row r="1240">
      <c r="A1240" s="2">
        <f>IFERROR(__xludf.DUMMYFUNCTION("""COMPUTED_VALUE"""),46154.66666666667)</f>
        <v>46154.66667</v>
      </c>
      <c r="B1240" s="1">
        <f>IFERROR(__xludf.DUMMYFUNCTION("""COMPUTED_VALUE"""),387.34)</f>
        <v>387.34</v>
      </c>
      <c r="C1240" s="1">
        <f>IFERROR(__xludf.DUMMYFUNCTION("""COMPUTED_VALUE"""),388.52)</f>
        <v>388.52</v>
      </c>
      <c r="D1240" s="1">
        <f>IFERROR(__xludf.DUMMYFUNCTION("""COMPUTED_VALUE"""),382.77)</f>
        <v>382.77</v>
      </c>
      <c r="E1240" s="1">
        <f>IFERROR(__xludf.DUMMYFUNCTION("""COMPUTED_VALUE"""),387.35)</f>
        <v>387.35</v>
      </c>
      <c r="F1240" s="1">
        <f>IFERROR(__xludf.DUMMYFUNCTION("""COMPUTED_VALUE"""),2.6017488E7)</f>
        <v>26017488</v>
      </c>
    </row>
    <row r="1241">
      <c r="A1241" s="2">
        <f>IFERROR(__xludf.DUMMYFUNCTION("""COMPUTED_VALUE"""),46155.66666666667)</f>
        <v>46155.66667</v>
      </c>
      <c r="B1241" s="1">
        <f>IFERROR(__xludf.DUMMYFUNCTION("""COMPUTED_VALUE"""),385.6)</f>
        <v>385.6</v>
      </c>
      <c r="C1241" s="1">
        <f>IFERROR(__xludf.DUMMYFUNCTION("""COMPUTED_VALUE"""),403.7)</f>
        <v>403.7</v>
      </c>
      <c r="D1241" s="1">
        <f>IFERROR(__xludf.DUMMYFUNCTION("""COMPUTED_VALUE"""),385.0)</f>
        <v>385</v>
      </c>
      <c r="E1241" s="1">
        <f>IFERROR(__xludf.DUMMYFUNCTION("""COMPUTED_VALUE"""),402.62)</f>
        <v>402.62</v>
      </c>
      <c r="F1241" s="1">
        <f>IFERROR(__xludf.DUMMYFUNCTION("""COMPUTED_VALUE"""),2.8144555E7)</f>
        <v>28144555</v>
      </c>
    </row>
    <row r="1242">
      <c r="A1242" s="2">
        <f>IFERROR(__xludf.DUMMYFUNCTION("""COMPUTED_VALUE"""),46156.66666666667)</f>
        <v>46156.66667</v>
      </c>
      <c r="B1242" s="1">
        <f>IFERROR(__xludf.DUMMYFUNCTION("""COMPUTED_VALUE"""),397.28)</f>
        <v>397.28</v>
      </c>
      <c r="C1242" s="1">
        <f>IFERROR(__xludf.DUMMYFUNCTION("""COMPUTED_VALUE"""),402.93)</f>
        <v>402.93</v>
      </c>
      <c r="D1242" s="1">
        <f>IFERROR(__xludf.DUMMYFUNCTION("""COMPUTED_VALUE"""),395.84)</f>
        <v>395.84</v>
      </c>
      <c r="E1242" s="1">
        <f>IFERROR(__xludf.DUMMYFUNCTION("""COMPUTED_VALUE"""),401.07)</f>
        <v>401.07</v>
      </c>
      <c r="F1242" s="1">
        <f>IFERROR(__xludf.DUMMYFUNCTION("""COMPUTED_VALUE"""),2.1136716E7)</f>
        <v>21136716</v>
      </c>
    </row>
    <row r="1243">
      <c r="A1243" s="2">
        <f>IFERROR(__xludf.DUMMYFUNCTION("""COMPUTED_VALUE"""),46157.66666666667)</f>
        <v>46157.66667</v>
      </c>
      <c r="B1243" s="1">
        <f>IFERROR(__xludf.DUMMYFUNCTION("""COMPUTED_VALUE"""),396.32)</f>
        <v>396.32</v>
      </c>
      <c r="C1243" s="1">
        <f>IFERROR(__xludf.DUMMYFUNCTION("""COMPUTED_VALUE"""),399.54)</f>
        <v>399.54</v>
      </c>
      <c r="D1243" s="1">
        <f>IFERROR(__xludf.DUMMYFUNCTION("""COMPUTED_VALUE"""),393.18)</f>
        <v>393.18</v>
      </c>
      <c r="E1243" s="1">
        <f>IFERROR(__xludf.DUMMYFUNCTION("""COMPUTED_VALUE"""),396.78)</f>
        <v>396.78</v>
      </c>
      <c r="F1243" s="1">
        <f>IFERROR(__xludf.DUMMYFUNCTION("""COMPUTED_VALUE"""),2.0309703E7)</f>
        <v>20309703</v>
      </c>
    </row>
    <row r="1244">
      <c r="A1244" s="2">
        <f>IFERROR(__xludf.DUMMYFUNCTION("""COMPUTED_VALUE"""),46160.66666666667)</f>
        <v>46160.66667</v>
      </c>
      <c r="B1244" s="1">
        <f>IFERROR(__xludf.DUMMYFUNCTION("""COMPUTED_VALUE"""),395.69)</f>
        <v>395.69</v>
      </c>
      <c r="C1244" s="1">
        <f>IFERROR(__xludf.DUMMYFUNCTION("""COMPUTED_VALUE"""),408.61)</f>
        <v>408.61</v>
      </c>
      <c r="D1244" s="1">
        <f>IFERROR(__xludf.DUMMYFUNCTION("""COMPUTED_VALUE"""),394.53)</f>
        <v>394.53</v>
      </c>
      <c r="E1244" s="1">
        <f>IFERROR(__xludf.DUMMYFUNCTION("""COMPUTED_VALUE"""),396.94)</f>
        <v>396.94</v>
      </c>
      <c r="F1244" s="1">
        <f>IFERROR(__xludf.DUMMYFUNCTION("""COMPUTED_VALUE"""),2.6837196E7)</f>
        <v>26837196</v>
      </c>
    </row>
    <row r="1245">
      <c r="A1245" s="2">
        <f>IFERROR(__xludf.DUMMYFUNCTION("""COMPUTED_VALUE"""),46161.66666666667)</f>
        <v>46161.66667</v>
      </c>
      <c r="B1245" s="1">
        <f>IFERROR(__xludf.DUMMYFUNCTION("""COMPUTED_VALUE"""),396.96)</f>
        <v>396.96</v>
      </c>
      <c r="C1245" s="1">
        <f>IFERROR(__xludf.DUMMYFUNCTION("""COMPUTED_VALUE"""),397.15)</f>
        <v>397.15</v>
      </c>
      <c r="D1245" s="1">
        <f>IFERROR(__xludf.DUMMYFUNCTION("""COMPUTED_VALUE"""),386.11)</f>
        <v>386.11</v>
      </c>
      <c r="E1245" s="1">
        <f>IFERROR(__xludf.DUMMYFUNCTION("""COMPUTED_VALUE"""),387.66)</f>
        <v>387.66</v>
      </c>
      <c r="F1245" s="1">
        <f>IFERROR(__xludf.DUMMYFUNCTION("""COMPUTED_VALUE"""),3.9545673E7)</f>
        <v>39545673</v>
      </c>
    </row>
    <row r="1246">
      <c r="A1246" s="2">
        <f>IFERROR(__xludf.DUMMYFUNCTION("""COMPUTED_VALUE"""),46162.66666666667)</f>
        <v>46162.66667</v>
      </c>
      <c r="B1246" s="1">
        <f>IFERROR(__xludf.DUMMYFUNCTION("""COMPUTED_VALUE"""),387.7)</f>
        <v>387.7</v>
      </c>
      <c r="C1246" s="1">
        <f>IFERROR(__xludf.DUMMYFUNCTION("""COMPUTED_VALUE"""),393.86)</f>
        <v>393.86</v>
      </c>
      <c r="D1246" s="1">
        <f>IFERROR(__xludf.DUMMYFUNCTION("""COMPUTED_VALUE"""),382.9)</f>
        <v>382.9</v>
      </c>
      <c r="E1246" s="1">
        <f>IFERROR(__xludf.DUMMYFUNCTION("""COMPUTED_VALUE"""),388.91)</f>
        <v>388.91</v>
      </c>
      <c r="F1246" s="1">
        <f>IFERROR(__xludf.DUMMYFUNCTION("""COMPUTED_VALUE"""),3.1744404E7)</f>
        <v>31744404</v>
      </c>
    </row>
    <row r="1247">
      <c r="A1247" s="2">
        <f>IFERROR(__xludf.DUMMYFUNCTION("""COMPUTED_VALUE"""),46163.66666666667)</f>
        <v>46163.66667</v>
      </c>
      <c r="B1247" s="1">
        <f>IFERROR(__xludf.DUMMYFUNCTION("""COMPUTED_VALUE"""),385.7)</f>
        <v>385.7</v>
      </c>
      <c r="C1247" s="1">
        <f>IFERROR(__xludf.DUMMYFUNCTION("""COMPUTED_VALUE"""),392.5)</f>
        <v>392.5</v>
      </c>
      <c r="D1247" s="1">
        <f>IFERROR(__xludf.DUMMYFUNCTION("""COMPUTED_VALUE"""),383.02)</f>
        <v>383.02</v>
      </c>
      <c r="E1247" s="1">
        <f>IFERROR(__xludf.DUMMYFUNCTION("""COMPUTED_VALUE"""),387.66)</f>
        <v>387.66</v>
      </c>
      <c r="F1247" s="1">
        <f>IFERROR(__xludf.DUMMYFUNCTION("""COMPUTED_VALUE"""),2.4852843E7)</f>
        <v>24852843</v>
      </c>
    </row>
    <row r="1248">
      <c r="A1248" s="2">
        <f>IFERROR(__xludf.DUMMYFUNCTION("""COMPUTED_VALUE"""),46164.66666666667)</f>
        <v>46164.66667</v>
      </c>
      <c r="B1248" s="1">
        <f>IFERROR(__xludf.DUMMYFUNCTION("""COMPUTED_VALUE"""),387.35)</f>
        <v>387.35</v>
      </c>
      <c r="C1248" s="1">
        <f>IFERROR(__xludf.DUMMYFUNCTION("""COMPUTED_VALUE"""),388.74)</f>
        <v>388.74</v>
      </c>
      <c r="D1248" s="1">
        <f>IFERROR(__xludf.DUMMYFUNCTION("""COMPUTED_VALUE"""),381.77)</f>
        <v>381.77</v>
      </c>
      <c r="E1248" s="1">
        <f>IFERROR(__xludf.DUMMYFUNCTION("""COMPUTED_VALUE"""),382.97)</f>
        <v>382.97</v>
      </c>
      <c r="F1248" s="1">
        <f>IFERROR(__xludf.DUMMYFUNCTION("""COMPUTED_VALUE"""),2.0442124E7)</f>
        <v>20442124</v>
      </c>
    </row>
    <row r="1249">
      <c r="A1249" s="2">
        <f>IFERROR(__xludf.DUMMYFUNCTION("""COMPUTED_VALUE"""),46168.66666666667)</f>
        <v>46168.66667</v>
      </c>
      <c r="B1249" s="1">
        <f>IFERROR(__xludf.DUMMYFUNCTION("""COMPUTED_VALUE"""),384.51)</f>
        <v>384.51</v>
      </c>
      <c r="C1249" s="1">
        <f>IFERROR(__xludf.DUMMYFUNCTION("""COMPUTED_VALUE"""),389.26)</f>
        <v>389.26</v>
      </c>
      <c r="D1249" s="1">
        <f>IFERROR(__xludf.DUMMYFUNCTION("""COMPUTED_VALUE"""),382.6)</f>
        <v>382.6</v>
      </c>
      <c r="E1249" s="1">
        <f>IFERROR(__xludf.DUMMYFUNCTION("""COMPUTED_VALUE"""),388.88)</f>
        <v>388.88</v>
      </c>
      <c r="F1249" s="1">
        <f>IFERROR(__xludf.DUMMYFUNCTION("""COMPUTED_VALUE"""),2.7747389E7)</f>
        <v>27747389</v>
      </c>
    </row>
    <row r="1250">
      <c r="A1250" s="2">
        <f>IFERROR(__xludf.DUMMYFUNCTION("""COMPUTED_VALUE"""),46169.66666666667)</f>
        <v>46169.66667</v>
      </c>
      <c r="B1250" s="1">
        <f>IFERROR(__xludf.DUMMYFUNCTION("""COMPUTED_VALUE"""),386.67)</f>
        <v>386.67</v>
      </c>
      <c r="C1250" s="1">
        <f>IFERROR(__xludf.DUMMYFUNCTION("""COMPUTED_VALUE"""),393.88)</f>
        <v>393.88</v>
      </c>
      <c r="D1250" s="1">
        <f>IFERROR(__xludf.DUMMYFUNCTION("""COMPUTED_VALUE"""),385.9)</f>
        <v>385.9</v>
      </c>
      <c r="E1250" s="1">
        <f>IFERROR(__xludf.DUMMYFUNCTION("""COMPUTED_VALUE"""),388.83)</f>
        <v>388.83</v>
      </c>
      <c r="F1250" s="1">
        <f>IFERROR(__xludf.DUMMYFUNCTION("""COMPUTED_VALUE"""),2.3087287E7)</f>
        <v>23087287</v>
      </c>
    </row>
    <row r="1251">
      <c r="A1251" s="2">
        <f>IFERROR(__xludf.DUMMYFUNCTION("""COMPUTED_VALUE"""),46170.66666666667)</f>
        <v>46170.66667</v>
      </c>
      <c r="B1251" s="1">
        <f>IFERROR(__xludf.DUMMYFUNCTION("""COMPUTED_VALUE"""),388.0)</f>
        <v>388</v>
      </c>
      <c r="C1251" s="1">
        <f>IFERROR(__xludf.DUMMYFUNCTION("""COMPUTED_VALUE"""),391.87)</f>
        <v>391.87</v>
      </c>
      <c r="D1251" s="1">
        <f>IFERROR(__xludf.DUMMYFUNCTION("""COMPUTED_VALUE"""),385.16)</f>
        <v>385.16</v>
      </c>
      <c r="E1251" s="1">
        <f>IFERROR(__xludf.DUMMYFUNCTION("""COMPUTED_VALUE"""),390.13)</f>
        <v>390.13</v>
      </c>
      <c r="F1251" s="1">
        <f>IFERROR(__xludf.DUMMYFUNCTION("""COMPUTED_VALUE"""),2.4357456E7)</f>
        <v>24357456</v>
      </c>
    </row>
    <row r="1252">
      <c r="A1252" s="2">
        <f>IFERROR(__xludf.DUMMYFUNCTION("""COMPUTED_VALUE"""),46171.66666666667)</f>
        <v>46171.66667</v>
      </c>
      <c r="B1252" s="1">
        <f>IFERROR(__xludf.DUMMYFUNCTION("""COMPUTED_VALUE"""),385.24)</f>
        <v>385.24</v>
      </c>
      <c r="C1252" s="1">
        <f>IFERROR(__xludf.DUMMYFUNCTION("""COMPUTED_VALUE"""),385.24)</f>
        <v>385.24</v>
      </c>
      <c r="D1252" s="1">
        <f>IFERROR(__xludf.DUMMYFUNCTION("""COMPUTED_VALUE"""),378.46)</f>
        <v>378.46</v>
      </c>
      <c r="E1252" s="1">
        <f>IFERROR(__xludf.DUMMYFUNCTION("""COMPUTED_VALUE"""),380.34)</f>
        <v>380.34</v>
      </c>
      <c r="F1252" s="1">
        <f>IFERROR(__xludf.DUMMYFUNCTION("""COMPUTED_VALUE"""),4.4415847E7)</f>
        <v>44415847</v>
      </c>
    </row>
    <row r="1253">
      <c r="A1253" s="2">
        <f>IFERROR(__xludf.DUMMYFUNCTION("""COMPUTED_VALUE"""),46174.66666666667)</f>
        <v>46174.66667</v>
      </c>
      <c r="B1253" s="1">
        <f>IFERROR(__xludf.DUMMYFUNCTION("""COMPUTED_VALUE"""),376.52)</f>
        <v>376.52</v>
      </c>
      <c r="C1253" s="1">
        <f>IFERROR(__xludf.DUMMYFUNCTION("""COMPUTED_VALUE"""),378.56)</f>
        <v>378.56</v>
      </c>
      <c r="D1253" s="1">
        <f>IFERROR(__xludf.DUMMYFUNCTION("""COMPUTED_VALUE"""),373.52)</f>
        <v>373.52</v>
      </c>
      <c r="E1253" s="1">
        <f>IFERROR(__xludf.DUMMYFUNCTION("""COMPUTED_VALUE"""),376.37)</f>
        <v>376.37</v>
      </c>
      <c r="F1253" s="1">
        <f>IFERROR(__xludf.DUMMYFUNCTION("""COMPUTED_VALUE"""),2.867212E7)</f>
        <v>28672120</v>
      </c>
    </row>
    <row r="1254">
      <c r="A1254" s="2">
        <f>IFERROR(__xludf.DUMMYFUNCTION("""COMPUTED_VALUE"""),46175.66666666667)</f>
        <v>46175.66667</v>
      </c>
      <c r="B1254" s="1">
        <f>IFERROR(__xludf.DUMMYFUNCTION("""COMPUTED_VALUE"""),366.59)</f>
        <v>366.59</v>
      </c>
      <c r="C1254" s="1">
        <f>IFERROR(__xludf.DUMMYFUNCTION("""COMPUTED_VALUE"""),373.54)</f>
        <v>373.54</v>
      </c>
      <c r="D1254" s="1">
        <f>IFERROR(__xludf.DUMMYFUNCTION("""COMPUTED_VALUE"""),358.44)</f>
        <v>358.44</v>
      </c>
      <c r="E1254" s="1">
        <f>IFERROR(__xludf.DUMMYFUNCTION("""COMPUTED_VALUE"""),361.85)</f>
        <v>361.85</v>
      </c>
      <c r="F1254" s="1">
        <f>IFERROR(__xludf.DUMMYFUNCTION("""COMPUTED_VALUE"""),5.04123E7)</f>
        <v>50412300</v>
      </c>
    </row>
    <row r="1255">
      <c r="A1255" s="2">
        <f>IFERROR(__xludf.DUMMYFUNCTION("""COMPUTED_VALUE"""),46176.66666666667)</f>
        <v>46176.66667</v>
      </c>
      <c r="B1255" s="1">
        <f>IFERROR(__xludf.DUMMYFUNCTION("""COMPUTED_VALUE"""),362.03)</f>
        <v>362.03</v>
      </c>
      <c r="C1255" s="1">
        <f>IFERROR(__xludf.DUMMYFUNCTION("""COMPUTED_VALUE"""),366.45)</f>
        <v>366.45</v>
      </c>
      <c r="D1255" s="1">
        <f>IFERROR(__xludf.DUMMYFUNCTION("""COMPUTED_VALUE"""),358.08)</f>
        <v>358.08</v>
      </c>
      <c r="E1255" s="1">
        <f>IFERROR(__xludf.DUMMYFUNCTION("""COMPUTED_VALUE"""),358.99)</f>
        <v>358.99</v>
      </c>
      <c r="F1255" s="1">
        <f>IFERROR(__xludf.DUMMYFUNCTION("""COMPUTED_VALUE"""),5.5441584E7)</f>
        <v>55441584</v>
      </c>
    </row>
    <row r="1256">
      <c r="A1256" s="2">
        <f>IFERROR(__xludf.DUMMYFUNCTION("""COMPUTED_VALUE"""),46177.66666666667)</f>
        <v>46177.66667</v>
      </c>
      <c r="B1256" s="1">
        <f>IFERROR(__xludf.DUMMYFUNCTION("""COMPUTED_VALUE"""),358.9)</f>
        <v>358.9</v>
      </c>
      <c r="C1256" s="1">
        <f>IFERROR(__xludf.DUMMYFUNCTION("""COMPUTED_VALUE"""),373.25)</f>
        <v>373.25</v>
      </c>
      <c r="D1256" s="1">
        <f>IFERROR(__xludf.DUMMYFUNCTION("""COMPUTED_VALUE"""),358.21)</f>
        <v>358.21</v>
      </c>
      <c r="E1256" s="1">
        <f>IFERROR(__xludf.DUMMYFUNCTION("""COMPUTED_VALUE"""),372.19)</f>
        <v>372.19</v>
      </c>
      <c r="F1256" s="1">
        <f>IFERROR(__xludf.DUMMYFUNCTION("""COMPUTED_VALUE"""),4.4055521E7)</f>
        <v>44055521</v>
      </c>
    </row>
    <row r="1257">
      <c r="A1257" s="2">
        <f>IFERROR(__xludf.DUMMYFUNCTION("""COMPUTED_VALUE"""),46178.66666666667)</f>
        <v>46178.66667</v>
      </c>
      <c r="B1257" s="1">
        <f>IFERROR(__xludf.DUMMYFUNCTION("""COMPUTED_VALUE"""),366.34)</f>
        <v>366.34</v>
      </c>
      <c r="C1257" s="1">
        <f>IFERROR(__xludf.DUMMYFUNCTION("""COMPUTED_VALUE"""),372.08)</f>
        <v>372.08</v>
      </c>
      <c r="D1257" s="1">
        <f>IFERROR(__xludf.DUMMYFUNCTION("""COMPUTED_VALUE"""),364.12)</f>
        <v>364.12</v>
      </c>
      <c r="E1257" s="1">
        <f>IFERROR(__xludf.DUMMYFUNCTION("""COMPUTED_VALUE"""),368.53)</f>
        <v>368.53</v>
      </c>
      <c r="F1257" s="1">
        <f>IFERROR(__xludf.DUMMYFUNCTION("""COMPUTED_VALUE"""),3.7471207E7)</f>
        <v>37471207</v>
      </c>
    </row>
  </sheetData>
  <drawing r:id="rId1"/>
</worksheet>
</file>